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spect Tracker" sheetId="1" state="visible" r:id="rId3"/>
    <sheet name="Lists" sheetId="2" state="hidden" r:id="rId4"/>
    <sheet name="Priority View" sheetId="3" state="visible" r:id="rId5"/>
    <sheet name="Pipeline Summary" sheetId="4" state="visible" r:id="rId6"/>
    <sheet name="How To Us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<sst xmlns="http://schemas.openxmlformats.org/spreadsheetml/2006/main" count="114" uniqueCount="95">
  <si>
    <t xml:space="preserve">Test Leader — Bio-Age™ Reset Stack Prospect Tracker</t>
  </si>
  <si>
    <t xml:space="preserve">Fill in dates as things happen — Current Stage, Priority, and Days Since Last Contact update automatically. See 'How To Use' tab.</t>
  </si>
  <si>
    <t xml:space="preserve">First Name</t>
  </si>
  <si>
    <t xml:space="preserve">Last Name</t>
  </si>
  <si>
    <t xml:space="preserve">Phone</t>
  </si>
  <si>
    <t xml:space="preserve">Email</t>
  </si>
  <si>
    <t xml:space="preserve">Source / How Met</t>
  </si>
  <si>
    <t xml:space="preserve">Date Contacted</t>
  </si>
  <si>
    <t xml:space="preserve">Contact Method</t>
  </si>
  <si>
    <t xml:space="preserve">Slide Deck: Sent/In Person</t>
  </si>
  <si>
    <t xml:space="preserve">Presentation Date</t>
  </si>
  <si>
    <t xml:space="preserve">Presentation Status</t>
  </si>
  <si>
    <t xml:space="preserve">Next Follow-Up Date</t>
  </si>
  <si>
    <t xml:space="preserve">Follow-Up Notes</t>
  </si>
  <si>
    <t xml:space="preserve">Enrollment Type</t>
  </si>
  <si>
    <t xml:space="preserve">Enrollment Date</t>
  </si>
  <si>
    <t xml:space="preserve">Referral Ask</t>
  </si>
  <si>
    <t xml:space="preserve">Onboarding Status</t>
  </si>
  <si>
    <t xml:space="preserve">Onboarding Date</t>
  </si>
  <si>
    <t xml:space="preserve">Current Stage</t>
  </si>
  <si>
    <t xml:space="preserve">Rank</t>
  </si>
  <si>
    <t xml:space="preserve">Days Since Last Contact</t>
  </si>
  <si>
    <t xml:space="preserve">Next Action</t>
  </si>
  <si>
    <t xml:space="preserve">Notes</t>
  </si>
  <si>
    <t xml:space="preserve">Priority</t>
  </si>
  <si>
    <t xml:space="preserve">Sort Key</t>
  </si>
  <si>
    <t xml:space="preserve">Ranks</t>
  </si>
  <si>
    <t xml:space="preserve">Ambassador I</t>
  </si>
  <si>
    <t xml:space="preserve">Ambassador II</t>
  </si>
  <si>
    <t xml:space="preserve">Sr. Ambassador</t>
  </si>
  <si>
    <t xml:space="preserve">Director</t>
  </si>
  <si>
    <t xml:space="preserve">Senior Director</t>
  </si>
  <si>
    <t xml:space="preserve">Coordinator</t>
  </si>
  <si>
    <t xml:space="preserve">Sr. Coordinator</t>
  </si>
  <si>
    <t xml:space="preserve">Executive Coordinator</t>
  </si>
  <si>
    <t xml:space="preserve">Sr. Executive Coordinator</t>
  </si>
  <si>
    <t xml:space="preserve">Key Coordinator</t>
  </si>
  <si>
    <t xml:space="preserve">Sr. Key Coordinator</t>
  </si>
  <si>
    <t xml:space="preserve">Master Coordinator</t>
  </si>
  <si>
    <t xml:space="preserve">Sr. Master Coordinator</t>
  </si>
  <si>
    <t xml:space="preserve">Presidential Master Coordinator</t>
  </si>
  <si>
    <t xml:space="preserve">Test Leader — Priority View</t>
  </si>
  <si>
    <t xml:space="preserve">Auto-sorted, live view of Prospect Tracker: Ambassadors first, then Members, then Presented, then Sent, then Contacted, then No Activity. Updates automatically as you edit the Prospect Tracker tab, nothing to sort or refresh.</t>
  </si>
  <si>
    <t xml:space="preserve">Slide Deck</t>
  </si>
  <si>
    <t xml:space="preserve">pos</t>
  </si>
  <si>
    <t xml:space="preserve">Test Leader — Pipeline Summary</t>
  </si>
  <si>
    <t xml:space="preserve">Pipeline Stage Counts</t>
  </si>
  <si>
    <t xml:space="preserve">New Lead</t>
  </si>
  <si>
    <t xml:space="preserve">Contacted</t>
  </si>
  <si>
    <t xml:space="preserve">Presented</t>
  </si>
  <si>
    <t xml:space="preserve">Follow-Up</t>
  </si>
  <si>
    <t xml:space="preserve">Sponsored</t>
  </si>
  <si>
    <t xml:space="preserve">Onboarded</t>
  </si>
  <si>
    <t xml:space="preserve">Overview</t>
  </si>
  <si>
    <t xml:space="preserve">Total Prospects Logged</t>
  </si>
  <si>
    <t xml:space="preserve">Overdue Follow-Ups (&gt;7 days)</t>
  </si>
  <si>
    <t xml:space="preserve">Enrollment Breakdown</t>
  </si>
  <si>
    <t xml:space="preserve">Member</t>
  </si>
  <si>
    <t xml:space="preserve">Ambassador</t>
  </si>
  <si>
    <t xml:space="preserve">Interested</t>
  </si>
  <si>
    <t xml:space="preserve">Referral Ask Breakdown</t>
  </si>
  <si>
    <t xml:space="preserve">Not Asked</t>
  </si>
  <si>
    <t xml:space="preserve">Asked</t>
  </si>
  <si>
    <t xml:space="preserve">Referrals Given</t>
  </si>
  <si>
    <t xml:space="preserve">How To Use This Tracker</t>
  </si>
  <si>
    <t xml:space="preserve">First Name / Last Name</t>
  </si>
  <si>
    <t xml:space="preserve">Prospect name is split into two columns so you can sort and search by last name. For couples entered together (e.g. "Tom and Paula"), both first names go in First Name and the shared surname goes in Last Name.</t>
  </si>
  <si>
    <t xml:space="preserve">Phone / Email</t>
  </si>
  <si>
    <t xml:space="preserve">Contact info, optional.</t>
  </si>
  <si>
    <t xml:space="preserve">Where the lead came from — Facebook, referral, in person, etc.</t>
  </si>
  <si>
    <t xml:space="preserve">The date you first reached out.</t>
  </si>
  <si>
    <t xml:space="preserve">How you reached them — dropdown menu.</t>
  </si>
  <si>
    <t xml:space="preserve">Whether you sent the Bio-Age slide deck digitally or presented it in person.</t>
  </si>
  <si>
    <t xml:space="preserve">Presentation Date / Presentation Status</t>
  </si>
  <si>
    <t xml:space="preserve">When and how the presentation went — dropdown for status.</t>
  </si>
  <si>
    <t xml:space="preserve">Next Follow-Up Date / Follow-Up Notes</t>
  </si>
  <si>
    <t xml:space="preserve">Your next planned touchpoint and any notes on it.</t>
  </si>
  <si>
    <t xml:space="preserve">No / Interested / Member / Ambassador — dropdown menu.</t>
  </si>
  <si>
    <t xml:space="preserve">The date they enrolled.</t>
  </si>
  <si>
    <t xml:space="preserve">Whether you've asked this person for referrals yet.</t>
  </si>
  <si>
    <t xml:space="preserve">Onboarding Status / Onboarding Date</t>
  </si>
  <si>
    <t xml:space="preserve">Tracks getting a new Member or Ambassador set up.</t>
  </si>
  <si>
    <t xml:space="preserve">Auto-calculated from the columns above — never type into this one.</t>
  </si>
  <si>
    <t xml:space="preserve">Their current Shaklee rank, if applicable — dropdown menu.</t>
  </si>
  <si>
    <t xml:space="preserve">Auto-calculated. Turns red after 7 days with no activity.</t>
  </si>
  <si>
    <t xml:space="preserve">Next Action / Notes</t>
  </si>
  <si>
    <t xml:space="preserve">Free text for whatever you need to remember.</t>
  </si>
  <si>
    <t xml:space="preserve">Priority column</t>
  </si>
  <si>
    <t xml:space="preserve">Auto-calculates where each prospect stands: 1 = Ambassador, 2 = Member, 3 = Presented, 4 = Sent (deck given, not presented yet), 5 = Contacted, 6 = No Activity yet. You never type into this column, it reads the other columns and figures it out.</t>
  </si>
  <si>
    <t xml:space="preserve">Priority View tab</t>
  </si>
  <si>
    <t xml:space="preserve">A live, self-sorting scan of your whole list, ranked highest priority first (Ambassadors, then Members, then Presented, then Sent, then Contacted, then cold leads). It updates automatically as you edit the Prospect Tracker tab, no sorting or refreshing needed.</t>
  </si>
  <si>
    <t xml:space="preserve">Sorting the Prospect Tracker tab by Last Name</t>
  </si>
  <si>
    <t xml:space="preserve">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</si>
  <si>
    <t xml:space="preserve">Keeping it clean</t>
  </si>
  <si>
    <t xml:space="preserve">One row per prospect, always. If someone re-engages after going cold, just update their existing row rather than creating a duplicate.</t>
  </si>
</sst>
</file>

<file path=xl/styles.xml><?xml version="1.0" encoding="utf-8"?>
<styleSheet xmlns="http://schemas.openxmlformats.org/spreadsheetml/2006/main">
  <numFmts count="3">
    <numFmt numFmtId="164" formatCode="General"/>
    <numFmt numFmtId="165" formatCode="yyyy\-mm\-dd"/>
    <numFmt numFmtId="166"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4A151C"/>
      <name val="Cambria"/>
      <family val="1"/>
      <charset val="1"/>
    </font>
    <font>
      <i val="true"/>
      <sz val="10"/>
      <color rgb="FF4A151C"/>
      <name val="Calibri"/>
      <family val="2"/>
      <charset val="1"/>
    </font>
    <font>
      <b val="true"/>
      <sz val="11"/>
      <color rgb="FFFFFFFF"/>
      <name val="Calibri"/>
      <family val="2"/>
      <charset val="1"/>
    </font>
    <font>
      <sz val="11"/>
      <name val="Calibri"/>
      <family val="2"/>
      <charset val="1"/>
    </font>
    <font>
      <b val="true"/>
      <sz val="16"/>
      <color rgb="FF4A151C"/>
      <name val="Cambria"/>
      <family val="1"/>
      <charset val="1"/>
    </font>
    <font>
      <b val="true"/>
      <sz val="12"/>
      <color rgb="FFFFFFFF"/>
      <name val="Calibri"/>
      <family val="2"/>
      <charset val="1"/>
    </font>
    <font>
      <b val="true"/>
      <sz val="11"/>
      <name val="Calibri"/>
      <family val="2"/>
      <charset val="1"/>
    </font>
    <font>
      <b val="true"/>
      <sz val="12"/>
      <color rgb="FF4A151C"/>
      <name val="Calibri"/>
      <family val="2"/>
      <charset val="1"/>
    </font>
    <font>
      <sz val="10"/>
      <name val="Calibri"/>
      <family val="2"/>
      <charset val="1"/>
    </font>
  </fonts>
  <fills count="4">
    <fill>
      <patternFill patternType="none"/>
    </fill>
    <fill>
      <patternFill patternType="gray125"/>
    </fill>
    <fill>
      <patternFill patternType="solid">
        <fgColor rgb="FFFBF7EF"/>
        <bgColor rgb="FFFFFFFF"/>
      </patternFill>
    </fill>
    <fill>
      <patternFill patternType="solid">
        <fgColor rgb="FF6B1F2A"/>
        <bgColor rgb="FF4A151C"/>
      </patternFill>
    </fill>
  </fills>
  <borders count="3">
    <border diagonalUp="false" diagonalDown="false">
      <left/>
      <right/>
      <top/>
      <bottom/>
      <diagonal/>
    </border>
    <border diagonalUp="false" diagonalDown="false">
      <left style="thin">
        <color rgb="FF4A151C"/>
      </left>
      <right style="thin">
        <color rgb="FF4A151C"/>
      </right>
      <top style="thin">
        <color rgb="FF4A151C"/>
      </top>
      <bottom style="thin">
        <color rgb="FF4A151C"/>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5" fontId="7" fillId="0" borderId="2"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5" fontId="7" fillId="2" borderId="2"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2" min="1" style="1" width="16"/>
    <col collapsed="false" customWidth="true" hidden="false" outlineLevel="0" max="3" min="3" style="1" width="14"/>
    <col collapsed="false" customWidth="true" hidden="false" outlineLevel="0" max="4" min="4" style="1" width="22"/>
    <col collapsed="false" customWidth="true" hidden="false" outlineLevel="0" max="5" min="5" style="1" width="16"/>
    <col collapsed="false" customWidth="true" hidden="false" outlineLevel="0" max="7" min="6" style="1" width="14"/>
    <col collapsed="false" customWidth="true" hidden="false" outlineLevel="0" max="8" min="8" style="1" width="16"/>
    <col collapsed="false" customWidth="true" hidden="false" outlineLevel="0" max="9" min="9" style="1" width="14"/>
    <col collapsed="false" customWidth="true" hidden="false" outlineLevel="0" max="11" min="10" style="1" width="16"/>
    <col collapsed="false" customWidth="true" hidden="false" outlineLevel="0" max="12" min="12" style="1" width="22"/>
    <col collapsed="false" customWidth="true" hidden="false" outlineLevel="0" max="18" min="13" style="1" width="14"/>
    <col collapsed="false" customWidth="true" hidden="false" outlineLevel="0" max="19" min="19" style="1" width="18"/>
    <col collapsed="false" customWidth="true" hidden="false" outlineLevel="0" max="20" min="20" style="1" width="14"/>
    <col collapsed="false" customWidth="true" hidden="false" outlineLevel="0" max="21" min="21" style="1" width="18"/>
    <col collapsed="false" customWidth="true" hidden="false" outlineLevel="0" max="22" min="22" style="1" width="22"/>
    <col collapsed="false" customWidth="true" hidden="false" outlineLevel="0" max="23" min="23" style="1" width="16"/>
    <col collapsed="false" customWidth="true" hidden="true" outlineLevel="0" max="24" min="24" style="1" width="12"/>
  </cols>
  <sheetData>
    <row r="1" customFormat="false" ht="25.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row>
    <row r="2" customFormat="false" ht="21.75" hidden="false" customHeight="true" outlineLevel="0" collapsed="false">
      <c r="A2" s="3" t="s">
        <v>1</v>
      </c>
      <c r="B2" s="3"/>
      <c r="C2" s="3"/>
      <c r="D2" s="3"/>
      <c r="E2" s="3"/>
      <c r="F2" s="3"/>
      <c r="G2" s="3"/>
      <c r="H2" s="3"/>
      <c r="I2" s="3"/>
      <c r="J2" s="3"/>
      <c r="K2" s="3"/>
      <c r="L2" s="3"/>
      <c r="M2" s="3"/>
      <c r="N2" s="3"/>
      <c r="O2" s="3"/>
      <c r="P2" s="3"/>
      <c r="Q2" s="3"/>
      <c r="R2" s="3"/>
      <c r="S2" s="3"/>
      <c r="T2" s="3"/>
      <c r="U2" s="3"/>
      <c r="V2" s="3"/>
      <c r="W2" s="3"/>
      <c r="X2" s="3"/>
    </row>
    <row r="3" customFormat="false" ht="21.75" hidden="false" customHeight="true" outlineLevel="0" collapsed="false">
      <c r="A3" s="4"/>
      <c r="B3" s="4"/>
      <c r="C3" s="4"/>
      <c r="D3" s="4"/>
      <c r="E3" s="4"/>
      <c r="F3" s="4"/>
      <c r="G3" s="4"/>
      <c r="H3" s="4"/>
      <c r="I3" s="4"/>
      <c r="J3" s="4"/>
      <c r="K3" s="4"/>
      <c r="L3" s="4"/>
      <c r="M3" s="4"/>
      <c r="N3" s="4"/>
      <c r="O3" s="4"/>
      <c r="P3" s="4"/>
      <c r="Q3" s="4"/>
      <c r="R3" s="4"/>
      <c r="S3" s="4"/>
      <c r="T3" s="4"/>
      <c r="U3" s="4"/>
      <c r="V3" s="4"/>
      <c r="W3" s="4"/>
      <c r="X3" s="4"/>
    </row>
    <row r="4" customFormat="false" ht="33.75" hidden="false" customHeight="true" outlineLevel="0" collapsed="false">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c r="V4" s="5" t="s">
        <v>23</v>
      </c>
      <c r="W4" s="5" t="s">
        <v>24</v>
      </c>
      <c r="X4" s="5" t="s">
        <v>25</v>
      </c>
    </row>
    <row r="5" customFormat="false" ht="15" hidden="false" customHeight="true" outlineLevel="0" collapsed="false">
      <c r="A5" s="6"/>
      <c r="B5" s="6"/>
      <c r="C5" s="6"/>
      <c r="D5" s="6"/>
      <c r="E5" s="6"/>
      <c r="F5" s="7"/>
      <c r="G5" s="6"/>
      <c r="H5" s="6"/>
      <c r="I5" s="7"/>
      <c r="J5" s="6"/>
      <c r="K5" s="7"/>
      <c r="L5" s="6"/>
      <c r="M5" s="6"/>
      <c r="N5" s="7"/>
      <c r="O5" s="6"/>
      <c r="P5" s="6"/>
      <c r="Q5" s="7"/>
      <c r="R5" s="6" t="str">
        <f aca="false">IF(AND($A5="",$B5=""),"",IF(Q5="Complete","Onboarded",IF(OR(M5="Member",M5="Ambassador"),"Sponsored",IF(K5&lt;&gt;"","Follow-Up",IF(I5&lt;&gt;"","Presented",IF(F5&lt;&gt;"","Contacted","New Lead"))))))</f>
        <v/>
      </c>
      <c r="S5" s="6"/>
      <c r="T5" s="6" t="str">
        <f aca="true">IF(MAX(F5,I5,K5)=0,"",TODAY()-MAX(F5,I5,K5))</f>
        <v/>
      </c>
      <c r="U5" s="6"/>
      <c r="V5" s="6"/>
      <c r="W5" s="6" t="str">
        <f aca="false">IF(AND($A5="",$B5=""),"",IF(M5="Ambassador","1 - Ambassador",IF(M5="Member","2 - Member",IF(J5="Completed","3 - Presented",IF(H5&lt;&gt;"","4 - Sent",IF(F5&lt;&gt;"","5 - Contacted","6 - No Activity"))))))</f>
        <v/>
      </c>
      <c r="X5" s="6" t="n">
        <f aca="false">IF(AND($A5="",$B5=""),9999999+(ROW()-4),VALUE(LEFT($W5,1))*10000+(ROW()-4))</f>
        <v>10000000</v>
      </c>
    </row>
    <row r="6" customFormat="false" ht="15" hidden="false" customHeight="true" outlineLevel="0" collapsed="false">
      <c r="A6" s="6"/>
      <c r="B6" s="6"/>
      <c r="C6" s="6"/>
      <c r="D6" s="6"/>
      <c r="E6" s="6"/>
      <c r="F6" s="7"/>
      <c r="G6" s="6"/>
      <c r="H6" s="6"/>
      <c r="I6" s="7"/>
      <c r="J6" s="6"/>
      <c r="K6" s="7"/>
      <c r="L6" s="6"/>
      <c r="M6" s="6"/>
      <c r="N6" s="7"/>
      <c r="O6" s="6"/>
      <c r="P6" s="6"/>
      <c r="Q6" s="7"/>
      <c r="R6" s="6" t="str">
        <f aca="false">IF(AND($A6="",$B6=""),"",IF(Q6="Complete","Onboarded",IF(OR(M6="Member",M6="Ambassador"),"Sponsored",IF(K6&lt;&gt;"","Follow-Up",IF(I6&lt;&gt;"","Presented",IF(F6&lt;&gt;"","Contacted","New Lead"))))))</f>
        <v/>
      </c>
      <c r="S6" s="6"/>
      <c r="T6" s="6" t="str">
        <f aca="true">IF(MAX(F6,I6,K6)=0,"",TODAY()-MAX(F6,I6,K6))</f>
        <v/>
      </c>
      <c r="U6" s="6"/>
      <c r="V6" s="6"/>
      <c r="W6" s="6" t="str">
        <f aca="false">IF(AND($A6="",$B6=""),"",IF(M6="Ambassador","1 - Ambassador",IF(M6="Member","2 - Member",IF(J6="Completed","3 - Presented",IF(H6&lt;&gt;"","4 - Sent",IF(F6&lt;&gt;"","5 - Contacted","6 - No Activity"))))))</f>
        <v/>
      </c>
      <c r="X6" s="6" t="n">
        <f aca="false">IF(AND($A6="",$B6=""),9999999+(ROW()-4),VALUE(LEFT($W6,1))*10000+(ROW()-4))</f>
        <v>10000001</v>
      </c>
    </row>
    <row r="7" customFormat="false" ht="15" hidden="false" customHeight="true" outlineLevel="0" collapsed="false">
      <c r="A7" s="6"/>
      <c r="B7" s="6"/>
      <c r="C7" s="6"/>
      <c r="D7" s="6"/>
      <c r="E7" s="6"/>
      <c r="F7" s="7"/>
      <c r="G7" s="6"/>
      <c r="H7" s="6"/>
      <c r="I7" s="7"/>
      <c r="J7" s="6"/>
      <c r="K7" s="7"/>
      <c r="L7" s="6"/>
      <c r="M7" s="6"/>
      <c r="N7" s="7"/>
      <c r="O7" s="6"/>
      <c r="P7" s="6"/>
      <c r="Q7" s="7"/>
      <c r="R7" s="6" t="str">
        <f aca="false">IF(AND($A7="",$B7=""),"",IF(Q7="Complete","Onboarded",IF(OR(M7="Member",M7="Ambassador"),"Sponsored",IF(K7&lt;&gt;"","Follow-Up",IF(I7&lt;&gt;"","Presented",IF(F7&lt;&gt;"","Contacted","New Lead"))))))</f>
        <v/>
      </c>
      <c r="S7" s="6"/>
      <c r="T7" s="6" t="str">
        <f aca="true">IF(MAX(F7,I7,K7)=0,"",TODAY()-MAX(F7,I7,K7))</f>
        <v/>
      </c>
      <c r="U7" s="6"/>
      <c r="V7" s="6"/>
      <c r="W7" s="6" t="str">
        <f aca="false">IF(AND($A7="",$B7=""),"",IF(M7="Ambassador","1 - Ambassador",IF(M7="Member","2 - Member",IF(J7="Completed","3 - Presented",IF(H7&lt;&gt;"","4 - Sent",IF(F7&lt;&gt;"","5 - Contacted","6 - No Activity"))))))</f>
        <v/>
      </c>
      <c r="X7" s="6" t="n">
        <f aca="false">IF(AND($A7="",$B7=""),9999999+(ROW()-4),VALUE(LEFT($W7,1))*10000+(ROW()-4))</f>
        <v>10000002</v>
      </c>
    </row>
    <row r="8" customFormat="false" ht="15" hidden="false" customHeight="true" outlineLevel="0" collapsed="false">
      <c r="A8" s="6"/>
      <c r="B8" s="6"/>
      <c r="C8" s="6"/>
      <c r="D8" s="6"/>
      <c r="E8" s="6"/>
      <c r="F8" s="7"/>
      <c r="G8" s="6"/>
      <c r="H8" s="6"/>
      <c r="I8" s="7"/>
      <c r="J8" s="6"/>
      <c r="K8" s="7"/>
      <c r="L8" s="6"/>
      <c r="M8" s="6"/>
      <c r="N8" s="7"/>
      <c r="O8" s="6"/>
      <c r="P8" s="6"/>
      <c r="Q8" s="7"/>
      <c r="R8" s="6" t="str">
        <f aca="false">IF(AND($A8="",$B8=""),"",IF(Q8="Complete","Onboarded",IF(OR(M8="Member",M8="Ambassador"),"Sponsored",IF(K8&lt;&gt;"","Follow-Up",IF(I8&lt;&gt;"","Presented",IF(F8&lt;&gt;"","Contacted","New Lead"))))))</f>
        <v/>
      </c>
      <c r="S8" s="6"/>
      <c r="T8" s="6" t="str">
        <f aca="true">IF(MAX(F8,I8,K8)=0,"",TODAY()-MAX(F8,I8,K8))</f>
        <v/>
      </c>
      <c r="U8" s="6"/>
      <c r="V8" s="6"/>
      <c r="W8" s="6" t="str">
        <f aca="false">IF(AND($A8="",$B8=""),"",IF(M8="Ambassador","1 - Ambassador",IF(M8="Member","2 - Member",IF(J8="Completed","3 - Presented",IF(H8&lt;&gt;"","4 - Sent",IF(F8&lt;&gt;"","5 - Contacted","6 - No Activity"))))))</f>
        <v/>
      </c>
      <c r="X8" s="6" t="n">
        <f aca="false">IF(AND($A8="",$B8=""),9999999+(ROW()-4),VALUE(LEFT($W8,1))*10000+(ROW()-4))</f>
        <v>10000003</v>
      </c>
    </row>
    <row r="9" customFormat="false" ht="15" hidden="false" customHeight="true" outlineLevel="0" collapsed="false">
      <c r="A9" s="6"/>
      <c r="B9" s="6"/>
      <c r="C9" s="6"/>
      <c r="D9" s="6"/>
      <c r="E9" s="6"/>
      <c r="F9" s="7"/>
      <c r="G9" s="6"/>
      <c r="H9" s="6"/>
      <c r="I9" s="7"/>
      <c r="J9" s="6"/>
      <c r="K9" s="7"/>
      <c r="L9" s="6"/>
      <c r="M9" s="6"/>
      <c r="N9" s="7"/>
      <c r="O9" s="6"/>
      <c r="P9" s="6"/>
      <c r="Q9" s="7"/>
      <c r="R9" s="6" t="str">
        <f aca="false">IF(AND($A9="",$B9=""),"",IF(Q9="Complete","Onboarded",IF(OR(M9="Member",M9="Ambassador"),"Sponsored",IF(K9&lt;&gt;"","Follow-Up",IF(I9&lt;&gt;"","Presented",IF(F9&lt;&gt;"","Contacted","New Lead"))))))</f>
        <v/>
      </c>
      <c r="S9" s="6"/>
      <c r="T9" s="6" t="str">
        <f aca="true">IF(MAX(F9,I9,K9)=0,"",TODAY()-MAX(F9,I9,K9))</f>
        <v/>
      </c>
      <c r="U9" s="6"/>
      <c r="V9" s="6"/>
      <c r="W9" s="6" t="str">
        <f aca="false">IF(AND($A9="",$B9=""),"",IF(M9="Ambassador","1 - Ambassador",IF(M9="Member","2 - Member",IF(J9="Completed","3 - Presented",IF(H9&lt;&gt;"","4 - Sent",IF(F9&lt;&gt;"","5 - Contacted","6 - No Activity"))))))</f>
        <v/>
      </c>
      <c r="X9" s="6" t="n">
        <f aca="false">IF(AND($A9="",$B9=""),9999999+(ROW()-4),VALUE(LEFT($W9,1))*10000+(ROW()-4))</f>
        <v>10000004</v>
      </c>
    </row>
    <row r="10" customFormat="false" ht="15" hidden="false" customHeight="true" outlineLevel="0" collapsed="false">
      <c r="A10" s="6"/>
      <c r="B10" s="6"/>
      <c r="C10" s="6"/>
      <c r="D10" s="6"/>
      <c r="E10" s="6"/>
      <c r="F10" s="7"/>
      <c r="G10" s="6"/>
      <c r="H10" s="6"/>
      <c r="I10" s="7"/>
      <c r="J10" s="6"/>
      <c r="K10" s="7"/>
      <c r="L10" s="6"/>
      <c r="M10" s="6"/>
      <c r="N10" s="7"/>
      <c r="O10" s="6"/>
      <c r="P10" s="6"/>
      <c r="Q10" s="7"/>
      <c r="R10" s="6" t="str">
        <f aca="false">IF(AND($A10="",$B10=""),"",IF(Q10="Complete","Onboarded",IF(OR(M10="Member",M10="Ambassador"),"Sponsored",IF(K10&lt;&gt;"","Follow-Up",IF(I10&lt;&gt;"","Presented",IF(F10&lt;&gt;"","Contacted","New Lead"))))))</f>
        <v/>
      </c>
      <c r="S10" s="6"/>
      <c r="T10" s="6" t="str">
        <f aca="true">IF(MAX(F10,I10,K10)=0,"",TODAY()-MAX(F10,I10,K10))</f>
        <v/>
      </c>
      <c r="U10" s="6"/>
      <c r="V10" s="6"/>
      <c r="W10" s="6" t="str">
        <f aca="false">IF(AND($A10="",$B10=""),"",IF(M10="Ambassador","1 - Ambassador",IF(M10="Member","2 - Member",IF(J10="Completed","3 - Presented",IF(H10&lt;&gt;"","4 - Sent",IF(F10&lt;&gt;"","5 - Contacted","6 - No Activity"))))))</f>
        <v/>
      </c>
      <c r="X10" s="6" t="n">
        <f aca="false">IF(AND($A10="",$B10=""),9999999+(ROW()-4),VALUE(LEFT($W10,1))*10000+(ROW()-4))</f>
        <v>10000005</v>
      </c>
    </row>
    <row r="11" customFormat="false" ht="15" hidden="false" customHeight="true" outlineLevel="0" collapsed="false">
      <c r="A11" s="6"/>
      <c r="B11" s="6"/>
      <c r="C11" s="6"/>
      <c r="D11" s="6"/>
      <c r="E11" s="6"/>
      <c r="F11" s="7"/>
      <c r="G11" s="6"/>
      <c r="H11" s="6"/>
      <c r="I11" s="7"/>
      <c r="J11" s="6"/>
      <c r="K11" s="7"/>
      <c r="L11" s="6"/>
      <c r="M11" s="6"/>
      <c r="N11" s="7"/>
      <c r="O11" s="6"/>
      <c r="P11" s="6"/>
      <c r="Q11" s="7"/>
      <c r="R11" s="6" t="str">
        <f aca="false">IF(AND($A11="",$B11=""),"",IF(Q11="Complete","Onboarded",IF(OR(M11="Member",M11="Ambassador"),"Sponsored",IF(K11&lt;&gt;"","Follow-Up",IF(I11&lt;&gt;"","Presented",IF(F11&lt;&gt;"","Contacted","New Lead"))))))</f>
        <v/>
      </c>
      <c r="S11" s="6"/>
      <c r="T11" s="6" t="str">
        <f aca="true">IF(MAX(F11,I11,K11)=0,"",TODAY()-MAX(F11,I11,K11))</f>
        <v/>
      </c>
      <c r="U11" s="6"/>
      <c r="V11" s="6"/>
      <c r="W11" s="6" t="str">
        <f aca="false">IF(AND($A11="",$B11=""),"",IF(M11="Ambassador","1 - Ambassador",IF(M11="Member","2 - Member",IF(J11="Completed","3 - Presented",IF(H11&lt;&gt;"","4 - Sent",IF(F11&lt;&gt;"","5 - Contacted","6 - No Activity"))))))</f>
        <v/>
      </c>
      <c r="X11" s="6" t="n">
        <f aca="false">IF(AND($A11="",$B11=""),9999999+(ROW()-4),VALUE(LEFT($W11,1))*10000+(ROW()-4))</f>
        <v>10000006</v>
      </c>
    </row>
    <row r="12" customFormat="false" ht="15" hidden="false" customHeight="true" outlineLevel="0" collapsed="false">
      <c r="A12" s="6"/>
      <c r="B12" s="6"/>
      <c r="C12" s="6"/>
      <c r="D12" s="6"/>
      <c r="E12" s="6"/>
      <c r="F12" s="7"/>
      <c r="G12" s="6"/>
      <c r="H12" s="6"/>
      <c r="I12" s="7"/>
      <c r="J12" s="6"/>
      <c r="K12" s="7"/>
      <c r="L12" s="6"/>
      <c r="M12" s="6"/>
      <c r="N12" s="7"/>
      <c r="O12" s="6"/>
      <c r="P12" s="6"/>
      <c r="Q12" s="7"/>
      <c r="R12" s="6" t="str">
        <f aca="false">IF(AND($A12="",$B12=""),"",IF(Q12="Complete","Onboarded",IF(OR(M12="Member",M12="Ambassador"),"Sponsored",IF(K12&lt;&gt;"","Follow-Up",IF(I12&lt;&gt;"","Presented",IF(F12&lt;&gt;"","Contacted","New Lead"))))))</f>
        <v/>
      </c>
      <c r="S12" s="6"/>
      <c r="T12" s="6" t="str">
        <f aca="true">IF(MAX(F12,I12,K12)=0,"",TODAY()-MAX(F12,I12,K12))</f>
        <v/>
      </c>
      <c r="U12" s="6"/>
      <c r="V12" s="6"/>
      <c r="W12" s="6" t="str">
        <f aca="false">IF(AND($A12="",$B12=""),"",IF(M12="Ambassador","1 - Ambassador",IF(M12="Member","2 - Member",IF(J12="Completed","3 - Presented",IF(H12&lt;&gt;"","4 - Sent",IF(F12&lt;&gt;"","5 - Contacted","6 - No Activity"))))))</f>
        <v/>
      </c>
      <c r="X12" s="6" t="n">
        <f aca="false">IF(AND($A12="",$B12=""),9999999+(ROW()-4),VALUE(LEFT($W12,1))*10000+(ROW()-4))</f>
        <v>10000007</v>
      </c>
    </row>
    <row r="13" customFormat="false" ht="15" hidden="false" customHeight="true" outlineLevel="0" collapsed="false">
      <c r="A13" s="6"/>
      <c r="B13" s="6"/>
      <c r="C13" s="6"/>
      <c r="D13" s="6"/>
      <c r="E13" s="6"/>
      <c r="F13" s="7"/>
      <c r="G13" s="6"/>
      <c r="H13" s="6"/>
      <c r="I13" s="7"/>
      <c r="J13" s="6"/>
      <c r="K13" s="7"/>
      <c r="L13" s="6"/>
      <c r="M13" s="6"/>
      <c r="N13" s="7"/>
      <c r="O13" s="6"/>
      <c r="P13" s="6"/>
      <c r="Q13" s="7"/>
      <c r="R13" s="6" t="str">
        <f aca="false">IF(AND($A13="",$B13=""),"",IF(Q13="Complete","Onboarded",IF(OR(M13="Member",M13="Ambassador"),"Sponsored",IF(K13&lt;&gt;"","Follow-Up",IF(I13&lt;&gt;"","Presented",IF(F13&lt;&gt;"","Contacted","New Lead"))))))</f>
        <v/>
      </c>
      <c r="S13" s="6"/>
      <c r="T13" s="6" t="str">
        <f aca="true">IF(MAX(F13,I13,K13)=0,"",TODAY()-MAX(F13,I13,K13))</f>
        <v/>
      </c>
      <c r="U13" s="6"/>
      <c r="V13" s="6"/>
      <c r="W13" s="6" t="str">
        <f aca="false">IF(AND($A13="",$B13=""),"",IF(M13="Ambassador","1 - Ambassador",IF(M13="Member","2 - Member",IF(J13="Completed","3 - Presented",IF(H13&lt;&gt;"","4 - Sent",IF(F13&lt;&gt;"","5 - Contacted","6 - No Activity"))))))</f>
        <v/>
      </c>
      <c r="X13" s="6" t="n">
        <f aca="false">IF(AND($A13="",$B13=""),9999999+(ROW()-4),VALUE(LEFT($W13,1))*10000+(ROW()-4))</f>
        <v>10000008</v>
      </c>
    </row>
    <row r="14" customFormat="false" ht="15" hidden="false" customHeight="true" outlineLevel="0" collapsed="false">
      <c r="A14" s="6"/>
      <c r="B14" s="6"/>
      <c r="C14" s="6"/>
      <c r="D14" s="6"/>
      <c r="E14" s="6"/>
      <c r="F14" s="7"/>
      <c r="G14" s="6"/>
      <c r="H14" s="6"/>
      <c r="I14" s="7"/>
      <c r="J14" s="6"/>
      <c r="K14" s="7"/>
      <c r="L14" s="6"/>
      <c r="M14" s="6"/>
      <c r="N14" s="7"/>
      <c r="O14" s="6"/>
      <c r="P14" s="6"/>
      <c r="Q14" s="7"/>
      <c r="R14" s="6" t="str">
        <f aca="false">IF(AND($A14="",$B14=""),"",IF(Q14="Complete","Onboarded",IF(OR(M14="Member",M14="Ambassador"),"Sponsored",IF(K14&lt;&gt;"","Follow-Up",IF(I14&lt;&gt;"","Presented",IF(F14&lt;&gt;"","Contacted","New Lead"))))))</f>
        <v/>
      </c>
      <c r="S14" s="6"/>
      <c r="T14" s="6" t="str">
        <f aca="true">IF(MAX(F14,I14,K14)=0,"",TODAY()-MAX(F14,I14,K14))</f>
        <v/>
      </c>
      <c r="U14" s="6"/>
      <c r="V14" s="6"/>
      <c r="W14" s="6" t="str">
        <f aca="false">IF(AND($A14="",$B14=""),"",IF(M14="Ambassador","1 - Ambassador",IF(M14="Member","2 - Member",IF(J14="Completed","3 - Presented",IF(H14&lt;&gt;"","4 - Sent",IF(F14&lt;&gt;"","5 - Contacted","6 - No Activity"))))))</f>
        <v/>
      </c>
      <c r="X14" s="6" t="n">
        <f aca="false">IF(AND($A14="",$B14=""),9999999+(ROW()-4),VALUE(LEFT($W14,1))*10000+(ROW()-4))</f>
        <v>10000009</v>
      </c>
    </row>
    <row r="15" customFormat="false" ht="15" hidden="false" customHeight="true" outlineLevel="0" collapsed="false">
      <c r="A15" s="6"/>
      <c r="B15" s="6"/>
      <c r="C15" s="6"/>
      <c r="D15" s="6"/>
      <c r="E15" s="6"/>
      <c r="F15" s="7"/>
      <c r="G15" s="6"/>
      <c r="H15" s="6"/>
      <c r="I15" s="7"/>
      <c r="J15" s="6"/>
      <c r="K15" s="7"/>
      <c r="L15" s="6"/>
      <c r="M15" s="6"/>
      <c r="N15" s="7"/>
      <c r="O15" s="6"/>
      <c r="P15" s="6"/>
      <c r="Q15" s="7"/>
      <c r="R15" s="6" t="str">
        <f aca="false">IF(AND($A15="",$B15=""),"",IF(Q15="Complete","Onboarded",IF(OR(M15="Member",M15="Ambassador"),"Sponsored",IF(K15&lt;&gt;"","Follow-Up",IF(I15&lt;&gt;"","Presented",IF(F15&lt;&gt;"","Contacted","New Lead"))))))</f>
        <v/>
      </c>
      <c r="S15" s="6"/>
      <c r="T15" s="6" t="str">
        <f aca="true">IF(MAX(F15,I15,K15)=0,"",TODAY()-MAX(F15,I15,K15))</f>
        <v/>
      </c>
      <c r="U15" s="6"/>
      <c r="V15" s="6"/>
      <c r="W15" s="6" t="str">
        <f aca="false">IF(AND($A15="",$B15=""),"",IF(M15="Ambassador","1 - Ambassador",IF(M15="Member","2 - Member",IF(J15="Completed","3 - Presented",IF(H15&lt;&gt;"","4 - Sent",IF(F15&lt;&gt;"","5 - Contacted","6 - No Activity"))))))</f>
        <v/>
      </c>
      <c r="X15" s="6" t="n">
        <f aca="false">IF(AND($A15="",$B15=""),9999999+(ROW()-4),VALUE(LEFT($W15,1))*10000+(ROW()-4))</f>
        <v>10000010</v>
      </c>
    </row>
    <row r="16" customFormat="false" ht="15" hidden="false" customHeight="true" outlineLevel="0" collapsed="false">
      <c r="A16" s="6"/>
      <c r="B16" s="6"/>
      <c r="C16" s="6"/>
      <c r="D16" s="6"/>
      <c r="E16" s="6"/>
      <c r="F16" s="7"/>
      <c r="G16" s="6"/>
      <c r="H16" s="6"/>
      <c r="I16" s="7"/>
      <c r="J16" s="6"/>
      <c r="K16" s="7"/>
      <c r="L16" s="6"/>
      <c r="M16" s="6"/>
      <c r="N16" s="7"/>
      <c r="O16" s="6"/>
      <c r="P16" s="6"/>
      <c r="Q16" s="7"/>
      <c r="R16" s="6" t="str">
        <f aca="false">IF(AND($A16="",$B16=""),"",IF(Q16="Complete","Onboarded",IF(OR(M16="Member",M16="Ambassador"),"Sponsored",IF(K16&lt;&gt;"","Follow-Up",IF(I16&lt;&gt;"","Presented",IF(F16&lt;&gt;"","Contacted","New Lead"))))))</f>
        <v/>
      </c>
      <c r="S16" s="6"/>
      <c r="T16" s="6" t="str">
        <f aca="true">IF(MAX(F16,I16,K16)=0,"",TODAY()-MAX(F16,I16,K16))</f>
        <v/>
      </c>
      <c r="U16" s="6"/>
      <c r="V16" s="6"/>
      <c r="W16" s="6" t="str">
        <f aca="false">IF(AND($A16="",$B16=""),"",IF(M16="Ambassador","1 - Ambassador",IF(M16="Member","2 - Member",IF(J16="Completed","3 - Presented",IF(H16&lt;&gt;"","4 - Sent",IF(F16&lt;&gt;"","5 - Contacted","6 - No Activity"))))))</f>
        <v/>
      </c>
      <c r="X16" s="6" t="n">
        <f aca="false">IF(AND($A16="",$B16=""),9999999+(ROW()-4),VALUE(LEFT($W16,1))*10000+(ROW()-4))</f>
        <v>10000011</v>
      </c>
    </row>
    <row r="17" customFormat="false" ht="15" hidden="false" customHeight="true" outlineLevel="0" collapsed="false">
      <c r="A17" s="6"/>
      <c r="B17" s="6"/>
      <c r="C17" s="6"/>
      <c r="D17" s="6"/>
      <c r="E17" s="6"/>
      <c r="F17" s="7"/>
      <c r="G17" s="6"/>
      <c r="H17" s="6"/>
      <c r="I17" s="7"/>
      <c r="J17" s="6"/>
      <c r="K17" s="7"/>
      <c r="L17" s="6"/>
      <c r="M17" s="6"/>
      <c r="N17" s="7"/>
      <c r="O17" s="6"/>
      <c r="P17" s="6"/>
      <c r="Q17" s="7"/>
      <c r="R17" s="6" t="str">
        <f aca="false">IF(AND($A17="",$B17=""),"",IF(Q17="Complete","Onboarded",IF(OR(M17="Member",M17="Ambassador"),"Sponsored",IF(K17&lt;&gt;"","Follow-Up",IF(I17&lt;&gt;"","Presented",IF(F17&lt;&gt;"","Contacted","New Lead"))))))</f>
        <v/>
      </c>
      <c r="S17" s="6"/>
      <c r="T17" s="6" t="str">
        <f aca="true">IF(MAX(F17,I17,K17)=0,"",TODAY()-MAX(F17,I17,K17))</f>
        <v/>
      </c>
      <c r="U17" s="6"/>
      <c r="V17" s="6"/>
      <c r="W17" s="6" t="str">
        <f aca="false">IF(AND($A17="",$B17=""),"",IF(M17="Ambassador","1 - Ambassador",IF(M17="Member","2 - Member",IF(J17="Completed","3 - Presented",IF(H17&lt;&gt;"","4 - Sent",IF(F17&lt;&gt;"","5 - Contacted","6 - No Activity"))))))</f>
        <v/>
      </c>
      <c r="X17" s="6" t="n">
        <f aca="false">IF(AND($A17="",$B17=""),9999999+(ROW()-4),VALUE(LEFT($W17,1))*10000+(ROW()-4))</f>
        <v>10000012</v>
      </c>
    </row>
    <row r="18" customFormat="false" ht="15" hidden="false" customHeight="true" outlineLevel="0" collapsed="false">
      <c r="A18" s="6"/>
      <c r="B18" s="6"/>
      <c r="C18" s="6"/>
      <c r="D18" s="6"/>
      <c r="E18" s="6"/>
      <c r="F18" s="7"/>
      <c r="G18" s="6"/>
      <c r="H18" s="6"/>
      <c r="I18" s="7"/>
      <c r="J18" s="6"/>
      <c r="K18" s="7"/>
      <c r="L18" s="6"/>
      <c r="M18" s="6"/>
      <c r="N18" s="7"/>
      <c r="O18" s="6"/>
      <c r="P18" s="6"/>
      <c r="Q18" s="7"/>
      <c r="R18" s="6" t="str">
        <f aca="false">IF(AND($A18="",$B18=""),"",IF(Q18="Complete","Onboarded",IF(OR(M18="Member",M18="Ambassador"),"Sponsored",IF(K18&lt;&gt;"","Follow-Up",IF(I18&lt;&gt;"","Presented",IF(F18&lt;&gt;"","Contacted","New Lead"))))))</f>
        <v/>
      </c>
      <c r="S18" s="6"/>
      <c r="T18" s="6" t="str">
        <f aca="true">IF(MAX(F18,I18,K18)=0,"",TODAY()-MAX(F18,I18,K18))</f>
        <v/>
      </c>
      <c r="U18" s="6"/>
      <c r="V18" s="6"/>
      <c r="W18" s="6" t="str">
        <f aca="false">IF(AND($A18="",$B18=""),"",IF(M18="Ambassador","1 - Ambassador",IF(M18="Member","2 - Member",IF(J18="Completed","3 - Presented",IF(H18&lt;&gt;"","4 - Sent",IF(F18&lt;&gt;"","5 - Contacted","6 - No Activity"))))))</f>
        <v/>
      </c>
      <c r="X18" s="6" t="n">
        <f aca="false">IF(AND($A18="",$B18=""),9999999+(ROW()-4),VALUE(LEFT($W18,1))*10000+(ROW()-4))</f>
        <v>10000013</v>
      </c>
    </row>
    <row r="19" customFormat="false" ht="15" hidden="false" customHeight="true" outlineLevel="0" collapsed="false">
      <c r="A19" s="6"/>
      <c r="B19" s="6"/>
      <c r="C19" s="6"/>
      <c r="D19" s="6"/>
      <c r="E19" s="6"/>
      <c r="F19" s="7"/>
      <c r="G19" s="6"/>
      <c r="H19" s="6"/>
      <c r="I19" s="7"/>
      <c r="J19" s="6"/>
      <c r="K19" s="7"/>
      <c r="L19" s="6"/>
      <c r="M19" s="6"/>
      <c r="N19" s="7"/>
      <c r="O19" s="6"/>
      <c r="P19" s="6"/>
      <c r="Q19" s="7"/>
      <c r="R19" s="6" t="str">
        <f aca="false">IF(AND($A19="",$B19=""),"",IF(Q19="Complete","Onboarded",IF(OR(M19="Member",M19="Ambassador"),"Sponsored",IF(K19&lt;&gt;"","Follow-Up",IF(I19&lt;&gt;"","Presented",IF(F19&lt;&gt;"","Contacted","New Lead"))))))</f>
        <v/>
      </c>
      <c r="S19" s="6"/>
      <c r="T19" s="6" t="str">
        <f aca="true">IF(MAX(F19,I19,K19)=0,"",TODAY()-MAX(F19,I19,K19))</f>
        <v/>
      </c>
      <c r="U19" s="6"/>
      <c r="V19" s="6"/>
      <c r="W19" s="6" t="str">
        <f aca="false">IF(AND($A19="",$B19=""),"",IF(M19="Ambassador","1 - Ambassador",IF(M19="Member","2 - Member",IF(J19="Completed","3 - Presented",IF(H19&lt;&gt;"","4 - Sent",IF(F19&lt;&gt;"","5 - Contacted","6 - No Activity"))))))</f>
        <v/>
      </c>
      <c r="X19" s="6" t="n">
        <f aca="false">IF(AND($A19="",$B19=""),9999999+(ROW()-4),VALUE(LEFT($W19,1))*10000+(ROW()-4))</f>
        <v>10000014</v>
      </c>
    </row>
    <row r="20" customFormat="false" ht="15" hidden="false" customHeight="true" outlineLevel="0" collapsed="false">
      <c r="A20" s="6"/>
      <c r="B20" s="6"/>
      <c r="C20" s="6"/>
      <c r="D20" s="6"/>
      <c r="E20" s="6"/>
      <c r="F20" s="7"/>
      <c r="G20" s="6"/>
      <c r="H20" s="6"/>
      <c r="I20" s="7"/>
      <c r="J20" s="6"/>
      <c r="K20" s="7"/>
      <c r="L20" s="6"/>
      <c r="M20" s="6"/>
      <c r="N20" s="7"/>
      <c r="O20" s="6"/>
      <c r="P20" s="6"/>
      <c r="Q20" s="7"/>
      <c r="R20" s="6" t="str">
        <f aca="false">IF(AND($A20="",$B20=""),"",IF(Q20="Complete","Onboarded",IF(OR(M20="Member",M20="Ambassador"),"Sponsored",IF(K20&lt;&gt;"","Follow-Up",IF(I20&lt;&gt;"","Presented",IF(F20&lt;&gt;"","Contacted","New Lead"))))))</f>
        <v/>
      </c>
      <c r="S20" s="6"/>
      <c r="T20" s="6" t="str">
        <f aca="true">IF(MAX(F20,I20,K20)=0,"",TODAY()-MAX(F20,I20,K20))</f>
        <v/>
      </c>
      <c r="U20" s="6"/>
      <c r="V20" s="6"/>
      <c r="W20" s="6" t="str">
        <f aca="false">IF(AND($A20="",$B20=""),"",IF(M20="Ambassador","1 - Ambassador",IF(M20="Member","2 - Member",IF(J20="Completed","3 - Presented",IF(H20&lt;&gt;"","4 - Sent",IF(F20&lt;&gt;"","5 - Contacted","6 - No Activity"))))))</f>
        <v/>
      </c>
      <c r="X20" s="6" t="n">
        <f aca="false">IF(AND($A20="",$B20=""),9999999+(ROW()-4),VALUE(LEFT($W20,1))*10000+(ROW()-4))</f>
        <v>10000015</v>
      </c>
    </row>
    <row r="21" customFormat="false" ht="15" hidden="false" customHeight="true" outlineLevel="0" collapsed="false">
      <c r="A21" s="6"/>
      <c r="B21" s="6"/>
      <c r="C21" s="6"/>
      <c r="D21" s="6"/>
      <c r="E21" s="6"/>
      <c r="F21" s="7"/>
      <c r="G21" s="6"/>
      <c r="H21" s="6"/>
      <c r="I21" s="7"/>
      <c r="J21" s="6"/>
      <c r="K21" s="7"/>
      <c r="L21" s="6"/>
      <c r="M21" s="6"/>
      <c r="N21" s="7"/>
      <c r="O21" s="6"/>
      <c r="P21" s="6"/>
      <c r="Q21" s="7"/>
      <c r="R21" s="6" t="str">
        <f aca="false">IF(AND($A21="",$B21=""),"",IF(Q21="Complete","Onboarded",IF(OR(M21="Member",M21="Ambassador"),"Sponsored",IF(K21&lt;&gt;"","Follow-Up",IF(I21&lt;&gt;"","Presented",IF(F21&lt;&gt;"","Contacted","New Lead"))))))</f>
        <v/>
      </c>
      <c r="S21" s="6"/>
      <c r="T21" s="6" t="str">
        <f aca="true">IF(MAX(F21,I21,K21)=0,"",TODAY()-MAX(F21,I21,K21))</f>
        <v/>
      </c>
      <c r="U21" s="6"/>
      <c r="V21" s="6"/>
      <c r="W21" s="6" t="str">
        <f aca="false">IF(AND($A21="",$B21=""),"",IF(M21="Ambassador","1 - Ambassador",IF(M21="Member","2 - Member",IF(J21="Completed","3 - Presented",IF(H21&lt;&gt;"","4 - Sent",IF(F21&lt;&gt;"","5 - Contacted","6 - No Activity"))))))</f>
        <v/>
      </c>
      <c r="X21" s="6" t="n">
        <f aca="false">IF(AND($A21="",$B21=""),9999999+(ROW()-4),VALUE(LEFT($W21,1))*10000+(ROW()-4))</f>
        <v>10000016</v>
      </c>
    </row>
    <row r="22" customFormat="false" ht="15" hidden="false" customHeight="true" outlineLevel="0" collapsed="false">
      <c r="A22" s="6"/>
      <c r="B22" s="6"/>
      <c r="C22" s="6"/>
      <c r="D22" s="6"/>
      <c r="E22" s="6"/>
      <c r="F22" s="7"/>
      <c r="G22" s="6"/>
      <c r="H22" s="6"/>
      <c r="I22" s="7"/>
      <c r="J22" s="6"/>
      <c r="K22" s="7"/>
      <c r="L22" s="6"/>
      <c r="M22" s="6"/>
      <c r="N22" s="7"/>
      <c r="O22" s="6"/>
      <c r="P22" s="6"/>
      <c r="Q22" s="7"/>
      <c r="R22" s="6" t="str">
        <f aca="false">IF(AND($A22="",$B22=""),"",IF(Q22="Complete","Onboarded",IF(OR(M22="Member",M22="Ambassador"),"Sponsored",IF(K22&lt;&gt;"","Follow-Up",IF(I22&lt;&gt;"","Presented",IF(F22&lt;&gt;"","Contacted","New Lead"))))))</f>
        <v/>
      </c>
      <c r="S22" s="6"/>
      <c r="T22" s="6" t="str">
        <f aca="true">IF(MAX(F22,I22,K22)=0,"",TODAY()-MAX(F22,I22,K22))</f>
        <v/>
      </c>
      <c r="U22" s="6"/>
      <c r="V22" s="6"/>
      <c r="W22" s="6" t="str">
        <f aca="false">IF(AND($A22="",$B22=""),"",IF(M22="Ambassador","1 - Ambassador",IF(M22="Member","2 - Member",IF(J22="Completed","3 - Presented",IF(H22&lt;&gt;"","4 - Sent",IF(F22&lt;&gt;"","5 - Contacted","6 - No Activity"))))))</f>
        <v/>
      </c>
      <c r="X22" s="6" t="n">
        <f aca="false">IF(AND($A22="",$B22=""),9999999+(ROW()-4),VALUE(LEFT($W22,1))*10000+(ROW()-4))</f>
        <v>10000017</v>
      </c>
    </row>
    <row r="23" customFormat="false" ht="15" hidden="false" customHeight="true" outlineLevel="0" collapsed="false">
      <c r="A23" s="6"/>
      <c r="B23" s="6"/>
      <c r="C23" s="6"/>
      <c r="D23" s="6"/>
      <c r="E23" s="6"/>
      <c r="F23" s="7"/>
      <c r="G23" s="6"/>
      <c r="H23" s="6"/>
      <c r="I23" s="7"/>
      <c r="J23" s="6"/>
      <c r="K23" s="7"/>
      <c r="L23" s="6"/>
      <c r="M23" s="6"/>
      <c r="N23" s="7"/>
      <c r="O23" s="6"/>
      <c r="P23" s="6"/>
      <c r="Q23" s="7"/>
      <c r="R23" s="6" t="str">
        <f aca="false">IF(AND($A23="",$B23=""),"",IF(Q23="Complete","Onboarded",IF(OR(M23="Member",M23="Ambassador"),"Sponsored",IF(K23&lt;&gt;"","Follow-Up",IF(I23&lt;&gt;"","Presented",IF(F23&lt;&gt;"","Contacted","New Lead"))))))</f>
        <v/>
      </c>
      <c r="S23" s="6"/>
      <c r="T23" s="6" t="str">
        <f aca="true">IF(MAX(F23,I23,K23)=0,"",TODAY()-MAX(F23,I23,K23))</f>
        <v/>
      </c>
      <c r="U23" s="6"/>
      <c r="V23" s="6"/>
      <c r="W23" s="6" t="str">
        <f aca="false">IF(AND($A23="",$B23=""),"",IF(M23="Ambassador","1 - Ambassador",IF(M23="Member","2 - Member",IF(J23="Completed","3 - Presented",IF(H23&lt;&gt;"","4 - Sent",IF(F23&lt;&gt;"","5 - Contacted","6 - No Activity"))))))</f>
        <v/>
      </c>
      <c r="X23" s="6" t="n">
        <f aca="false">IF(AND($A23="",$B23=""),9999999+(ROW()-4),VALUE(LEFT($W23,1))*10000+(ROW()-4))</f>
        <v>10000018</v>
      </c>
    </row>
    <row r="24" customFormat="false" ht="15" hidden="false" customHeight="true" outlineLevel="0" collapsed="false">
      <c r="A24" s="6"/>
      <c r="B24" s="6"/>
      <c r="C24" s="6"/>
      <c r="D24" s="6"/>
      <c r="E24" s="6"/>
      <c r="F24" s="7"/>
      <c r="G24" s="6"/>
      <c r="H24" s="6"/>
      <c r="I24" s="7"/>
      <c r="J24" s="6"/>
      <c r="K24" s="7"/>
      <c r="L24" s="6"/>
      <c r="M24" s="6"/>
      <c r="N24" s="7"/>
      <c r="O24" s="6"/>
      <c r="P24" s="6"/>
      <c r="Q24" s="7"/>
      <c r="R24" s="6" t="str">
        <f aca="false">IF(AND($A24="",$B24=""),"",IF(Q24="Complete","Onboarded",IF(OR(M24="Member",M24="Ambassador"),"Sponsored",IF(K24&lt;&gt;"","Follow-Up",IF(I24&lt;&gt;"","Presented",IF(F24&lt;&gt;"","Contacted","New Lead"))))))</f>
        <v/>
      </c>
      <c r="S24" s="6"/>
      <c r="T24" s="6" t="str">
        <f aca="true">IF(MAX(F24,I24,K24)=0,"",TODAY()-MAX(F24,I24,K24))</f>
        <v/>
      </c>
      <c r="U24" s="6"/>
      <c r="V24" s="6"/>
      <c r="W24" s="6" t="str">
        <f aca="false">IF(AND($A24="",$B24=""),"",IF(M24="Ambassador","1 - Ambassador",IF(M24="Member","2 - Member",IF(J24="Completed","3 - Presented",IF(H24&lt;&gt;"","4 - Sent",IF(F24&lt;&gt;"","5 - Contacted","6 - No Activity"))))))</f>
        <v/>
      </c>
      <c r="X24" s="6" t="n">
        <f aca="false">IF(AND($A24="",$B24=""),9999999+(ROW()-4),VALUE(LEFT($W24,1))*10000+(ROW()-4))</f>
        <v>10000019</v>
      </c>
    </row>
    <row r="25" customFormat="false" ht="15" hidden="false" customHeight="true" outlineLevel="0" collapsed="false">
      <c r="A25" s="6"/>
      <c r="B25" s="6"/>
      <c r="C25" s="6"/>
      <c r="D25" s="6"/>
      <c r="E25" s="6"/>
      <c r="F25" s="7"/>
      <c r="G25" s="6"/>
      <c r="H25" s="6"/>
      <c r="I25" s="7"/>
      <c r="J25" s="6"/>
      <c r="K25" s="7"/>
      <c r="L25" s="6"/>
      <c r="M25" s="6"/>
      <c r="N25" s="7"/>
      <c r="O25" s="6"/>
      <c r="P25" s="6"/>
      <c r="Q25" s="7"/>
      <c r="R25" s="6" t="str">
        <f aca="false">IF(AND($A25="",$B25=""),"",IF(Q25="Complete","Onboarded",IF(OR(M25="Member",M25="Ambassador"),"Sponsored",IF(K25&lt;&gt;"","Follow-Up",IF(I25&lt;&gt;"","Presented",IF(F25&lt;&gt;"","Contacted","New Lead"))))))</f>
        <v/>
      </c>
      <c r="S25" s="6"/>
      <c r="T25" s="6" t="str">
        <f aca="true">IF(MAX(F25,I25,K25)=0,"",TODAY()-MAX(F25,I25,K25))</f>
        <v/>
      </c>
      <c r="U25" s="6"/>
      <c r="V25" s="6"/>
      <c r="W25" s="6" t="str">
        <f aca="false">IF(AND($A25="",$B25=""),"",IF(M25="Ambassador","1 - Ambassador",IF(M25="Member","2 - Member",IF(J25="Completed","3 - Presented",IF(H25&lt;&gt;"","4 - Sent",IF(F25&lt;&gt;"","5 - Contacted","6 - No Activity"))))))</f>
        <v/>
      </c>
      <c r="X25" s="6" t="n">
        <f aca="false">IF(AND($A25="",$B25=""),9999999+(ROW()-4),VALUE(LEFT($W25,1))*10000+(ROW()-4))</f>
        <v>10000020</v>
      </c>
    </row>
    <row r="26" customFormat="false" ht="15" hidden="false" customHeight="true" outlineLevel="0" collapsed="false">
      <c r="A26" s="6"/>
      <c r="B26" s="6"/>
      <c r="C26" s="6"/>
      <c r="D26" s="6"/>
      <c r="E26" s="6"/>
      <c r="F26" s="7"/>
      <c r="G26" s="6"/>
      <c r="H26" s="6"/>
      <c r="I26" s="7"/>
      <c r="J26" s="6"/>
      <c r="K26" s="7"/>
      <c r="L26" s="6"/>
      <c r="M26" s="6"/>
      <c r="N26" s="7"/>
      <c r="O26" s="6"/>
      <c r="P26" s="6"/>
      <c r="Q26" s="7"/>
      <c r="R26" s="6" t="str">
        <f aca="false">IF(AND($A26="",$B26=""),"",IF(Q26="Complete","Onboarded",IF(OR(M26="Member",M26="Ambassador"),"Sponsored",IF(K26&lt;&gt;"","Follow-Up",IF(I26&lt;&gt;"","Presented",IF(F26&lt;&gt;"","Contacted","New Lead"))))))</f>
        <v/>
      </c>
      <c r="S26" s="6"/>
      <c r="T26" s="6" t="str">
        <f aca="true">IF(MAX(F26,I26,K26)=0,"",TODAY()-MAX(F26,I26,K26))</f>
        <v/>
      </c>
      <c r="U26" s="6"/>
      <c r="V26" s="6"/>
      <c r="W26" s="6" t="str">
        <f aca="false">IF(AND($A26="",$B26=""),"",IF(M26="Ambassador","1 - Ambassador",IF(M26="Member","2 - Member",IF(J26="Completed","3 - Presented",IF(H26&lt;&gt;"","4 - Sent",IF(F26&lt;&gt;"","5 - Contacted","6 - No Activity"))))))</f>
        <v/>
      </c>
      <c r="X26" s="6" t="n">
        <f aca="false">IF(AND($A26="",$B26=""),9999999+(ROW()-4),VALUE(LEFT($W26,1))*10000+(ROW()-4))</f>
        <v>10000021</v>
      </c>
    </row>
    <row r="27" customFormat="false" ht="15" hidden="false" customHeight="true" outlineLevel="0" collapsed="false">
      <c r="A27" s="6"/>
      <c r="B27" s="6"/>
      <c r="C27" s="6"/>
      <c r="D27" s="6"/>
      <c r="E27" s="6"/>
      <c r="F27" s="7"/>
      <c r="G27" s="6"/>
      <c r="H27" s="6"/>
      <c r="I27" s="7"/>
      <c r="J27" s="6"/>
      <c r="K27" s="7"/>
      <c r="L27" s="6"/>
      <c r="M27" s="6"/>
      <c r="N27" s="7"/>
      <c r="O27" s="6"/>
      <c r="P27" s="6"/>
      <c r="Q27" s="7"/>
      <c r="R27" s="6" t="str">
        <f aca="false">IF(AND($A27="",$B27=""),"",IF(Q27="Complete","Onboarded",IF(OR(M27="Member",M27="Ambassador"),"Sponsored",IF(K27&lt;&gt;"","Follow-Up",IF(I27&lt;&gt;"","Presented",IF(F27&lt;&gt;"","Contacted","New Lead"))))))</f>
        <v/>
      </c>
      <c r="S27" s="6"/>
      <c r="T27" s="6" t="str">
        <f aca="true">IF(MAX(F27,I27,K27)=0,"",TODAY()-MAX(F27,I27,K27))</f>
        <v/>
      </c>
      <c r="U27" s="6"/>
      <c r="V27" s="6"/>
      <c r="W27" s="6" t="str">
        <f aca="false">IF(AND($A27="",$B27=""),"",IF(M27="Ambassador","1 - Ambassador",IF(M27="Member","2 - Member",IF(J27="Completed","3 - Presented",IF(H27&lt;&gt;"","4 - Sent",IF(F27&lt;&gt;"","5 - Contacted","6 - No Activity"))))))</f>
        <v/>
      </c>
      <c r="X27" s="6" t="n">
        <f aca="false">IF(AND($A27="",$B27=""),9999999+(ROW()-4),VALUE(LEFT($W27,1))*10000+(ROW()-4))</f>
        <v>10000022</v>
      </c>
    </row>
    <row r="28" customFormat="false" ht="15" hidden="false" customHeight="true" outlineLevel="0" collapsed="false">
      <c r="A28" s="6"/>
      <c r="B28" s="6"/>
      <c r="C28" s="6"/>
      <c r="D28" s="6"/>
      <c r="E28" s="6"/>
      <c r="F28" s="7"/>
      <c r="G28" s="6"/>
      <c r="H28" s="6"/>
      <c r="I28" s="7"/>
      <c r="J28" s="6"/>
      <c r="K28" s="7"/>
      <c r="L28" s="6"/>
      <c r="M28" s="6"/>
      <c r="N28" s="7"/>
      <c r="O28" s="6"/>
      <c r="P28" s="6"/>
      <c r="Q28" s="7"/>
      <c r="R28" s="6" t="str">
        <f aca="false">IF(AND($A28="",$B28=""),"",IF(Q28="Complete","Onboarded",IF(OR(M28="Member",M28="Ambassador"),"Sponsored",IF(K28&lt;&gt;"","Follow-Up",IF(I28&lt;&gt;"","Presented",IF(F28&lt;&gt;"","Contacted","New Lead"))))))</f>
        <v/>
      </c>
      <c r="S28" s="6"/>
      <c r="T28" s="6" t="str">
        <f aca="true">IF(MAX(F28,I28,K28)=0,"",TODAY()-MAX(F28,I28,K28))</f>
        <v/>
      </c>
      <c r="U28" s="6"/>
      <c r="V28" s="6"/>
      <c r="W28" s="6" t="str">
        <f aca="false">IF(AND($A28="",$B28=""),"",IF(M28="Ambassador","1 - Ambassador",IF(M28="Member","2 - Member",IF(J28="Completed","3 - Presented",IF(H28&lt;&gt;"","4 - Sent",IF(F28&lt;&gt;"","5 - Contacted","6 - No Activity"))))))</f>
        <v/>
      </c>
      <c r="X28" s="6" t="n">
        <f aca="false">IF(AND($A28="",$B28=""),9999999+(ROW()-4),VALUE(LEFT($W28,1))*10000+(ROW()-4))</f>
        <v>10000023</v>
      </c>
    </row>
    <row r="29" customFormat="false" ht="15" hidden="false" customHeight="true" outlineLevel="0" collapsed="false">
      <c r="A29" s="6"/>
      <c r="B29" s="6"/>
      <c r="C29" s="6"/>
      <c r="D29" s="6"/>
      <c r="E29" s="6"/>
      <c r="F29" s="7"/>
      <c r="G29" s="6"/>
      <c r="H29" s="6"/>
      <c r="I29" s="7"/>
      <c r="J29" s="6"/>
      <c r="K29" s="7"/>
      <c r="L29" s="6"/>
      <c r="M29" s="6"/>
      <c r="N29" s="7"/>
      <c r="O29" s="6"/>
      <c r="P29" s="6"/>
      <c r="Q29" s="7"/>
      <c r="R29" s="6" t="str">
        <f aca="false">IF(AND($A29="",$B29=""),"",IF(Q29="Complete","Onboarded",IF(OR(M29="Member",M29="Ambassador"),"Sponsored",IF(K29&lt;&gt;"","Follow-Up",IF(I29&lt;&gt;"","Presented",IF(F29&lt;&gt;"","Contacted","New Lead"))))))</f>
        <v/>
      </c>
      <c r="S29" s="6"/>
      <c r="T29" s="6" t="str">
        <f aca="true">IF(MAX(F29,I29,K29)=0,"",TODAY()-MAX(F29,I29,K29))</f>
        <v/>
      </c>
      <c r="U29" s="6"/>
      <c r="V29" s="6"/>
      <c r="W29" s="6" t="str">
        <f aca="false">IF(AND($A29="",$B29=""),"",IF(M29="Ambassador","1 - Ambassador",IF(M29="Member","2 - Member",IF(J29="Completed","3 - Presented",IF(H29&lt;&gt;"","4 - Sent",IF(F29&lt;&gt;"","5 - Contacted","6 - No Activity"))))))</f>
        <v/>
      </c>
      <c r="X29" s="6" t="n">
        <f aca="false">IF(AND($A29="",$B29=""),9999999+(ROW()-4),VALUE(LEFT($W29,1))*10000+(ROW()-4))</f>
        <v>10000024</v>
      </c>
    </row>
    <row r="30" customFormat="false" ht="15" hidden="false" customHeight="true" outlineLevel="0" collapsed="false">
      <c r="A30" s="6"/>
      <c r="B30" s="6"/>
      <c r="C30" s="6"/>
      <c r="D30" s="6"/>
      <c r="E30" s="6"/>
      <c r="F30" s="7"/>
      <c r="G30" s="6"/>
      <c r="H30" s="6"/>
      <c r="I30" s="7"/>
      <c r="J30" s="6"/>
      <c r="K30" s="7"/>
      <c r="L30" s="6"/>
      <c r="M30" s="6"/>
      <c r="N30" s="7"/>
      <c r="O30" s="6"/>
      <c r="P30" s="6"/>
      <c r="Q30" s="7"/>
      <c r="R30" s="6" t="str">
        <f aca="false">IF(AND($A30="",$B30=""),"",IF(Q30="Complete","Onboarded",IF(OR(M30="Member",M30="Ambassador"),"Sponsored",IF(K30&lt;&gt;"","Follow-Up",IF(I30&lt;&gt;"","Presented",IF(F30&lt;&gt;"","Contacted","New Lead"))))))</f>
        <v/>
      </c>
      <c r="S30" s="6"/>
      <c r="T30" s="6" t="str">
        <f aca="true">IF(MAX(F30,I30,K30)=0,"",TODAY()-MAX(F30,I30,K30))</f>
        <v/>
      </c>
      <c r="U30" s="6"/>
      <c r="V30" s="6"/>
      <c r="W30" s="6" t="str">
        <f aca="false">IF(AND($A30="",$B30=""),"",IF(M30="Ambassador","1 - Ambassador",IF(M30="Member","2 - Member",IF(J30="Completed","3 - Presented",IF(H30&lt;&gt;"","4 - Sent",IF(F30&lt;&gt;"","5 - Contacted","6 - No Activity"))))))</f>
        <v/>
      </c>
      <c r="X30" s="6" t="n">
        <f aca="false">IF(AND($A30="",$B30=""),9999999+(ROW()-4),VALUE(LEFT($W30,1))*10000+(ROW()-4))</f>
        <v>10000025</v>
      </c>
    </row>
    <row r="31" customFormat="false" ht="15" hidden="false" customHeight="true" outlineLevel="0" collapsed="false">
      <c r="A31" s="6"/>
      <c r="B31" s="6"/>
      <c r="C31" s="6"/>
      <c r="D31" s="6"/>
      <c r="E31" s="6"/>
      <c r="F31" s="7"/>
      <c r="G31" s="6"/>
      <c r="H31" s="6"/>
      <c r="I31" s="7"/>
      <c r="J31" s="6"/>
      <c r="K31" s="7"/>
      <c r="L31" s="6"/>
      <c r="M31" s="6"/>
      <c r="N31" s="7"/>
      <c r="O31" s="6"/>
      <c r="P31" s="6"/>
      <c r="Q31" s="7"/>
      <c r="R31" s="6" t="str">
        <f aca="false">IF(AND($A31="",$B31=""),"",IF(Q31="Complete","Onboarded",IF(OR(M31="Member",M31="Ambassador"),"Sponsored",IF(K31&lt;&gt;"","Follow-Up",IF(I31&lt;&gt;"","Presented",IF(F31&lt;&gt;"","Contacted","New Lead"))))))</f>
        <v/>
      </c>
      <c r="S31" s="6"/>
      <c r="T31" s="6" t="str">
        <f aca="true">IF(MAX(F31,I31,K31)=0,"",TODAY()-MAX(F31,I31,K31))</f>
        <v/>
      </c>
      <c r="U31" s="6"/>
      <c r="V31" s="6"/>
      <c r="W31" s="6" t="str">
        <f aca="false">IF(AND($A31="",$B31=""),"",IF(M31="Ambassador","1 - Ambassador",IF(M31="Member","2 - Member",IF(J31="Completed","3 - Presented",IF(H31&lt;&gt;"","4 - Sent",IF(F31&lt;&gt;"","5 - Contacted","6 - No Activity"))))))</f>
        <v/>
      </c>
      <c r="X31" s="6" t="n">
        <f aca="false">IF(AND($A31="",$B31=""),9999999+(ROW()-4),VALUE(LEFT($W31,1))*10000+(ROW()-4))</f>
        <v>10000026</v>
      </c>
    </row>
    <row r="32" customFormat="false" ht="15" hidden="false" customHeight="true" outlineLevel="0" collapsed="false">
      <c r="A32" s="6"/>
      <c r="B32" s="6"/>
      <c r="C32" s="6"/>
      <c r="D32" s="6"/>
      <c r="E32" s="6"/>
      <c r="F32" s="7"/>
      <c r="G32" s="6"/>
      <c r="H32" s="6"/>
      <c r="I32" s="7"/>
      <c r="J32" s="6"/>
      <c r="K32" s="7"/>
      <c r="L32" s="6"/>
      <c r="M32" s="6"/>
      <c r="N32" s="7"/>
      <c r="O32" s="6"/>
      <c r="P32" s="6"/>
      <c r="Q32" s="7"/>
      <c r="R32" s="6" t="str">
        <f aca="false">IF(AND($A32="",$B32=""),"",IF(Q32="Complete","Onboarded",IF(OR(M32="Member",M32="Ambassador"),"Sponsored",IF(K32&lt;&gt;"","Follow-Up",IF(I32&lt;&gt;"","Presented",IF(F32&lt;&gt;"","Contacted","New Lead"))))))</f>
        <v/>
      </c>
      <c r="S32" s="6"/>
      <c r="T32" s="6" t="str">
        <f aca="true">IF(MAX(F32,I32,K32)=0,"",TODAY()-MAX(F32,I32,K32))</f>
        <v/>
      </c>
      <c r="U32" s="6"/>
      <c r="V32" s="6"/>
      <c r="W32" s="6" t="str">
        <f aca="false">IF(AND($A32="",$B32=""),"",IF(M32="Ambassador","1 - Ambassador",IF(M32="Member","2 - Member",IF(J32="Completed","3 - Presented",IF(H32&lt;&gt;"","4 - Sent",IF(F32&lt;&gt;"","5 - Contacted","6 - No Activity"))))))</f>
        <v/>
      </c>
      <c r="X32" s="6" t="n">
        <f aca="false">IF(AND($A32="",$B32=""),9999999+(ROW()-4),VALUE(LEFT($W32,1))*10000+(ROW()-4))</f>
        <v>10000027</v>
      </c>
    </row>
    <row r="33" customFormat="false" ht="15" hidden="false" customHeight="true" outlineLevel="0" collapsed="false">
      <c r="A33" s="6"/>
      <c r="B33" s="6"/>
      <c r="C33" s="6"/>
      <c r="D33" s="6"/>
      <c r="E33" s="6"/>
      <c r="F33" s="7"/>
      <c r="G33" s="6"/>
      <c r="H33" s="6"/>
      <c r="I33" s="7"/>
      <c r="J33" s="6"/>
      <c r="K33" s="7"/>
      <c r="L33" s="6"/>
      <c r="M33" s="6"/>
      <c r="N33" s="7"/>
      <c r="O33" s="6"/>
      <c r="P33" s="6"/>
      <c r="Q33" s="7"/>
      <c r="R33" s="6" t="str">
        <f aca="false">IF(AND($A33="",$B33=""),"",IF(Q33="Complete","Onboarded",IF(OR(M33="Member",M33="Ambassador"),"Sponsored",IF(K33&lt;&gt;"","Follow-Up",IF(I33&lt;&gt;"","Presented",IF(F33&lt;&gt;"","Contacted","New Lead"))))))</f>
        <v/>
      </c>
      <c r="S33" s="6"/>
      <c r="T33" s="6" t="str">
        <f aca="true">IF(MAX(F33,I33,K33)=0,"",TODAY()-MAX(F33,I33,K33))</f>
        <v/>
      </c>
      <c r="U33" s="6"/>
      <c r="V33" s="6"/>
      <c r="W33" s="6" t="str">
        <f aca="false">IF(AND($A33="",$B33=""),"",IF(M33="Ambassador","1 - Ambassador",IF(M33="Member","2 - Member",IF(J33="Completed","3 - Presented",IF(H33&lt;&gt;"","4 - Sent",IF(F33&lt;&gt;"","5 - Contacted","6 - No Activity"))))))</f>
        <v/>
      </c>
      <c r="X33" s="6" t="n">
        <f aca="false">IF(AND($A33="",$B33=""),9999999+(ROW()-4),VALUE(LEFT($W33,1))*10000+(ROW()-4))</f>
        <v>10000028</v>
      </c>
    </row>
    <row r="34" customFormat="false" ht="15" hidden="false" customHeight="true" outlineLevel="0" collapsed="false">
      <c r="A34" s="6"/>
      <c r="B34" s="6"/>
      <c r="C34" s="6"/>
      <c r="D34" s="6"/>
      <c r="E34" s="6"/>
      <c r="F34" s="7"/>
      <c r="G34" s="6"/>
      <c r="H34" s="6"/>
      <c r="I34" s="7"/>
      <c r="J34" s="6"/>
      <c r="K34" s="7"/>
      <c r="L34" s="6"/>
      <c r="M34" s="6"/>
      <c r="N34" s="7"/>
      <c r="O34" s="6"/>
      <c r="P34" s="6"/>
      <c r="Q34" s="7"/>
      <c r="R34" s="6" t="str">
        <f aca="false">IF(AND($A34="",$B34=""),"",IF(Q34="Complete","Onboarded",IF(OR(M34="Member",M34="Ambassador"),"Sponsored",IF(K34&lt;&gt;"","Follow-Up",IF(I34&lt;&gt;"","Presented",IF(F34&lt;&gt;"","Contacted","New Lead"))))))</f>
        <v/>
      </c>
      <c r="S34" s="6"/>
      <c r="T34" s="6" t="str">
        <f aca="true">IF(MAX(F34,I34,K34)=0,"",TODAY()-MAX(F34,I34,K34))</f>
        <v/>
      </c>
      <c r="U34" s="6"/>
      <c r="V34" s="6"/>
      <c r="W34" s="6" t="str">
        <f aca="false">IF(AND($A34="",$B34=""),"",IF(M34="Ambassador","1 - Ambassador",IF(M34="Member","2 - Member",IF(J34="Completed","3 - Presented",IF(H34&lt;&gt;"","4 - Sent",IF(F34&lt;&gt;"","5 - Contacted","6 - No Activity"))))))</f>
        <v/>
      </c>
      <c r="X34" s="6" t="n">
        <f aca="false">IF(AND($A34="",$B34=""),9999999+(ROW()-4),VALUE(LEFT($W34,1))*10000+(ROW()-4))</f>
        <v>10000029</v>
      </c>
    </row>
    <row r="35" customFormat="false" ht="15" hidden="false" customHeight="true" outlineLevel="0" collapsed="false">
      <c r="A35" s="6"/>
      <c r="B35" s="6"/>
      <c r="C35" s="6"/>
      <c r="D35" s="6"/>
      <c r="E35" s="6"/>
      <c r="F35" s="7"/>
      <c r="G35" s="6"/>
      <c r="H35" s="6"/>
      <c r="I35" s="7"/>
      <c r="J35" s="6"/>
      <c r="K35" s="7"/>
      <c r="L35" s="6"/>
      <c r="M35" s="6"/>
      <c r="N35" s="7"/>
      <c r="O35" s="6"/>
      <c r="P35" s="6"/>
      <c r="Q35" s="7"/>
      <c r="R35" s="6" t="str">
        <f aca="false">IF(AND($A35="",$B35=""),"",IF(Q35="Complete","Onboarded",IF(OR(M35="Member",M35="Ambassador"),"Sponsored",IF(K35&lt;&gt;"","Follow-Up",IF(I35&lt;&gt;"","Presented",IF(F35&lt;&gt;"","Contacted","New Lead"))))))</f>
        <v/>
      </c>
      <c r="S35" s="6"/>
      <c r="T35" s="6" t="str">
        <f aca="true">IF(MAX(F35,I35,K35)=0,"",TODAY()-MAX(F35,I35,K35))</f>
        <v/>
      </c>
      <c r="U35" s="6"/>
      <c r="V35" s="6"/>
      <c r="W35" s="6" t="str">
        <f aca="false">IF(AND($A35="",$B35=""),"",IF(M35="Ambassador","1 - Ambassador",IF(M35="Member","2 - Member",IF(J35="Completed","3 - Presented",IF(H35&lt;&gt;"","4 - Sent",IF(F35&lt;&gt;"","5 - Contacted","6 - No Activity"))))))</f>
        <v/>
      </c>
      <c r="X35" s="6" t="n">
        <f aca="false">IF(AND($A35="",$B35=""),9999999+(ROW()-4),VALUE(LEFT($W35,1))*10000+(ROW()-4))</f>
        <v>10000030</v>
      </c>
    </row>
    <row r="36" customFormat="false" ht="15" hidden="false" customHeight="true" outlineLevel="0" collapsed="false">
      <c r="A36" s="6"/>
      <c r="B36" s="6"/>
      <c r="C36" s="6"/>
      <c r="D36" s="6"/>
      <c r="E36" s="6"/>
      <c r="F36" s="7"/>
      <c r="G36" s="6"/>
      <c r="H36" s="6"/>
      <c r="I36" s="7"/>
      <c r="J36" s="6"/>
      <c r="K36" s="7"/>
      <c r="L36" s="6"/>
      <c r="M36" s="6"/>
      <c r="N36" s="7"/>
      <c r="O36" s="6"/>
      <c r="P36" s="6"/>
      <c r="Q36" s="7"/>
      <c r="R36" s="6" t="str">
        <f aca="false">IF(AND($A36="",$B36=""),"",IF(Q36="Complete","Onboarded",IF(OR(M36="Member",M36="Ambassador"),"Sponsored",IF(K36&lt;&gt;"","Follow-Up",IF(I36&lt;&gt;"","Presented",IF(F36&lt;&gt;"","Contacted","New Lead"))))))</f>
        <v/>
      </c>
      <c r="S36" s="6"/>
      <c r="T36" s="6" t="str">
        <f aca="true">IF(MAX(F36,I36,K36)=0,"",TODAY()-MAX(F36,I36,K36))</f>
        <v/>
      </c>
      <c r="U36" s="6"/>
      <c r="V36" s="6"/>
      <c r="W36" s="6" t="str">
        <f aca="false">IF(AND($A36="",$B36=""),"",IF(M36="Ambassador","1 - Ambassador",IF(M36="Member","2 - Member",IF(J36="Completed","3 - Presented",IF(H36&lt;&gt;"","4 - Sent",IF(F36&lt;&gt;"","5 - Contacted","6 - No Activity"))))))</f>
        <v/>
      </c>
      <c r="X36" s="6" t="n">
        <f aca="false">IF(AND($A36="",$B36=""),9999999+(ROW()-4),VALUE(LEFT($W36,1))*10000+(ROW()-4))</f>
        <v>10000031</v>
      </c>
    </row>
    <row r="37" customFormat="false" ht="15" hidden="false" customHeight="true" outlineLevel="0" collapsed="false">
      <c r="A37" s="6"/>
      <c r="B37" s="6"/>
      <c r="C37" s="6"/>
      <c r="D37" s="6"/>
      <c r="E37" s="6"/>
      <c r="F37" s="7"/>
      <c r="G37" s="6"/>
      <c r="H37" s="6"/>
      <c r="I37" s="7"/>
      <c r="J37" s="6"/>
      <c r="K37" s="7"/>
      <c r="L37" s="6"/>
      <c r="M37" s="6"/>
      <c r="N37" s="7"/>
      <c r="O37" s="6"/>
      <c r="P37" s="6"/>
      <c r="Q37" s="7"/>
      <c r="R37" s="6" t="str">
        <f aca="false">IF(AND($A37="",$B37=""),"",IF(Q37="Complete","Onboarded",IF(OR(M37="Member",M37="Ambassador"),"Sponsored",IF(K37&lt;&gt;"","Follow-Up",IF(I37&lt;&gt;"","Presented",IF(F37&lt;&gt;"","Contacted","New Lead"))))))</f>
        <v/>
      </c>
      <c r="S37" s="6"/>
      <c r="T37" s="6" t="str">
        <f aca="true">IF(MAX(F37,I37,K37)=0,"",TODAY()-MAX(F37,I37,K37))</f>
        <v/>
      </c>
      <c r="U37" s="6"/>
      <c r="V37" s="6"/>
      <c r="W37" s="6" t="str">
        <f aca="false">IF(AND($A37="",$B37=""),"",IF(M37="Ambassador","1 - Ambassador",IF(M37="Member","2 - Member",IF(J37="Completed","3 - Presented",IF(H37&lt;&gt;"","4 - Sent",IF(F37&lt;&gt;"","5 - Contacted","6 - No Activity"))))))</f>
        <v/>
      </c>
      <c r="X37" s="6" t="n">
        <f aca="false">IF(AND($A37="",$B37=""),9999999+(ROW()-4),VALUE(LEFT($W37,1))*10000+(ROW()-4))</f>
        <v>10000032</v>
      </c>
    </row>
    <row r="38" customFormat="false" ht="15" hidden="false" customHeight="true" outlineLevel="0" collapsed="false">
      <c r="A38" s="6"/>
      <c r="B38" s="6"/>
      <c r="C38" s="6"/>
      <c r="D38" s="6"/>
      <c r="E38" s="6"/>
      <c r="F38" s="7"/>
      <c r="G38" s="6"/>
      <c r="H38" s="6"/>
      <c r="I38" s="7"/>
      <c r="J38" s="6"/>
      <c r="K38" s="7"/>
      <c r="L38" s="6"/>
      <c r="M38" s="6"/>
      <c r="N38" s="7"/>
      <c r="O38" s="6"/>
      <c r="P38" s="6"/>
      <c r="Q38" s="7"/>
      <c r="R38" s="6" t="str">
        <f aca="false">IF(AND($A38="",$B38=""),"",IF(Q38="Complete","Onboarded",IF(OR(M38="Member",M38="Ambassador"),"Sponsored",IF(K38&lt;&gt;"","Follow-Up",IF(I38&lt;&gt;"","Presented",IF(F38&lt;&gt;"","Contacted","New Lead"))))))</f>
        <v/>
      </c>
      <c r="S38" s="6"/>
      <c r="T38" s="6" t="str">
        <f aca="true">IF(MAX(F38,I38,K38)=0,"",TODAY()-MAX(F38,I38,K38))</f>
        <v/>
      </c>
      <c r="U38" s="6"/>
      <c r="V38" s="6"/>
      <c r="W38" s="6" t="str">
        <f aca="false">IF(AND($A38="",$B38=""),"",IF(M38="Ambassador","1 - Ambassador",IF(M38="Member","2 - Member",IF(J38="Completed","3 - Presented",IF(H38&lt;&gt;"","4 - Sent",IF(F38&lt;&gt;"","5 - Contacted","6 - No Activity"))))))</f>
        <v/>
      </c>
      <c r="X38" s="6" t="n">
        <f aca="false">IF(AND($A38="",$B38=""),9999999+(ROW()-4),VALUE(LEFT($W38,1))*10000+(ROW()-4))</f>
        <v>10000033</v>
      </c>
    </row>
    <row r="39" customFormat="false" ht="15" hidden="false" customHeight="true" outlineLevel="0" collapsed="false">
      <c r="A39" s="6"/>
      <c r="B39" s="6"/>
      <c r="C39" s="6"/>
      <c r="D39" s="6"/>
      <c r="E39" s="6"/>
      <c r="F39" s="7"/>
      <c r="G39" s="6"/>
      <c r="H39" s="6"/>
      <c r="I39" s="7"/>
      <c r="J39" s="6"/>
      <c r="K39" s="7"/>
      <c r="L39" s="6"/>
      <c r="M39" s="6"/>
      <c r="N39" s="7"/>
      <c r="O39" s="6"/>
      <c r="P39" s="6"/>
      <c r="Q39" s="7"/>
      <c r="R39" s="6" t="str">
        <f aca="false">IF(AND($A39="",$B39=""),"",IF(Q39="Complete","Onboarded",IF(OR(M39="Member",M39="Ambassador"),"Sponsored",IF(K39&lt;&gt;"","Follow-Up",IF(I39&lt;&gt;"","Presented",IF(F39&lt;&gt;"","Contacted","New Lead"))))))</f>
        <v/>
      </c>
      <c r="S39" s="6"/>
      <c r="T39" s="6" t="str">
        <f aca="true">IF(MAX(F39,I39,K39)=0,"",TODAY()-MAX(F39,I39,K39))</f>
        <v/>
      </c>
      <c r="U39" s="6"/>
      <c r="V39" s="6"/>
      <c r="W39" s="6" t="str">
        <f aca="false">IF(AND($A39="",$B39=""),"",IF(M39="Ambassador","1 - Ambassador",IF(M39="Member","2 - Member",IF(J39="Completed","3 - Presented",IF(H39&lt;&gt;"","4 - Sent",IF(F39&lt;&gt;"","5 - Contacted","6 - No Activity"))))))</f>
        <v/>
      </c>
      <c r="X39" s="6" t="n">
        <f aca="false">IF(AND($A39="",$B39=""),9999999+(ROW()-4),VALUE(LEFT($W39,1))*10000+(ROW()-4))</f>
        <v>10000034</v>
      </c>
    </row>
    <row r="40" customFormat="false" ht="15" hidden="false" customHeight="true" outlineLevel="0" collapsed="false">
      <c r="A40" s="6"/>
      <c r="B40" s="6"/>
      <c r="C40" s="6"/>
      <c r="D40" s="6"/>
      <c r="E40" s="6"/>
      <c r="F40" s="7"/>
      <c r="G40" s="6"/>
      <c r="H40" s="6"/>
      <c r="I40" s="7"/>
      <c r="J40" s="6"/>
      <c r="K40" s="7"/>
      <c r="L40" s="6"/>
      <c r="M40" s="6"/>
      <c r="N40" s="7"/>
      <c r="O40" s="6"/>
      <c r="P40" s="6"/>
      <c r="Q40" s="7"/>
      <c r="R40" s="6" t="str">
        <f aca="false">IF(AND($A40="",$B40=""),"",IF(Q40="Complete","Onboarded",IF(OR(M40="Member",M40="Ambassador"),"Sponsored",IF(K40&lt;&gt;"","Follow-Up",IF(I40&lt;&gt;"","Presented",IF(F40&lt;&gt;"","Contacted","New Lead"))))))</f>
        <v/>
      </c>
      <c r="S40" s="6"/>
      <c r="T40" s="6" t="str">
        <f aca="true">IF(MAX(F40,I40,K40)=0,"",TODAY()-MAX(F40,I40,K40))</f>
        <v/>
      </c>
      <c r="U40" s="6"/>
      <c r="V40" s="6"/>
      <c r="W40" s="6" t="str">
        <f aca="false">IF(AND($A40="",$B40=""),"",IF(M40="Ambassador","1 - Ambassador",IF(M40="Member","2 - Member",IF(J40="Completed","3 - Presented",IF(H40&lt;&gt;"","4 - Sent",IF(F40&lt;&gt;"","5 - Contacted","6 - No Activity"))))))</f>
        <v/>
      </c>
      <c r="X40" s="6" t="n">
        <f aca="false">IF(AND($A40="",$B40=""),9999999+(ROW()-4),VALUE(LEFT($W40,1))*10000+(ROW()-4))</f>
        <v>10000035</v>
      </c>
    </row>
    <row r="41" customFormat="false" ht="15" hidden="false" customHeight="true" outlineLevel="0" collapsed="false">
      <c r="A41" s="6"/>
      <c r="B41" s="6"/>
      <c r="C41" s="6"/>
      <c r="D41" s="6"/>
      <c r="E41" s="6"/>
      <c r="F41" s="7"/>
      <c r="G41" s="6"/>
      <c r="H41" s="6"/>
      <c r="I41" s="7"/>
      <c r="J41" s="6"/>
      <c r="K41" s="7"/>
      <c r="L41" s="6"/>
      <c r="M41" s="6"/>
      <c r="N41" s="7"/>
      <c r="O41" s="6"/>
      <c r="P41" s="6"/>
      <c r="Q41" s="7"/>
      <c r="R41" s="6" t="str">
        <f aca="false">IF(AND($A41="",$B41=""),"",IF(Q41="Complete","Onboarded",IF(OR(M41="Member",M41="Ambassador"),"Sponsored",IF(K41&lt;&gt;"","Follow-Up",IF(I41&lt;&gt;"","Presented",IF(F41&lt;&gt;"","Contacted","New Lead"))))))</f>
        <v/>
      </c>
      <c r="S41" s="6"/>
      <c r="T41" s="6" t="str">
        <f aca="true">IF(MAX(F41,I41,K41)=0,"",TODAY()-MAX(F41,I41,K41))</f>
        <v/>
      </c>
      <c r="U41" s="6"/>
      <c r="V41" s="6"/>
      <c r="W41" s="6" t="str">
        <f aca="false">IF(AND($A41="",$B41=""),"",IF(M41="Ambassador","1 - Ambassador",IF(M41="Member","2 - Member",IF(J41="Completed","3 - Presented",IF(H41&lt;&gt;"","4 - Sent",IF(F41&lt;&gt;"","5 - Contacted","6 - No Activity"))))))</f>
        <v/>
      </c>
      <c r="X41" s="6" t="n">
        <f aca="false">IF(AND($A41="",$B41=""),9999999+(ROW()-4),VALUE(LEFT($W41,1))*10000+(ROW()-4))</f>
        <v>10000036</v>
      </c>
    </row>
    <row r="42" customFormat="false" ht="15" hidden="false" customHeight="true" outlineLevel="0" collapsed="false">
      <c r="A42" s="6"/>
      <c r="B42" s="6"/>
      <c r="C42" s="6"/>
      <c r="D42" s="6"/>
      <c r="E42" s="6"/>
      <c r="F42" s="7"/>
      <c r="G42" s="6"/>
      <c r="H42" s="6"/>
      <c r="I42" s="7"/>
      <c r="J42" s="6"/>
      <c r="K42" s="7"/>
      <c r="L42" s="6"/>
      <c r="M42" s="6"/>
      <c r="N42" s="7"/>
      <c r="O42" s="6"/>
      <c r="P42" s="6"/>
      <c r="Q42" s="7"/>
      <c r="R42" s="6" t="str">
        <f aca="false">IF(AND($A42="",$B42=""),"",IF(Q42="Complete","Onboarded",IF(OR(M42="Member",M42="Ambassador"),"Sponsored",IF(K42&lt;&gt;"","Follow-Up",IF(I42&lt;&gt;"","Presented",IF(F42&lt;&gt;"","Contacted","New Lead"))))))</f>
        <v/>
      </c>
      <c r="S42" s="6"/>
      <c r="T42" s="6" t="str">
        <f aca="true">IF(MAX(F42,I42,K42)=0,"",TODAY()-MAX(F42,I42,K42))</f>
        <v/>
      </c>
      <c r="U42" s="6"/>
      <c r="V42" s="6"/>
      <c r="W42" s="6" t="str">
        <f aca="false">IF(AND($A42="",$B42=""),"",IF(M42="Ambassador","1 - Ambassador",IF(M42="Member","2 - Member",IF(J42="Completed","3 - Presented",IF(H42&lt;&gt;"","4 - Sent",IF(F42&lt;&gt;"","5 - Contacted","6 - No Activity"))))))</f>
        <v/>
      </c>
      <c r="X42" s="6" t="n">
        <f aca="false">IF(AND($A42="",$B42=""),9999999+(ROW()-4),VALUE(LEFT($W42,1))*10000+(ROW()-4))</f>
        <v>10000037</v>
      </c>
    </row>
    <row r="43" customFormat="false" ht="15" hidden="false" customHeight="true" outlineLevel="0" collapsed="false">
      <c r="A43" s="6"/>
      <c r="B43" s="6"/>
      <c r="C43" s="6"/>
      <c r="D43" s="6"/>
      <c r="E43" s="6"/>
      <c r="F43" s="7"/>
      <c r="G43" s="6"/>
      <c r="H43" s="6"/>
      <c r="I43" s="7"/>
      <c r="J43" s="6"/>
      <c r="K43" s="7"/>
      <c r="L43" s="6"/>
      <c r="M43" s="6"/>
      <c r="N43" s="7"/>
      <c r="O43" s="6"/>
      <c r="P43" s="6"/>
      <c r="Q43" s="7"/>
      <c r="R43" s="6" t="str">
        <f aca="false">IF(AND($A43="",$B43=""),"",IF(Q43="Complete","Onboarded",IF(OR(M43="Member",M43="Ambassador"),"Sponsored",IF(K43&lt;&gt;"","Follow-Up",IF(I43&lt;&gt;"","Presented",IF(F43&lt;&gt;"","Contacted","New Lead"))))))</f>
        <v/>
      </c>
      <c r="S43" s="6"/>
      <c r="T43" s="6" t="str">
        <f aca="true">IF(MAX(F43,I43,K43)=0,"",TODAY()-MAX(F43,I43,K43))</f>
        <v/>
      </c>
      <c r="U43" s="6"/>
      <c r="V43" s="6"/>
      <c r="W43" s="6" t="str">
        <f aca="false">IF(AND($A43="",$B43=""),"",IF(M43="Ambassador","1 - Ambassador",IF(M43="Member","2 - Member",IF(J43="Completed","3 - Presented",IF(H43&lt;&gt;"","4 - Sent",IF(F43&lt;&gt;"","5 - Contacted","6 - No Activity"))))))</f>
        <v/>
      </c>
      <c r="X43" s="6" t="n">
        <f aca="false">IF(AND($A43="",$B43=""),9999999+(ROW()-4),VALUE(LEFT($W43,1))*10000+(ROW()-4))</f>
        <v>10000038</v>
      </c>
    </row>
    <row r="44" customFormat="false" ht="15" hidden="false" customHeight="true" outlineLevel="0" collapsed="false">
      <c r="A44" s="6"/>
      <c r="B44" s="6"/>
      <c r="C44" s="6"/>
      <c r="D44" s="6"/>
      <c r="E44" s="6"/>
      <c r="F44" s="7"/>
      <c r="G44" s="6"/>
      <c r="H44" s="6"/>
      <c r="I44" s="7"/>
      <c r="J44" s="6"/>
      <c r="K44" s="7"/>
      <c r="L44" s="6"/>
      <c r="M44" s="6"/>
      <c r="N44" s="7"/>
      <c r="O44" s="6"/>
      <c r="P44" s="6"/>
      <c r="Q44" s="7"/>
      <c r="R44" s="6" t="str">
        <f aca="false">IF(AND($A44="",$B44=""),"",IF(Q44="Complete","Onboarded",IF(OR(M44="Member",M44="Ambassador"),"Sponsored",IF(K44&lt;&gt;"","Follow-Up",IF(I44&lt;&gt;"","Presented",IF(F44&lt;&gt;"","Contacted","New Lead"))))))</f>
        <v/>
      </c>
      <c r="S44" s="6"/>
      <c r="T44" s="6" t="str">
        <f aca="true">IF(MAX(F44,I44,K44)=0,"",TODAY()-MAX(F44,I44,K44))</f>
        <v/>
      </c>
      <c r="U44" s="6"/>
      <c r="V44" s="6"/>
      <c r="W44" s="6" t="str">
        <f aca="false">IF(AND($A44="",$B44=""),"",IF(M44="Ambassador","1 - Ambassador",IF(M44="Member","2 - Member",IF(J44="Completed","3 - Presented",IF(H44&lt;&gt;"","4 - Sent",IF(F44&lt;&gt;"","5 - Contacted","6 - No Activity"))))))</f>
        <v/>
      </c>
      <c r="X44" s="6" t="n">
        <f aca="false">IF(AND($A44="",$B44=""),9999999+(ROW()-4),VALUE(LEFT($W44,1))*10000+(ROW()-4))</f>
        <v>10000039</v>
      </c>
    </row>
    <row r="45" customFormat="false" ht="15" hidden="false" customHeight="true" outlineLevel="0" collapsed="false">
      <c r="A45" s="6"/>
      <c r="B45" s="6"/>
      <c r="C45" s="6"/>
      <c r="D45" s="6"/>
      <c r="E45" s="6"/>
      <c r="F45" s="7"/>
      <c r="G45" s="6"/>
      <c r="H45" s="6"/>
      <c r="I45" s="7"/>
      <c r="J45" s="6"/>
      <c r="K45" s="7"/>
      <c r="L45" s="6"/>
      <c r="M45" s="6"/>
      <c r="N45" s="7"/>
      <c r="O45" s="6"/>
      <c r="P45" s="6"/>
      <c r="Q45" s="7"/>
      <c r="R45" s="6" t="str">
        <f aca="false">IF(AND($A45="",$B45=""),"",IF(Q45="Complete","Onboarded",IF(OR(M45="Member",M45="Ambassador"),"Sponsored",IF(K45&lt;&gt;"","Follow-Up",IF(I45&lt;&gt;"","Presented",IF(F45&lt;&gt;"","Contacted","New Lead"))))))</f>
        <v/>
      </c>
      <c r="S45" s="6"/>
      <c r="T45" s="6" t="str">
        <f aca="true">IF(MAX(F45,I45,K45)=0,"",TODAY()-MAX(F45,I45,K45))</f>
        <v/>
      </c>
      <c r="U45" s="6"/>
      <c r="V45" s="6"/>
      <c r="W45" s="6" t="str">
        <f aca="false">IF(AND($A45="",$B45=""),"",IF(M45="Ambassador","1 - Ambassador",IF(M45="Member","2 - Member",IF(J45="Completed","3 - Presented",IF(H45&lt;&gt;"","4 - Sent",IF(F45&lt;&gt;"","5 - Contacted","6 - No Activity"))))))</f>
        <v/>
      </c>
      <c r="X45" s="6" t="n">
        <f aca="false">IF(AND($A45="",$B45=""),9999999+(ROW()-4),VALUE(LEFT($W45,1))*10000+(ROW()-4))</f>
        <v>10000040</v>
      </c>
    </row>
    <row r="46" customFormat="false" ht="15" hidden="false" customHeight="true" outlineLevel="0" collapsed="false">
      <c r="A46" s="6"/>
      <c r="B46" s="6"/>
      <c r="C46" s="6"/>
      <c r="D46" s="6"/>
      <c r="E46" s="6"/>
      <c r="F46" s="7"/>
      <c r="G46" s="6"/>
      <c r="H46" s="6"/>
      <c r="I46" s="7"/>
      <c r="J46" s="6"/>
      <c r="K46" s="7"/>
      <c r="L46" s="6"/>
      <c r="M46" s="6"/>
      <c r="N46" s="7"/>
      <c r="O46" s="6"/>
      <c r="P46" s="6"/>
      <c r="Q46" s="7"/>
      <c r="R46" s="6" t="str">
        <f aca="false">IF(AND($A46="",$B46=""),"",IF(Q46="Complete","Onboarded",IF(OR(M46="Member",M46="Ambassador"),"Sponsored",IF(K46&lt;&gt;"","Follow-Up",IF(I46&lt;&gt;"","Presented",IF(F46&lt;&gt;"","Contacted","New Lead"))))))</f>
        <v/>
      </c>
      <c r="S46" s="6"/>
      <c r="T46" s="6" t="str">
        <f aca="true">IF(MAX(F46,I46,K46)=0,"",TODAY()-MAX(F46,I46,K46))</f>
        <v/>
      </c>
      <c r="U46" s="6"/>
      <c r="V46" s="6"/>
      <c r="W46" s="6" t="str">
        <f aca="false">IF(AND($A46="",$B46=""),"",IF(M46="Ambassador","1 - Ambassador",IF(M46="Member","2 - Member",IF(J46="Completed","3 - Presented",IF(H46&lt;&gt;"","4 - Sent",IF(F46&lt;&gt;"","5 - Contacted","6 - No Activity"))))))</f>
        <v/>
      </c>
      <c r="X46" s="6" t="n">
        <f aca="false">IF(AND($A46="",$B46=""),9999999+(ROW()-4),VALUE(LEFT($W46,1))*10000+(ROW()-4))</f>
        <v>10000041</v>
      </c>
    </row>
    <row r="47" customFormat="false" ht="15" hidden="false" customHeight="true" outlineLevel="0" collapsed="false">
      <c r="A47" s="6"/>
      <c r="B47" s="6"/>
      <c r="C47" s="6"/>
      <c r="D47" s="6"/>
      <c r="E47" s="6"/>
      <c r="F47" s="7"/>
      <c r="G47" s="6"/>
      <c r="H47" s="6"/>
      <c r="I47" s="7"/>
      <c r="J47" s="6"/>
      <c r="K47" s="7"/>
      <c r="L47" s="6"/>
      <c r="M47" s="6"/>
      <c r="N47" s="7"/>
      <c r="O47" s="6"/>
      <c r="P47" s="6"/>
      <c r="Q47" s="7"/>
      <c r="R47" s="6" t="str">
        <f aca="false">IF(AND($A47="",$B47=""),"",IF(Q47="Complete","Onboarded",IF(OR(M47="Member",M47="Ambassador"),"Sponsored",IF(K47&lt;&gt;"","Follow-Up",IF(I47&lt;&gt;"","Presented",IF(F47&lt;&gt;"","Contacted","New Lead"))))))</f>
        <v/>
      </c>
      <c r="S47" s="6"/>
      <c r="T47" s="6" t="str">
        <f aca="true">IF(MAX(F47,I47,K47)=0,"",TODAY()-MAX(F47,I47,K47))</f>
        <v/>
      </c>
      <c r="U47" s="6"/>
      <c r="V47" s="6"/>
      <c r="W47" s="6" t="str">
        <f aca="false">IF(AND($A47="",$B47=""),"",IF(M47="Ambassador","1 - Ambassador",IF(M47="Member","2 - Member",IF(J47="Completed","3 - Presented",IF(H47&lt;&gt;"","4 - Sent",IF(F47&lt;&gt;"","5 - Contacted","6 - No Activity"))))))</f>
        <v/>
      </c>
      <c r="X47" s="6" t="n">
        <f aca="false">IF(AND($A47="",$B47=""),9999999+(ROW()-4),VALUE(LEFT($W47,1))*10000+(ROW()-4))</f>
        <v>10000042</v>
      </c>
    </row>
    <row r="48" customFormat="false" ht="15" hidden="false" customHeight="true" outlineLevel="0" collapsed="false">
      <c r="A48" s="6"/>
      <c r="B48" s="6"/>
      <c r="C48" s="6"/>
      <c r="D48" s="6"/>
      <c r="E48" s="6"/>
      <c r="F48" s="7"/>
      <c r="G48" s="6"/>
      <c r="H48" s="6"/>
      <c r="I48" s="7"/>
      <c r="J48" s="6"/>
      <c r="K48" s="7"/>
      <c r="L48" s="6"/>
      <c r="M48" s="6"/>
      <c r="N48" s="7"/>
      <c r="O48" s="6"/>
      <c r="P48" s="6"/>
      <c r="Q48" s="7"/>
      <c r="R48" s="6" t="str">
        <f aca="false">IF(AND($A48="",$B48=""),"",IF(Q48="Complete","Onboarded",IF(OR(M48="Member",M48="Ambassador"),"Sponsored",IF(K48&lt;&gt;"","Follow-Up",IF(I48&lt;&gt;"","Presented",IF(F48&lt;&gt;"","Contacted","New Lead"))))))</f>
        <v/>
      </c>
      <c r="S48" s="6"/>
      <c r="T48" s="6" t="str">
        <f aca="true">IF(MAX(F48,I48,K48)=0,"",TODAY()-MAX(F48,I48,K48))</f>
        <v/>
      </c>
      <c r="U48" s="6"/>
      <c r="V48" s="6"/>
      <c r="W48" s="6" t="str">
        <f aca="false">IF(AND($A48="",$B48=""),"",IF(M48="Ambassador","1 - Ambassador",IF(M48="Member","2 - Member",IF(J48="Completed","3 - Presented",IF(H48&lt;&gt;"","4 - Sent",IF(F48&lt;&gt;"","5 - Contacted","6 - No Activity"))))))</f>
        <v/>
      </c>
      <c r="X48" s="6" t="n">
        <f aca="false">IF(AND($A48="",$B48=""),9999999+(ROW()-4),VALUE(LEFT($W48,1))*10000+(ROW()-4))</f>
        <v>10000043</v>
      </c>
    </row>
    <row r="49" customFormat="false" ht="15" hidden="false" customHeight="true" outlineLevel="0" collapsed="false">
      <c r="A49" s="6"/>
      <c r="B49" s="6"/>
      <c r="C49" s="6"/>
      <c r="D49" s="6"/>
      <c r="E49" s="6"/>
      <c r="F49" s="7"/>
      <c r="G49" s="6"/>
      <c r="H49" s="6"/>
      <c r="I49" s="7"/>
      <c r="J49" s="6"/>
      <c r="K49" s="7"/>
      <c r="L49" s="6"/>
      <c r="M49" s="6"/>
      <c r="N49" s="7"/>
      <c r="O49" s="6"/>
      <c r="P49" s="6"/>
      <c r="Q49" s="7"/>
      <c r="R49" s="6" t="str">
        <f aca="false">IF(AND($A49="",$B49=""),"",IF(Q49="Complete","Onboarded",IF(OR(M49="Member",M49="Ambassador"),"Sponsored",IF(K49&lt;&gt;"","Follow-Up",IF(I49&lt;&gt;"","Presented",IF(F49&lt;&gt;"","Contacted","New Lead"))))))</f>
        <v/>
      </c>
      <c r="S49" s="6"/>
      <c r="T49" s="6" t="str">
        <f aca="true">IF(MAX(F49,I49,K49)=0,"",TODAY()-MAX(F49,I49,K49))</f>
        <v/>
      </c>
      <c r="U49" s="6"/>
      <c r="V49" s="6"/>
      <c r="W49" s="6" t="str">
        <f aca="false">IF(AND($A49="",$B49=""),"",IF(M49="Ambassador","1 - Ambassador",IF(M49="Member","2 - Member",IF(J49="Completed","3 - Presented",IF(H49&lt;&gt;"","4 - Sent",IF(F49&lt;&gt;"","5 - Contacted","6 - No Activity"))))))</f>
        <v/>
      </c>
      <c r="X49" s="6" t="n">
        <f aca="false">IF(AND($A49="",$B49=""),9999999+(ROW()-4),VALUE(LEFT($W49,1))*10000+(ROW()-4))</f>
        <v>10000044</v>
      </c>
    </row>
    <row r="50" customFormat="false" ht="15" hidden="false" customHeight="true" outlineLevel="0" collapsed="false">
      <c r="A50" s="6"/>
      <c r="B50" s="6"/>
      <c r="C50" s="6"/>
      <c r="D50" s="6"/>
      <c r="E50" s="6"/>
      <c r="F50" s="7"/>
      <c r="G50" s="6"/>
      <c r="H50" s="6"/>
      <c r="I50" s="7"/>
      <c r="J50" s="6"/>
      <c r="K50" s="7"/>
      <c r="L50" s="6"/>
      <c r="M50" s="6"/>
      <c r="N50" s="7"/>
      <c r="O50" s="6"/>
      <c r="P50" s="6"/>
      <c r="Q50" s="7"/>
      <c r="R50" s="6" t="str">
        <f aca="false">IF(AND($A50="",$B50=""),"",IF(Q50="Complete","Onboarded",IF(OR(M50="Member",M50="Ambassador"),"Sponsored",IF(K50&lt;&gt;"","Follow-Up",IF(I50&lt;&gt;"","Presented",IF(F50&lt;&gt;"","Contacted","New Lead"))))))</f>
        <v/>
      </c>
      <c r="S50" s="6"/>
      <c r="T50" s="6" t="str">
        <f aca="true">IF(MAX(F50,I50,K50)=0,"",TODAY()-MAX(F50,I50,K50))</f>
        <v/>
      </c>
      <c r="U50" s="6"/>
      <c r="V50" s="6"/>
      <c r="W50" s="6" t="str">
        <f aca="false">IF(AND($A50="",$B50=""),"",IF(M50="Ambassador","1 - Ambassador",IF(M50="Member","2 - Member",IF(J50="Completed","3 - Presented",IF(H50&lt;&gt;"","4 - Sent",IF(F50&lt;&gt;"","5 - Contacted","6 - No Activity"))))))</f>
        <v/>
      </c>
      <c r="X50" s="6" t="n">
        <f aca="false">IF(AND($A50="",$B50=""),9999999+(ROW()-4),VALUE(LEFT($W50,1))*10000+(ROW()-4))</f>
        <v>10000045</v>
      </c>
    </row>
    <row r="51" customFormat="false" ht="15" hidden="false" customHeight="true" outlineLevel="0" collapsed="false">
      <c r="A51" s="6"/>
      <c r="B51" s="6"/>
      <c r="C51" s="6"/>
      <c r="D51" s="6"/>
      <c r="E51" s="6"/>
      <c r="F51" s="7"/>
      <c r="G51" s="6"/>
      <c r="H51" s="6"/>
      <c r="I51" s="7"/>
      <c r="J51" s="6"/>
      <c r="K51" s="7"/>
      <c r="L51" s="6"/>
      <c r="M51" s="6"/>
      <c r="N51" s="7"/>
      <c r="O51" s="6"/>
      <c r="P51" s="6"/>
      <c r="Q51" s="7"/>
      <c r="R51" s="6" t="str">
        <f aca="false">IF(AND($A51="",$B51=""),"",IF(Q51="Complete","Onboarded",IF(OR(M51="Member",M51="Ambassador"),"Sponsored",IF(K51&lt;&gt;"","Follow-Up",IF(I51&lt;&gt;"","Presented",IF(F51&lt;&gt;"","Contacted","New Lead"))))))</f>
        <v/>
      </c>
      <c r="S51" s="6"/>
      <c r="T51" s="6" t="str">
        <f aca="true">IF(MAX(F51,I51,K51)=0,"",TODAY()-MAX(F51,I51,K51))</f>
        <v/>
      </c>
      <c r="U51" s="6"/>
      <c r="V51" s="6"/>
      <c r="W51" s="6" t="str">
        <f aca="false">IF(AND($A51="",$B51=""),"",IF(M51="Ambassador","1 - Ambassador",IF(M51="Member","2 - Member",IF(J51="Completed","3 - Presented",IF(H51&lt;&gt;"","4 - Sent",IF(F51&lt;&gt;"","5 - Contacted","6 - No Activity"))))))</f>
        <v/>
      </c>
      <c r="X51" s="6" t="n">
        <f aca="false">IF(AND($A51="",$B51=""),9999999+(ROW()-4),VALUE(LEFT($W51,1))*10000+(ROW()-4))</f>
        <v>10000046</v>
      </c>
    </row>
    <row r="52" customFormat="false" ht="15" hidden="false" customHeight="true" outlineLevel="0" collapsed="false">
      <c r="A52" s="6"/>
      <c r="B52" s="6"/>
      <c r="C52" s="6"/>
      <c r="D52" s="6"/>
      <c r="E52" s="6"/>
      <c r="F52" s="7"/>
      <c r="G52" s="6"/>
      <c r="H52" s="6"/>
      <c r="I52" s="7"/>
      <c r="J52" s="6"/>
      <c r="K52" s="7"/>
      <c r="L52" s="6"/>
      <c r="M52" s="6"/>
      <c r="N52" s="7"/>
      <c r="O52" s="6"/>
      <c r="P52" s="6"/>
      <c r="Q52" s="7"/>
      <c r="R52" s="6" t="str">
        <f aca="false">IF(AND($A52="",$B52=""),"",IF(Q52="Complete","Onboarded",IF(OR(M52="Member",M52="Ambassador"),"Sponsored",IF(K52&lt;&gt;"","Follow-Up",IF(I52&lt;&gt;"","Presented",IF(F52&lt;&gt;"","Contacted","New Lead"))))))</f>
        <v/>
      </c>
      <c r="S52" s="6"/>
      <c r="T52" s="6" t="str">
        <f aca="true">IF(MAX(F52,I52,K52)=0,"",TODAY()-MAX(F52,I52,K52))</f>
        <v/>
      </c>
      <c r="U52" s="6"/>
      <c r="V52" s="6"/>
      <c r="W52" s="6" t="str">
        <f aca="false">IF(AND($A52="",$B52=""),"",IF(M52="Ambassador","1 - Ambassador",IF(M52="Member","2 - Member",IF(J52="Completed","3 - Presented",IF(H52&lt;&gt;"","4 - Sent",IF(F52&lt;&gt;"","5 - Contacted","6 - No Activity"))))))</f>
        <v/>
      </c>
      <c r="X52" s="6" t="n">
        <f aca="false">IF(AND($A52="",$B52=""),9999999+(ROW()-4),VALUE(LEFT($W52,1))*10000+(ROW()-4))</f>
        <v>10000047</v>
      </c>
    </row>
    <row r="53" customFormat="false" ht="15" hidden="false" customHeight="true" outlineLevel="0" collapsed="false">
      <c r="A53" s="6"/>
      <c r="B53" s="6"/>
      <c r="C53" s="6"/>
      <c r="D53" s="6"/>
      <c r="E53" s="6"/>
      <c r="F53" s="7"/>
      <c r="G53" s="6"/>
      <c r="H53" s="6"/>
      <c r="I53" s="7"/>
      <c r="J53" s="6"/>
      <c r="K53" s="7"/>
      <c r="L53" s="6"/>
      <c r="M53" s="6"/>
      <c r="N53" s="7"/>
      <c r="O53" s="6"/>
      <c r="P53" s="6"/>
      <c r="Q53" s="7"/>
      <c r="R53" s="6" t="str">
        <f aca="false">IF(AND($A53="",$B53=""),"",IF(Q53="Complete","Onboarded",IF(OR(M53="Member",M53="Ambassador"),"Sponsored",IF(K53&lt;&gt;"","Follow-Up",IF(I53&lt;&gt;"","Presented",IF(F53&lt;&gt;"","Contacted","New Lead"))))))</f>
        <v/>
      </c>
      <c r="S53" s="6"/>
      <c r="T53" s="6" t="str">
        <f aca="true">IF(MAX(F53,I53,K53)=0,"",TODAY()-MAX(F53,I53,K53))</f>
        <v/>
      </c>
      <c r="U53" s="6"/>
      <c r="V53" s="6"/>
      <c r="W53" s="6" t="str">
        <f aca="false">IF(AND($A53="",$B53=""),"",IF(M53="Ambassador","1 - Ambassador",IF(M53="Member","2 - Member",IF(J53="Completed","3 - Presented",IF(H53&lt;&gt;"","4 - Sent",IF(F53&lt;&gt;"","5 - Contacted","6 - No Activity"))))))</f>
        <v/>
      </c>
      <c r="X53" s="6" t="n">
        <f aca="false">IF(AND($A53="",$B53=""),9999999+(ROW()-4),VALUE(LEFT($W53,1))*10000+(ROW()-4))</f>
        <v>10000048</v>
      </c>
    </row>
    <row r="54" customFormat="false" ht="15" hidden="false" customHeight="true" outlineLevel="0" collapsed="false">
      <c r="A54" s="6"/>
      <c r="B54" s="6"/>
      <c r="C54" s="6"/>
      <c r="D54" s="6"/>
      <c r="E54" s="6"/>
      <c r="F54" s="7"/>
      <c r="G54" s="6"/>
      <c r="H54" s="6"/>
      <c r="I54" s="7"/>
      <c r="J54" s="6"/>
      <c r="K54" s="7"/>
      <c r="L54" s="6"/>
      <c r="M54" s="6"/>
      <c r="N54" s="7"/>
      <c r="O54" s="6"/>
      <c r="P54" s="6"/>
      <c r="Q54" s="7"/>
      <c r="R54" s="6" t="str">
        <f aca="false">IF(AND($A54="",$B54=""),"",IF(Q54="Complete","Onboarded",IF(OR(M54="Member",M54="Ambassador"),"Sponsored",IF(K54&lt;&gt;"","Follow-Up",IF(I54&lt;&gt;"","Presented",IF(F54&lt;&gt;"","Contacted","New Lead"))))))</f>
        <v/>
      </c>
      <c r="S54" s="6"/>
      <c r="T54" s="6" t="str">
        <f aca="true">IF(MAX(F54,I54,K54)=0,"",TODAY()-MAX(F54,I54,K54))</f>
        <v/>
      </c>
      <c r="U54" s="6"/>
      <c r="V54" s="6"/>
      <c r="W54" s="6" t="str">
        <f aca="false">IF(AND($A54="",$B54=""),"",IF(M54="Ambassador","1 - Ambassador",IF(M54="Member","2 - Member",IF(J54="Completed","3 - Presented",IF(H54&lt;&gt;"","4 - Sent",IF(F54&lt;&gt;"","5 - Contacted","6 - No Activity"))))))</f>
        <v/>
      </c>
      <c r="X54" s="6" t="n">
        <f aca="false">IF(AND($A54="",$B54=""),9999999+(ROW()-4),VALUE(LEFT($W54,1))*10000+(ROW()-4))</f>
        <v>10000049</v>
      </c>
    </row>
    <row r="55" customFormat="false" ht="15" hidden="false" customHeight="true" outlineLevel="0" collapsed="false">
      <c r="A55" s="6"/>
      <c r="B55" s="6"/>
      <c r="C55" s="6"/>
      <c r="D55" s="6"/>
      <c r="E55" s="6"/>
      <c r="F55" s="7"/>
      <c r="G55" s="6"/>
      <c r="H55" s="6"/>
      <c r="I55" s="7"/>
      <c r="J55" s="6"/>
      <c r="K55" s="7"/>
      <c r="L55" s="6"/>
      <c r="M55" s="6"/>
      <c r="N55" s="7"/>
      <c r="O55" s="6"/>
      <c r="P55" s="6"/>
      <c r="Q55" s="7"/>
      <c r="R55" s="6" t="str">
        <f aca="false">IF(AND($A55="",$B55=""),"",IF(Q55="Complete","Onboarded",IF(OR(M55="Member",M55="Ambassador"),"Sponsored",IF(K55&lt;&gt;"","Follow-Up",IF(I55&lt;&gt;"","Presented",IF(F55&lt;&gt;"","Contacted","New Lead"))))))</f>
        <v/>
      </c>
      <c r="S55" s="6"/>
      <c r="T55" s="6" t="str">
        <f aca="true">IF(MAX(F55,I55,K55)=0,"",TODAY()-MAX(F55,I55,K55))</f>
        <v/>
      </c>
      <c r="U55" s="6"/>
      <c r="V55" s="6"/>
      <c r="W55" s="6" t="str">
        <f aca="false">IF(AND($A55="",$B55=""),"",IF(M55="Ambassador","1 - Ambassador",IF(M55="Member","2 - Member",IF(J55="Completed","3 - Presented",IF(H55&lt;&gt;"","4 - Sent",IF(F55&lt;&gt;"","5 - Contacted","6 - No Activity"))))))</f>
        <v/>
      </c>
      <c r="X55" s="6" t="n">
        <f aca="false">IF(AND($A55="",$B55=""),9999999+(ROW()-4),VALUE(LEFT($W55,1))*10000+(ROW()-4))</f>
        <v>10000050</v>
      </c>
    </row>
    <row r="56" customFormat="false" ht="15" hidden="false" customHeight="true" outlineLevel="0" collapsed="false">
      <c r="A56" s="6"/>
      <c r="B56" s="6"/>
      <c r="C56" s="6"/>
      <c r="D56" s="6"/>
      <c r="E56" s="6"/>
      <c r="F56" s="7"/>
      <c r="G56" s="6"/>
      <c r="H56" s="6"/>
      <c r="I56" s="7"/>
      <c r="J56" s="6"/>
      <c r="K56" s="7"/>
      <c r="L56" s="6"/>
      <c r="M56" s="6"/>
      <c r="N56" s="7"/>
      <c r="O56" s="6"/>
      <c r="P56" s="6"/>
      <c r="Q56" s="7"/>
      <c r="R56" s="6" t="str">
        <f aca="false">IF(AND($A56="",$B56=""),"",IF(Q56="Complete","Onboarded",IF(OR(M56="Member",M56="Ambassador"),"Sponsored",IF(K56&lt;&gt;"","Follow-Up",IF(I56&lt;&gt;"","Presented",IF(F56&lt;&gt;"","Contacted","New Lead"))))))</f>
        <v/>
      </c>
      <c r="S56" s="6"/>
      <c r="T56" s="6" t="str">
        <f aca="true">IF(MAX(F56,I56,K56)=0,"",TODAY()-MAX(F56,I56,K56))</f>
        <v/>
      </c>
      <c r="U56" s="6"/>
      <c r="V56" s="6"/>
      <c r="W56" s="6" t="str">
        <f aca="false">IF(AND($A56="",$B56=""),"",IF(M56="Ambassador","1 - Ambassador",IF(M56="Member","2 - Member",IF(J56="Completed","3 - Presented",IF(H56&lt;&gt;"","4 - Sent",IF(F56&lt;&gt;"","5 - Contacted","6 - No Activity"))))))</f>
        <v/>
      </c>
      <c r="X56" s="6" t="n">
        <f aca="false">IF(AND($A56="",$B56=""),9999999+(ROW()-4),VALUE(LEFT($W56,1))*10000+(ROW()-4))</f>
        <v>10000051</v>
      </c>
    </row>
    <row r="57" customFormat="false" ht="15" hidden="false" customHeight="true" outlineLevel="0" collapsed="false">
      <c r="A57" s="6"/>
      <c r="B57" s="6"/>
      <c r="C57" s="6"/>
      <c r="D57" s="6"/>
      <c r="E57" s="6"/>
      <c r="F57" s="7"/>
      <c r="G57" s="6"/>
      <c r="H57" s="6"/>
      <c r="I57" s="7"/>
      <c r="J57" s="6"/>
      <c r="K57" s="7"/>
      <c r="L57" s="6"/>
      <c r="M57" s="6"/>
      <c r="N57" s="7"/>
      <c r="O57" s="6"/>
      <c r="P57" s="6"/>
      <c r="Q57" s="7"/>
      <c r="R57" s="6" t="str">
        <f aca="false">IF(AND($A57="",$B57=""),"",IF(Q57="Complete","Onboarded",IF(OR(M57="Member",M57="Ambassador"),"Sponsored",IF(K57&lt;&gt;"","Follow-Up",IF(I57&lt;&gt;"","Presented",IF(F57&lt;&gt;"","Contacted","New Lead"))))))</f>
        <v/>
      </c>
      <c r="S57" s="6"/>
      <c r="T57" s="6" t="str">
        <f aca="true">IF(MAX(F57,I57,K57)=0,"",TODAY()-MAX(F57,I57,K57))</f>
        <v/>
      </c>
      <c r="U57" s="6"/>
      <c r="V57" s="6"/>
      <c r="W57" s="6" t="str">
        <f aca="false">IF(AND($A57="",$B57=""),"",IF(M57="Ambassador","1 - Ambassador",IF(M57="Member","2 - Member",IF(J57="Completed","3 - Presented",IF(H57&lt;&gt;"","4 - Sent",IF(F57&lt;&gt;"","5 - Contacted","6 - No Activity"))))))</f>
        <v/>
      </c>
      <c r="X57" s="6" t="n">
        <f aca="false">IF(AND($A57="",$B57=""),9999999+(ROW()-4),VALUE(LEFT($W57,1))*10000+(ROW()-4))</f>
        <v>10000052</v>
      </c>
    </row>
    <row r="58" customFormat="false" ht="15" hidden="false" customHeight="true" outlineLevel="0" collapsed="false">
      <c r="A58" s="6"/>
      <c r="B58" s="6"/>
      <c r="C58" s="6"/>
      <c r="D58" s="6"/>
      <c r="E58" s="6"/>
      <c r="F58" s="7"/>
      <c r="G58" s="6"/>
      <c r="H58" s="6"/>
      <c r="I58" s="7"/>
      <c r="J58" s="6"/>
      <c r="K58" s="7"/>
      <c r="L58" s="6"/>
      <c r="M58" s="6"/>
      <c r="N58" s="7"/>
      <c r="O58" s="6"/>
      <c r="P58" s="6"/>
      <c r="Q58" s="7"/>
      <c r="R58" s="6" t="str">
        <f aca="false">IF(AND($A58="",$B58=""),"",IF(Q58="Complete","Onboarded",IF(OR(M58="Member",M58="Ambassador"),"Sponsored",IF(K58&lt;&gt;"","Follow-Up",IF(I58&lt;&gt;"","Presented",IF(F58&lt;&gt;"","Contacted","New Lead"))))))</f>
        <v/>
      </c>
      <c r="S58" s="6"/>
      <c r="T58" s="6" t="str">
        <f aca="true">IF(MAX(F58,I58,K58)=0,"",TODAY()-MAX(F58,I58,K58))</f>
        <v/>
      </c>
      <c r="U58" s="6"/>
      <c r="V58" s="6"/>
      <c r="W58" s="6" t="str">
        <f aca="false">IF(AND($A58="",$B58=""),"",IF(M58="Ambassador","1 - Ambassador",IF(M58="Member","2 - Member",IF(J58="Completed","3 - Presented",IF(H58&lt;&gt;"","4 - Sent",IF(F58&lt;&gt;"","5 - Contacted","6 - No Activity"))))))</f>
        <v/>
      </c>
      <c r="X58" s="6" t="n">
        <f aca="false">IF(AND($A58="",$B58=""),9999999+(ROW()-4),VALUE(LEFT($W58,1))*10000+(ROW()-4))</f>
        <v>10000053</v>
      </c>
    </row>
    <row r="59" customFormat="false" ht="15" hidden="false" customHeight="true" outlineLevel="0" collapsed="false">
      <c r="A59" s="6"/>
      <c r="B59" s="6"/>
      <c r="C59" s="6"/>
      <c r="D59" s="6"/>
      <c r="E59" s="6"/>
      <c r="F59" s="7"/>
      <c r="G59" s="6"/>
      <c r="H59" s="6"/>
      <c r="I59" s="7"/>
      <c r="J59" s="6"/>
      <c r="K59" s="7"/>
      <c r="L59" s="6"/>
      <c r="M59" s="6"/>
      <c r="N59" s="7"/>
      <c r="O59" s="6"/>
      <c r="P59" s="6"/>
      <c r="Q59" s="7"/>
      <c r="R59" s="6" t="str">
        <f aca="false">IF(AND($A59="",$B59=""),"",IF(Q59="Complete","Onboarded",IF(OR(M59="Member",M59="Ambassador"),"Sponsored",IF(K59&lt;&gt;"","Follow-Up",IF(I59&lt;&gt;"","Presented",IF(F59&lt;&gt;"","Contacted","New Lead"))))))</f>
        <v/>
      </c>
      <c r="S59" s="6"/>
      <c r="T59" s="6" t="str">
        <f aca="true">IF(MAX(F59,I59,K59)=0,"",TODAY()-MAX(F59,I59,K59))</f>
        <v/>
      </c>
      <c r="U59" s="6"/>
      <c r="V59" s="6"/>
      <c r="W59" s="6" t="str">
        <f aca="false">IF(AND($A59="",$B59=""),"",IF(M59="Ambassador","1 - Ambassador",IF(M59="Member","2 - Member",IF(J59="Completed","3 - Presented",IF(H59&lt;&gt;"","4 - Sent",IF(F59&lt;&gt;"","5 - Contacted","6 - No Activity"))))))</f>
        <v/>
      </c>
      <c r="X59" s="6" t="n">
        <f aca="false">IF(AND($A59="",$B59=""),9999999+(ROW()-4),VALUE(LEFT($W59,1))*10000+(ROW()-4))</f>
        <v>10000054</v>
      </c>
    </row>
    <row r="60" customFormat="false" ht="15" hidden="false" customHeight="true" outlineLevel="0" collapsed="false">
      <c r="A60" s="6"/>
      <c r="B60" s="6"/>
      <c r="C60" s="6"/>
      <c r="D60" s="6"/>
      <c r="E60" s="6"/>
      <c r="F60" s="7"/>
      <c r="G60" s="6"/>
      <c r="H60" s="6"/>
      <c r="I60" s="7"/>
      <c r="J60" s="6"/>
      <c r="K60" s="7"/>
      <c r="L60" s="6"/>
      <c r="M60" s="6"/>
      <c r="N60" s="7"/>
      <c r="O60" s="6"/>
      <c r="P60" s="6"/>
      <c r="Q60" s="7"/>
      <c r="R60" s="6" t="str">
        <f aca="false">IF(AND($A60="",$B60=""),"",IF(Q60="Complete","Onboarded",IF(OR(M60="Member",M60="Ambassador"),"Sponsored",IF(K60&lt;&gt;"","Follow-Up",IF(I60&lt;&gt;"","Presented",IF(F60&lt;&gt;"","Contacted","New Lead"))))))</f>
        <v/>
      </c>
      <c r="S60" s="6"/>
      <c r="T60" s="6" t="str">
        <f aca="true">IF(MAX(F60,I60,K60)=0,"",TODAY()-MAX(F60,I60,K60))</f>
        <v/>
      </c>
      <c r="U60" s="6"/>
      <c r="V60" s="6"/>
      <c r="W60" s="6" t="str">
        <f aca="false">IF(AND($A60="",$B60=""),"",IF(M60="Ambassador","1 - Ambassador",IF(M60="Member","2 - Member",IF(J60="Completed","3 - Presented",IF(H60&lt;&gt;"","4 - Sent",IF(F60&lt;&gt;"","5 - Contacted","6 - No Activity"))))))</f>
        <v/>
      </c>
      <c r="X60" s="6" t="n">
        <f aca="false">IF(AND($A60="",$B60=""),9999999+(ROW()-4),VALUE(LEFT($W60,1))*10000+(ROW()-4))</f>
        <v>10000055</v>
      </c>
    </row>
    <row r="61" customFormat="false" ht="15" hidden="false" customHeight="true" outlineLevel="0" collapsed="false">
      <c r="A61" s="6"/>
      <c r="B61" s="6"/>
      <c r="C61" s="6"/>
      <c r="D61" s="6"/>
      <c r="E61" s="6"/>
      <c r="F61" s="7"/>
      <c r="G61" s="6"/>
      <c r="H61" s="6"/>
      <c r="I61" s="7"/>
      <c r="J61" s="6"/>
      <c r="K61" s="7"/>
      <c r="L61" s="6"/>
      <c r="M61" s="6"/>
      <c r="N61" s="7"/>
      <c r="O61" s="6"/>
      <c r="P61" s="6"/>
      <c r="Q61" s="7"/>
      <c r="R61" s="6" t="str">
        <f aca="false">IF(AND($A61="",$B61=""),"",IF(Q61="Complete","Onboarded",IF(OR(M61="Member",M61="Ambassador"),"Sponsored",IF(K61&lt;&gt;"","Follow-Up",IF(I61&lt;&gt;"","Presented",IF(F61&lt;&gt;"","Contacted","New Lead"))))))</f>
        <v/>
      </c>
      <c r="S61" s="6"/>
      <c r="T61" s="6" t="str">
        <f aca="true">IF(MAX(F61,I61,K61)=0,"",TODAY()-MAX(F61,I61,K61))</f>
        <v/>
      </c>
      <c r="U61" s="6"/>
      <c r="V61" s="6"/>
      <c r="W61" s="6" t="str">
        <f aca="false">IF(AND($A61="",$B61=""),"",IF(M61="Ambassador","1 - Ambassador",IF(M61="Member","2 - Member",IF(J61="Completed","3 - Presented",IF(H61&lt;&gt;"","4 - Sent",IF(F61&lt;&gt;"","5 - Contacted","6 - No Activity"))))))</f>
        <v/>
      </c>
      <c r="X61" s="6" t="n">
        <f aca="false">IF(AND($A61="",$B61=""),9999999+(ROW()-4),VALUE(LEFT($W61,1))*10000+(ROW()-4))</f>
        <v>10000056</v>
      </c>
    </row>
    <row r="62" customFormat="false" ht="15" hidden="false" customHeight="true" outlineLevel="0" collapsed="false">
      <c r="A62" s="6"/>
      <c r="B62" s="6"/>
      <c r="C62" s="6"/>
      <c r="D62" s="6"/>
      <c r="E62" s="6"/>
      <c r="F62" s="7"/>
      <c r="G62" s="6"/>
      <c r="H62" s="6"/>
      <c r="I62" s="7"/>
      <c r="J62" s="6"/>
      <c r="K62" s="7"/>
      <c r="L62" s="6"/>
      <c r="M62" s="6"/>
      <c r="N62" s="7"/>
      <c r="O62" s="6"/>
      <c r="P62" s="6"/>
      <c r="Q62" s="7"/>
      <c r="R62" s="6" t="str">
        <f aca="false">IF(AND($A62="",$B62=""),"",IF(Q62="Complete","Onboarded",IF(OR(M62="Member",M62="Ambassador"),"Sponsored",IF(K62&lt;&gt;"","Follow-Up",IF(I62&lt;&gt;"","Presented",IF(F62&lt;&gt;"","Contacted","New Lead"))))))</f>
        <v/>
      </c>
      <c r="S62" s="6"/>
      <c r="T62" s="6" t="str">
        <f aca="true">IF(MAX(F62,I62,K62)=0,"",TODAY()-MAX(F62,I62,K62))</f>
        <v/>
      </c>
      <c r="U62" s="6"/>
      <c r="V62" s="6"/>
      <c r="W62" s="6" t="str">
        <f aca="false">IF(AND($A62="",$B62=""),"",IF(M62="Ambassador","1 - Ambassador",IF(M62="Member","2 - Member",IF(J62="Completed","3 - Presented",IF(H62&lt;&gt;"","4 - Sent",IF(F62&lt;&gt;"","5 - Contacted","6 - No Activity"))))))</f>
        <v/>
      </c>
      <c r="X62" s="6" t="n">
        <f aca="false">IF(AND($A62="",$B62=""),9999999+(ROW()-4),VALUE(LEFT($W62,1))*10000+(ROW()-4))</f>
        <v>10000057</v>
      </c>
    </row>
    <row r="63" customFormat="false" ht="15" hidden="false" customHeight="true" outlineLevel="0" collapsed="false">
      <c r="A63" s="6"/>
      <c r="B63" s="6"/>
      <c r="C63" s="6"/>
      <c r="D63" s="6"/>
      <c r="E63" s="6"/>
      <c r="F63" s="7"/>
      <c r="G63" s="6"/>
      <c r="H63" s="6"/>
      <c r="I63" s="7"/>
      <c r="J63" s="6"/>
      <c r="K63" s="7"/>
      <c r="L63" s="6"/>
      <c r="M63" s="6"/>
      <c r="N63" s="7"/>
      <c r="O63" s="6"/>
      <c r="P63" s="6"/>
      <c r="Q63" s="7"/>
      <c r="R63" s="6" t="str">
        <f aca="false">IF(AND($A63="",$B63=""),"",IF(Q63="Complete","Onboarded",IF(OR(M63="Member",M63="Ambassador"),"Sponsored",IF(K63&lt;&gt;"","Follow-Up",IF(I63&lt;&gt;"","Presented",IF(F63&lt;&gt;"","Contacted","New Lead"))))))</f>
        <v/>
      </c>
      <c r="S63" s="6"/>
      <c r="T63" s="6" t="str">
        <f aca="true">IF(MAX(F63,I63,K63)=0,"",TODAY()-MAX(F63,I63,K63))</f>
        <v/>
      </c>
      <c r="U63" s="6"/>
      <c r="V63" s="6"/>
      <c r="W63" s="6" t="str">
        <f aca="false">IF(AND($A63="",$B63=""),"",IF(M63="Ambassador","1 - Ambassador",IF(M63="Member","2 - Member",IF(J63="Completed","3 - Presented",IF(H63&lt;&gt;"","4 - Sent",IF(F63&lt;&gt;"","5 - Contacted","6 - No Activity"))))))</f>
        <v/>
      </c>
      <c r="X63" s="6" t="n">
        <f aca="false">IF(AND($A63="",$B63=""),9999999+(ROW()-4),VALUE(LEFT($W63,1))*10000+(ROW()-4))</f>
        <v>10000058</v>
      </c>
    </row>
    <row r="64" customFormat="false" ht="15" hidden="false" customHeight="true" outlineLevel="0" collapsed="false">
      <c r="A64" s="6"/>
      <c r="B64" s="6"/>
      <c r="C64" s="6"/>
      <c r="D64" s="6"/>
      <c r="E64" s="6"/>
      <c r="F64" s="7"/>
      <c r="G64" s="6"/>
      <c r="H64" s="6"/>
      <c r="I64" s="7"/>
      <c r="J64" s="6"/>
      <c r="K64" s="7"/>
      <c r="L64" s="6"/>
      <c r="M64" s="6"/>
      <c r="N64" s="7"/>
      <c r="O64" s="6"/>
      <c r="P64" s="6"/>
      <c r="Q64" s="7"/>
      <c r="R64" s="6" t="str">
        <f aca="false">IF(AND($A64="",$B64=""),"",IF(Q64="Complete","Onboarded",IF(OR(M64="Member",M64="Ambassador"),"Sponsored",IF(K64&lt;&gt;"","Follow-Up",IF(I64&lt;&gt;"","Presented",IF(F64&lt;&gt;"","Contacted","New Lead"))))))</f>
        <v/>
      </c>
      <c r="S64" s="6"/>
      <c r="T64" s="6" t="str">
        <f aca="true">IF(MAX(F64,I64,K64)=0,"",TODAY()-MAX(F64,I64,K64))</f>
        <v/>
      </c>
      <c r="U64" s="6"/>
      <c r="V64" s="6"/>
      <c r="W64" s="6" t="str">
        <f aca="false">IF(AND($A64="",$B64=""),"",IF(M64="Ambassador","1 - Ambassador",IF(M64="Member","2 - Member",IF(J64="Completed","3 - Presented",IF(H64&lt;&gt;"","4 - Sent",IF(F64&lt;&gt;"","5 - Contacted","6 - No Activity"))))))</f>
        <v/>
      </c>
      <c r="X64" s="6" t="n">
        <f aca="false">IF(AND($A64="",$B64=""),9999999+(ROW()-4),VALUE(LEFT($W64,1))*10000+(ROW()-4))</f>
        <v>10000059</v>
      </c>
    </row>
    <row r="65" customFormat="false" ht="15" hidden="false" customHeight="true" outlineLevel="0" collapsed="false">
      <c r="A65" s="6"/>
      <c r="B65" s="6"/>
      <c r="C65" s="6"/>
      <c r="D65" s="6"/>
      <c r="E65" s="6"/>
      <c r="F65" s="7"/>
      <c r="G65" s="6"/>
      <c r="H65" s="6"/>
      <c r="I65" s="7"/>
      <c r="J65" s="6"/>
      <c r="K65" s="7"/>
      <c r="L65" s="6"/>
      <c r="M65" s="6"/>
      <c r="N65" s="7"/>
      <c r="O65" s="6"/>
      <c r="P65" s="6"/>
      <c r="Q65" s="7"/>
      <c r="R65" s="6" t="str">
        <f aca="false">IF(AND($A65="",$B65=""),"",IF(Q65="Complete","Onboarded",IF(OR(M65="Member",M65="Ambassador"),"Sponsored",IF(K65&lt;&gt;"","Follow-Up",IF(I65&lt;&gt;"","Presented",IF(F65&lt;&gt;"","Contacted","New Lead"))))))</f>
        <v/>
      </c>
      <c r="S65" s="6"/>
      <c r="T65" s="6" t="str">
        <f aca="true">IF(MAX(F65,I65,K65)=0,"",TODAY()-MAX(F65,I65,K65))</f>
        <v/>
      </c>
      <c r="U65" s="6"/>
      <c r="V65" s="6"/>
      <c r="W65" s="6" t="str">
        <f aca="false">IF(AND($A65="",$B65=""),"",IF(M65="Ambassador","1 - Ambassador",IF(M65="Member","2 - Member",IF(J65="Completed","3 - Presented",IF(H65&lt;&gt;"","4 - Sent",IF(F65&lt;&gt;"","5 - Contacted","6 - No Activity"))))))</f>
        <v/>
      </c>
      <c r="X65" s="6" t="n">
        <f aca="false">IF(AND($A65="",$B65=""),9999999+(ROW()-4),VALUE(LEFT($W65,1))*10000+(ROW()-4))</f>
        <v>10000060</v>
      </c>
    </row>
    <row r="66" customFormat="false" ht="15" hidden="false" customHeight="true" outlineLevel="0" collapsed="false">
      <c r="A66" s="6"/>
      <c r="B66" s="6"/>
      <c r="C66" s="6"/>
      <c r="D66" s="6"/>
      <c r="E66" s="6"/>
      <c r="F66" s="7"/>
      <c r="G66" s="6"/>
      <c r="H66" s="6"/>
      <c r="I66" s="7"/>
      <c r="J66" s="6"/>
      <c r="K66" s="7"/>
      <c r="L66" s="6"/>
      <c r="M66" s="6"/>
      <c r="N66" s="7"/>
      <c r="O66" s="6"/>
      <c r="P66" s="6"/>
      <c r="Q66" s="7"/>
      <c r="R66" s="6" t="str">
        <f aca="false">IF(AND($A66="",$B66=""),"",IF(Q66="Complete","Onboarded",IF(OR(M66="Member",M66="Ambassador"),"Sponsored",IF(K66&lt;&gt;"","Follow-Up",IF(I66&lt;&gt;"","Presented",IF(F66&lt;&gt;"","Contacted","New Lead"))))))</f>
        <v/>
      </c>
      <c r="S66" s="6"/>
      <c r="T66" s="6" t="str">
        <f aca="true">IF(MAX(F66,I66,K66)=0,"",TODAY()-MAX(F66,I66,K66))</f>
        <v/>
      </c>
      <c r="U66" s="6"/>
      <c r="V66" s="6"/>
      <c r="W66" s="6" t="str">
        <f aca="false">IF(AND($A66="",$B66=""),"",IF(M66="Ambassador","1 - Ambassador",IF(M66="Member","2 - Member",IF(J66="Completed","3 - Presented",IF(H66&lt;&gt;"","4 - Sent",IF(F66&lt;&gt;"","5 - Contacted","6 - No Activity"))))))</f>
        <v/>
      </c>
      <c r="X66" s="6" t="n">
        <f aca="false">IF(AND($A66="",$B66=""),9999999+(ROW()-4),VALUE(LEFT($W66,1))*10000+(ROW()-4))</f>
        <v>10000061</v>
      </c>
    </row>
    <row r="67" customFormat="false" ht="15" hidden="false" customHeight="true" outlineLevel="0" collapsed="false">
      <c r="A67" s="6"/>
      <c r="B67" s="6"/>
      <c r="C67" s="6"/>
      <c r="D67" s="6"/>
      <c r="E67" s="6"/>
      <c r="F67" s="7"/>
      <c r="G67" s="6"/>
      <c r="H67" s="6"/>
      <c r="I67" s="7"/>
      <c r="J67" s="6"/>
      <c r="K67" s="7"/>
      <c r="L67" s="6"/>
      <c r="M67" s="6"/>
      <c r="N67" s="7"/>
      <c r="O67" s="6"/>
      <c r="P67" s="6"/>
      <c r="Q67" s="7"/>
      <c r="R67" s="6" t="str">
        <f aca="false">IF(AND($A67="",$B67=""),"",IF(Q67="Complete","Onboarded",IF(OR(M67="Member",M67="Ambassador"),"Sponsored",IF(K67&lt;&gt;"","Follow-Up",IF(I67&lt;&gt;"","Presented",IF(F67&lt;&gt;"","Contacted","New Lead"))))))</f>
        <v/>
      </c>
      <c r="S67" s="6"/>
      <c r="T67" s="6" t="str">
        <f aca="true">IF(MAX(F67,I67,K67)=0,"",TODAY()-MAX(F67,I67,K67))</f>
        <v/>
      </c>
      <c r="U67" s="6"/>
      <c r="V67" s="6"/>
      <c r="W67" s="6" t="str">
        <f aca="false">IF(AND($A67="",$B67=""),"",IF(M67="Ambassador","1 - Ambassador",IF(M67="Member","2 - Member",IF(J67="Completed","3 - Presented",IF(H67&lt;&gt;"","4 - Sent",IF(F67&lt;&gt;"","5 - Contacted","6 - No Activity"))))))</f>
        <v/>
      </c>
      <c r="X67" s="6" t="n">
        <f aca="false">IF(AND($A67="",$B67=""),9999999+(ROW()-4),VALUE(LEFT($W67,1))*10000+(ROW()-4))</f>
        <v>10000062</v>
      </c>
    </row>
    <row r="68" customFormat="false" ht="15" hidden="false" customHeight="true" outlineLevel="0" collapsed="false">
      <c r="A68" s="6"/>
      <c r="B68" s="6"/>
      <c r="C68" s="6"/>
      <c r="D68" s="6"/>
      <c r="E68" s="6"/>
      <c r="F68" s="7"/>
      <c r="G68" s="6"/>
      <c r="H68" s="6"/>
      <c r="I68" s="7"/>
      <c r="J68" s="6"/>
      <c r="K68" s="7"/>
      <c r="L68" s="6"/>
      <c r="M68" s="6"/>
      <c r="N68" s="7"/>
      <c r="O68" s="6"/>
      <c r="P68" s="6"/>
      <c r="Q68" s="7"/>
      <c r="R68" s="6" t="str">
        <f aca="false">IF(AND($A68="",$B68=""),"",IF(Q68="Complete","Onboarded",IF(OR(M68="Member",M68="Ambassador"),"Sponsored",IF(K68&lt;&gt;"","Follow-Up",IF(I68&lt;&gt;"","Presented",IF(F68&lt;&gt;"","Contacted","New Lead"))))))</f>
        <v/>
      </c>
      <c r="S68" s="6"/>
      <c r="T68" s="6" t="str">
        <f aca="true">IF(MAX(F68,I68,K68)=0,"",TODAY()-MAX(F68,I68,K68))</f>
        <v/>
      </c>
      <c r="U68" s="6"/>
      <c r="V68" s="6"/>
      <c r="W68" s="6" t="str">
        <f aca="false">IF(AND($A68="",$B68=""),"",IF(M68="Ambassador","1 - Ambassador",IF(M68="Member","2 - Member",IF(J68="Completed","3 - Presented",IF(H68&lt;&gt;"","4 - Sent",IF(F68&lt;&gt;"","5 - Contacted","6 - No Activity"))))))</f>
        <v/>
      </c>
      <c r="X68" s="6" t="n">
        <f aca="false">IF(AND($A68="",$B68=""),9999999+(ROW()-4),VALUE(LEFT($W68,1))*10000+(ROW()-4))</f>
        <v>10000063</v>
      </c>
    </row>
    <row r="69" customFormat="false" ht="15" hidden="false" customHeight="true" outlineLevel="0" collapsed="false">
      <c r="A69" s="6"/>
      <c r="B69" s="6"/>
      <c r="C69" s="6"/>
      <c r="D69" s="6"/>
      <c r="E69" s="6"/>
      <c r="F69" s="7"/>
      <c r="G69" s="6"/>
      <c r="H69" s="6"/>
      <c r="I69" s="7"/>
      <c r="J69" s="6"/>
      <c r="K69" s="7"/>
      <c r="L69" s="6"/>
      <c r="M69" s="6"/>
      <c r="N69" s="7"/>
      <c r="O69" s="6"/>
      <c r="P69" s="6"/>
      <c r="Q69" s="7"/>
      <c r="R69" s="6" t="str">
        <f aca="false">IF(AND($A69="",$B69=""),"",IF(Q69="Complete","Onboarded",IF(OR(M69="Member",M69="Ambassador"),"Sponsored",IF(K69&lt;&gt;"","Follow-Up",IF(I69&lt;&gt;"","Presented",IF(F69&lt;&gt;"","Contacted","New Lead"))))))</f>
        <v/>
      </c>
      <c r="S69" s="6"/>
      <c r="T69" s="6" t="str">
        <f aca="true">IF(MAX(F69,I69,K69)=0,"",TODAY()-MAX(F69,I69,K69))</f>
        <v/>
      </c>
      <c r="U69" s="6"/>
      <c r="V69" s="6"/>
      <c r="W69" s="6" t="str">
        <f aca="false">IF(AND($A69="",$B69=""),"",IF(M69="Ambassador","1 - Ambassador",IF(M69="Member","2 - Member",IF(J69="Completed","3 - Presented",IF(H69&lt;&gt;"","4 - Sent",IF(F69&lt;&gt;"","5 - Contacted","6 - No Activity"))))))</f>
        <v/>
      </c>
      <c r="X69" s="6" t="n">
        <f aca="false">IF(AND($A69="",$B69=""),9999999+(ROW()-4),VALUE(LEFT($W69,1))*10000+(ROW()-4))</f>
        <v>10000064</v>
      </c>
    </row>
    <row r="70" customFormat="false" ht="15" hidden="false" customHeight="true" outlineLevel="0" collapsed="false">
      <c r="A70" s="6"/>
      <c r="B70" s="6"/>
      <c r="C70" s="6"/>
      <c r="D70" s="6"/>
      <c r="E70" s="6"/>
      <c r="F70" s="7"/>
      <c r="G70" s="6"/>
      <c r="H70" s="6"/>
      <c r="I70" s="7"/>
      <c r="J70" s="6"/>
      <c r="K70" s="7"/>
      <c r="L70" s="6"/>
      <c r="M70" s="6"/>
      <c r="N70" s="7"/>
      <c r="O70" s="6"/>
      <c r="P70" s="6"/>
      <c r="Q70" s="7"/>
      <c r="R70" s="6" t="str">
        <f aca="false">IF(AND($A70="",$B70=""),"",IF(Q70="Complete","Onboarded",IF(OR(M70="Member",M70="Ambassador"),"Sponsored",IF(K70&lt;&gt;"","Follow-Up",IF(I70&lt;&gt;"","Presented",IF(F70&lt;&gt;"","Contacted","New Lead"))))))</f>
        <v/>
      </c>
      <c r="S70" s="6"/>
      <c r="T70" s="6" t="str">
        <f aca="true">IF(MAX(F70,I70,K70)=0,"",TODAY()-MAX(F70,I70,K70))</f>
        <v/>
      </c>
      <c r="U70" s="6"/>
      <c r="V70" s="6"/>
      <c r="W70" s="6" t="str">
        <f aca="false">IF(AND($A70="",$B70=""),"",IF(M70="Ambassador","1 - Ambassador",IF(M70="Member","2 - Member",IF(J70="Completed","3 - Presented",IF(H70&lt;&gt;"","4 - Sent",IF(F70&lt;&gt;"","5 - Contacted","6 - No Activity"))))))</f>
        <v/>
      </c>
      <c r="X70" s="6" t="n">
        <f aca="false">IF(AND($A70="",$B70=""),9999999+(ROW()-4),VALUE(LEFT($W70,1))*10000+(ROW()-4))</f>
        <v>10000065</v>
      </c>
    </row>
    <row r="71" customFormat="false" ht="15" hidden="false" customHeight="true" outlineLevel="0" collapsed="false">
      <c r="A71" s="6"/>
      <c r="B71" s="6"/>
      <c r="C71" s="6"/>
      <c r="D71" s="6"/>
      <c r="E71" s="6"/>
      <c r="F71" s="7"/>
      <c r="G71" s="6"/>
      <c r="H71" s="6"/>
      <c r="I71" s="7"/>
      <c r="J71" s="6"/>
      <c r="K71" s="7"/>
      <c r="L71" s="6"/>
      <c r="M71" s="6"/>
      <c r="N71" s="7"/>
      <c r="O71" s="6"/>
      <c r="P71" s="6"/>
      <c r="Q71" s="7"/>
      <c r="R71" s="6" t="str">
        <f aca="false">IF(AND($A71="",$B71=""),"",IF(Q71="Complete","Onboarded",IF(OR(M71="Member",M71="Ambassador"),"Sponsored",IF(K71&lt;&gt;"","Follow-Up",IF(I71&lt;&gt;"","Presented",IF(F71&lt;&gt;"","Contacted","New Lead"))))))</f>
        <v/>
      </c>
      <c r="S71" s="6"/>
      <c r="T71" s="6" t="str">
        <f aca="true">IF(MAX(F71,I71,K71)=0,"",TODAY()-MAX(F71,I71,K71))</f>
        <v/>
      </c>
      <c r="U71" s="6"/>
      <c r="V71" s="6"/>
      <c r="W71" s="6" t="str">
        <f aca="false">IF(AND($A71="",$B71=""),"",IF(M71="Ambassador","1 - Ambassador",IF(M71="Member","2 - Member",IF(J71="Completed","3 - Presented",IF(H71&lt;&gt;"","4 - Sent",IF(F71&lt;&gt;"","5 - Contacted","6 - No Activity"))))))</f>
        <v/>
      </c>
      <c r="X71" s="6" t="n">
        <f aca="false">IF(AND($A71="",$B71=""),9999999+(ROW()-4),VALUE(LEFT($W71,1))*10000+(ROW()-4))</f>
        <v>10000066</v>
      </c>
    </row>
    <row r="72" customFormat="false" ht="15" hidden="false" customHeight="true" outlineLevel="0" collapsed="false">
      <c r="A72" s="6"/>
      <c r="B72" s="6"/>
      <c r="C72" s="6"/>
      <c r="D72" s="6"/>
      <c r="E72" s="6"/>
      <c r="F72" s="7"/>
      <c r="G72" s="6"/>
      <c r="H72" s="6"/>
      <c r="I72" s="7"/>
      <c r="J72" s="6"/>
      <c r="K72" s="7"/>
      <c r="L72" s="6"/>
      <c r="M72" s="6"/>
      <c r="N72" s="7"/>
      <c r="O72" s="6"/>
      <c r="P72" s="6"/>
      <c r="Q72" s="7"/>
      <c r="R72" s="6" t="str">
        <f aca="false">IF(AND($A72="",$B72=""),"",IF(Q72="Complete","Onboarded",IF(OR(M72="Member",M72="Ambassador"),"Sponsored",IF(K72&lt;&gt;"","Follow-Up",IF(I72&lt;&gt;"","Presented",IF(F72&lt;&gt;"","Contacted","New Lead"))))))</f>
        <v/>
      </c>
      <c r="S72" s="6"/>
      <c r="T72" s="6" t="str">
        <f aca="true">IF(MAX(F72,I72,K72)=0,"",TODAY()-MAX(F72,I72,K72))</f>
        <v/>
      </c>
      <c r="U72" s="6"/>
      <c r="V72" s="6"/>
      <c r="W72" s="6" t="str">
        <f aca="false">IF(AND($A72="",$B72=""),"",IF(M72="Ambassador","1 - Ambassador",IF(M72="Member","2 - Member",IF(J72="Completed","3 - Presented",IF(H72&lt;&gt;"","4 - Sent",IF(F72&lt;&gt;"","5 - Contacted","6 - No Activity"))))))</f>
        <v/>
      </c>
      <c r="X72" s="6" t="n">
        <f aca="false">IF(AND($A72="",$B72=""),9999999+(ROW()-4),VALUE(LEFT($W72,1))*10000+(ROW()-4))</f>
        <v>10000067</v>
      </c>
    </row>
    <row r="73" customFormat="false" ht="15" hidden="false" customHeight="true" outlineLevel="0" collapsed="false">
      <c r="A73" s="6"/>
      <c r="B73" s="6"/>
      <c r="C73" s="6"/>
      <c r="D73" s="6"/>
      <c r="E73" s="6"/>
      <c r="F73" s="7"/>
      <c r="G73" s="6"/>
      <c r="H73" s="6"/>
      <c r="I73" s="7"/>
      <c r="J73" s="6"/>
      <c r="K73" s="7"/>
      <c r="L73" s="6"/>
      <c r="M73" s="6"/>
      <c r="N73" s="7"/>
      <c r="O73" s="6"/>
      <c r="P73" s="6"/>
      <c r="Q73" s="7"/>
      <c r="R73" s="6" t="str">
        <f aca="false">IF(AND($A73="",$B73=""),"",IF(Q73="Complete","Onboarded",IF(OR(M73="Member",M73="Ambassador"),"Sponsored",IF(K73&lt;&gt;"","Follow-Up",IF(I73&lt;&gt;"","Presented",IF(F73&lt;&gt;"","Contacted","New Lead"))))))</f>
        <v/>
      </c>
      <c r="S73" s="6"/>
      <c r="T73" s="6" t="str">
        <f aca="true">IF(MAX(F73,I73,K73)=0,"",TODAY()-MAX(F73,I73,K73))</f>
        <v/>
      </c>
      <c r="U73" s="6"/>
      <c r="V73" s="6"/>
      <c r="W73" s="6" t="str">
        <f aca="false">IF(AND($A73="",$B73=""),"",IF(M73="Ambassador","1 - Ambassador",IF(M73="Member","2 - Member",IF(J73="Completed","3 - Presented",IF(H73&lt;&gt;"","4 - Sent",IF(F73&lt;&gt;"","5 - Contacted","6 - No Activity"))))))</f>
        <v/>
      </c>
      <c r="X73" s="6" t="n">
        <f aca="false">IF(AND($A73="",$B73=""),9999999+(ROW()-4),VALUE(LEFT($W73,1))*10000+(ROW()-4))</f>
        <v>10000068</v>
      </c>
    </row>
    <row r="74" customFormat="false" ht="15" hidden="false" customHeight="true" outlineLevel="0" collapsed="false">
      <c r="A74" s="6"/>
      <c r="B74" s="6"/>
      <c r="C74" s="6"/>
      <c r="D74" s="6"/>
      <c r="E74" s="6"/>
      <c r="F74" s="7"/>
      <c r="G74" s="6"/>
      <c r="H74" s="6"/>
      <c r="I74" s="7"/>
      <c r="J74" s="6"/>
      <c r="K74" s="7"/>
      <c r="L74" s="6"/>
      <c r="M74" s="6"/>
      <c r="N74" s="7"/>
      <c r="O74" s="6"/>
      <c r="P74" s="6"/>
      <c r="Q74" s="7"/>
      <c r="R74" s="6" t="str">
        <f aca="false">IF(AND($A74="",$B74=""),"",IF(Q74="Complete","Onboarded",IF(OR(M74="Member",M74="Ambassador"),"Sponsored",IF(K74&lt;&gt;"","Follow-Up",IF(I74&lt;&gt;"","Presented",IF(F74&lt;&gt;"","Contacted","New Lead"))))))</f>
        <v/>
      </c>
      <c r="S74" s="6"/>
      <c r="T74" s="6" t="str">
        <f aca="true">IF(MAX(F74,I74,K74)=0,"",TODAY()-MAX(F74,I74,K74))</f>
        <v/>
      </c>
      <c r="U74" s="6"/>
      <c r="V74" s="6"/>
      <c r="W74" s="6" t="str">
        <f aca="false">IF(AND($A74="",$B74=""),"",IF(M74="Ambassador","1 - Ambassador",IF(M74="Member","2 - Member",IF(J74="Completed","3 - Presented",IF(H74&lt;&gt;"","4 - Sent",IF(F74&lt;&gt;"","5 - Contacted","6 - No Activity"))))))</f>
        <v/>
      </c>
      <c r="X74" s="6" t="n">
        <f aca="false">IF(AND($A74="",$B74=""),9999999+(ROW()-4),VALUE(LEFT($W74,1))*10000+(ROW()-4))</f>
        <v>10000069</v>
      </c>
    </row>
    <row r="75" customFormat="false" ht="15" hidden="false" customHeight="true" outlineLevel="0" collapsed="false">
      <c r="A75" s="6"/>
      <c r="B75" s="6"/>
      <c r="C75" s="6"/>
      <c r="D75" s="6"/>
      <c r="E75" s="6"/>
      <c r="F75" s="7"/>
      <c r="G75" s="6"/>
      <c r="H75" s="6"/>
      <c r="I75" s="7"/>
      <c r="J75" s="6"/>
      <c r="K75" s="7"/>
      <c r="L75" s="6"/>
      <c r="M75" s="6"/>
      <c r="N75" s="7"/>
      <c r="O75" s="6"/>
      <c r="P75" s="6"/>
      <c r="Q75" s="7"/>
      <c r="R75" s="6" t="str">
        <f aca="false">IF(AND($A75="",$B75=""),"",IF(Q75="Complete","Onboarded",IF(OR(M75="Member",M75="Ambassador"),"Sponsored",IF(K75&lt;&gt;"","Follow-Up",IF(I75&lt;&gt;"","Presented",IF(F75&lt;&gt;"","Contacted","New Lead"))))))</f>
        <v/>
      </c>
      <c r="S75" s="6"/>
      <c r="T75" s="6" t="str">
        <f aca="true">IF(MAX(F75,I75,K75)=0,"",TODAY()-MAX(F75,I75,K75))</f>
        <v/>
      </c>
      <c r="U75" s="6"/>
      <c r="V75" s="6"/>
      <c r="W75" s="6" t="str">
        <f aca="false">IF(AND($A75="",$B75=""),"",IF(M75="Ambassador","1 - Ambassador",IF(M75="Member","2 - Member",IF(J75="Completed","3 - Presented",IF(H75&lt;&gt;"","4 - Sent",IF(F75&lt;&gt;"","5 - Contacted","6 - No Activity"))))))</f>
        <v/>
      </c>
      <c r="X75" s="6" t="n">
        <f aca="false">IF(AND($A75="",$B75=""),9999999+(ROW()-4),VALUE(LEFT($W75,1))*10000+(ROW()-4))</f>
        <v>10000070</v>
      </c>
    </row>
    <row r="76" customFormat="false" ht="15" hidden="false" customHeight="true" outlineLevel="0" collapsed="false">
      <c r="A76" s="6"/>
      <c r="B76" s="6"/>
      <c r="C76" s="6"/>
      <c r="D76" s="6"/>
      <c r="E76" s="6"/>
      <c r="F76" s="7"/>
      <c r="G76" s="6"/>
      <c r="H76" s="6"/>
      <c r="I76" s="7"/>
      <c r="J76" s="6"/>
      <c r="K76" s="7"/>
      <c r="L76" s="6"/>
      <c r="M76" s="6"/>
      <c r="N76" s="7"/>
      <c r="O76" s="6"/>
      <c r="P76" s="6"/>
      <c r="Q76" s="7"/>
      <c r="R76" s="6" t="str">
        <f aca="false">IF(AND($A76="",$B76=""),"",IF(Q76="Complete","Onboarded",IF(OR(M76="Member",M76="Ambassador"),"Sponsored",IF(K76&lt;&gt;"","Follow-Up",IF(I76&lt;&gt;"","Presented",IF(F76&lt;&gt;"","Contacted","New Lead"))))))</f>
        <v/>
      </c>
      <c r="S76" s="6"/>
      <c r="T76" s="6" t="str">
        <f aca="true">IF(MAX(F76,I76,K76)=0,"",TODAY()-MAX(F76,I76,K76))</f>
        <v/>
      </c>
      <c r="U76" s="6"/>
      <c r="V76" s="6"/>
      <c r="W76" s="6" t="str">
        <f aca="false">IF(AND($A76="",$B76=""),"",IF(M76="Ambassador","1 - Ambassador",IF(M76="Member","2 - Member",IF(J76="Completed","3 - Presented",IF(H76&lt;&gt;"","4 - Sent",IF(F76&lt;&gt;"","5 - Contacted","6 - No Activity"))))))</f>
        <v/>
      </c>
      <c r="X76" s="6" t="n">
        <f aca="false">IF(AND($A76="",$B76=""),9999999+(ROW()-4),VALUE(LEFT($W76,1))*10000+(ROW()-4))</f>
        <v>10000071</v>
      </c>
    </row>
    <row r="77" customFormat="false" ht="15" hidden="false" customHeight="true" outlineLevel="0" collapsed="false">
      <c r="A77" s="6"/>
      <c r="B77" s="6"/>
      <c r="C77" s="6"/>
      <c r="D77" s="6"/>
      <c r="E77" s="6"/>
      <c r="F77" s="7"/>
      <c r="G77" s="6"/>
      <c r="H77" s="6"/>
      <c r="I77" s="7"/>
      <c r="J77" s="6"/>
      <c r="K77" s="7"/>
      <c r="L77" s="6"/>
      <c r="M77" s="6"/>
      <c r="N77" s="7"/>
      <c r="O77" s="6"/>
      <c r="P77" s="6"/>
      <c r="Q77" s="7"/>
      <c r="R77" s="6" t="str">
        <f aca="false">IF(AND($A77="",$B77=""),"",IF(Q77="Complete","Onboarded",IF(OR(M77="Member",M77="Ambassador"),"Sponsored",IF(K77&lt;&gt;"","Follow-Up",IF(I77&lt;&gt;"","Presented",IF(F77&lt;&gt;"","Contacted","New Lead"))))))</f>
        <v/>
      </c>
      <c r="S77" s="6"/>
      <c r="T77" s="6" t="str">
        <f aca="true">IF(MAX(F77,I77,K77)=0,"",TODAY()-MAX(F77,I77,K77))</f>
        <v/>
      </c>
      <c r="U77" s="6"/>
      <c r="V77" s="6"/>
      <c r="W77" s="6" t="str">
        <f aca="false">IF(AND($A77="",$B77=""),"",IF(M77="Ambassador","1 - Ambassador",IF(M77="Member","2 - Member",IF(J77="Completed","3 - Presented",IF(H77&lt;&gt;"","4 - Sent",IF(F77&lt;&gt;"","5 - Contacted","6 - No Activity"))))))</f>
        <v/>
      </c>
      <c r="X77" s="6" t="n">
        <f aca="false">IF(AND($A77="",$B77=""),9999999+(ROW()-4),VALUE(LEFT($W77,1))*10000+(ROW()-4))</f>
        <v>10000072</v>
      </c>
    </row>
    <row r="78" customFormat="false" ht="15" hidden="false" customHeight="true" outlineLevel="0" collapsed="false">
      <c r="A78" s="6"/>
      <c r="B78" s="6"/>
      <c r="C78" s="6"/>
      <c r="D78" s="6"/>
      <c r="E78" s="6"/>
      <c r="F78" s="7"/>
      <c r="G78" s="6"/>
      <c r="H78" s="6"/>
      <c r="I78" s="7"/>
      <c r="J78" s="6"/>
      <c r="K78" s="7"/>
      <c r="L78" s="6"/>
      <c r="M78" s="6"/>
      <c r="N78" s="7"/>
      <c r="O78" s="6"/>
      <c r="P78" s="6"/>
      <c r="Q78" s="7"/>
      <c r="R78" s="6" t="str">
        <f aca="false">IF(AND($A78="",$B78=""),"",IF(Q78="Complete","Onboarded",IF(OR(M78="Member",M78="Ambassador"),"Sponsored",IF(K78&lt;&gt;"","Follow-Up",IF(I78&lt;&gt;"","Presented",IF(F78&lt;&gt;"","Contacted","New Lead"))))))</f>
        <v/>
      </c>
      <c r="S78" s="6"/>
      <c r="T78" s="6" t="str">
        <f aca="true">IF(MAX(F78,I78,K78)=0,"",TODAY()-MAX(F78,I78,K78))</f>
        <v/>
      </c>
      <c r="U78" s="6"/>
      <c r="V78" s="6"/>
      <c r="W78" s="6" t="str">
        <f aca="false">IF(AND($A78="",$B78=""),"",IF(M78="Ambassador","1 - Ambassador",IF(M78="Member","2 - Member",IF(J78="Completed","3 - Presented",IF(H78&lt;&gt;"","4 - Sent",IF(F78&lt;&gt;"","5 - Contacted","6 - No Activity"))))))</f>
        <v/>
      </c>
      <c r="X78" s="6" t="n">
        <f aca="false">IF(AND($A78="",$B78=""),9999999+(ROW()-4),VALUE(LEFT($W78,1))*10000+(ROW()-4))</f>
        <v>10000073</v>
      </c>
    </row>
    <row r="79" customFormat="false" ht="15" hidden="false" customHeight="true" outlineLevel="0" collapsed="false">
      <c r="A79" s="6"/>
      <c r="B79" s="6"/>
      <c r="C79" s="6"/>
      <c r="D79" s="6"/>
      <c r="E79" s="6"/>
      <c r="F79" s="7"/>
      <c r="G79" s="6"/>
      <c r="H79" s="6"/>
      <c r="I79" s="7"/>
      <c r="J79" s="6"/>
      <c r="K79" s="7"/>
      <c r="L79" s="6"/>
      <c r="M79" s="6"/>
      <c r="N79" s="7"/>
      <c r="O79" s="6"/>
      <c r="P79" s="6"/>
      <c r="Q79" s="7"/>
      <c r="R79" s="6" t="str">
        <f aca="false">IF(AND($A79="",$B79=""),"",IF(Q79="Complete","Onboarded",IF(OR(M79="Member",M79="Ambassador"),"Sponsored",IF(K79&lt;&gt;"","Follow-Up",IF(I79&lt;&gt;"","Presented",IF(F79&lt;&gt;"","Contacted","New Lead"))))))</f>
        <v/>
      </c>
      <c r="S79" s="6"/>
      <c r="T79" s="6" t="str">
        <f aca="true">IF(MAX(F79,I79,K79)=0,"",TODAY()-MAX(F79,I79,K79))</f>
        <v/>
      </c>
      <c r="U79" s="6"/>
      <c r="V79" s="6"/>
      <c r="W79" s="6" t="str">
        <f aca="false">IF(AND($A79="",$B79=""),"",IF(M79="Ambassador","1 - Ambassador",IF(M79="Member","2 - Member",IF(J79="Completed","3 - Presented",IF(H79&lt;&gt;"","4 - Sent",IF(F79&lt;&gt;"","5 - Contacted","6 - No Activity"))))))</f>
        <v/>
      </c>
      <c r="X79" s="6" t="n">
        <f aca="false">IF(AND($A79="",$B79=""),9999999+(ROW()-4),VALUE(LEFT($W79,1))*10000+(ROW()-4))</f>
        <v>10000074</v>
      </c>
    </row>
    <row r="80" customFormat="false" ht="15" hidden="false" customHeight="true" outlineLevel="0" collapsed="false">
      <c r="A80" s="6"/>
      <c r="B80" s="6"/>
      <c r="C80" s="6"/>
      <c r="D80" s="6"/>
      <c r="E80" s="6"/>
      <c r="F80" s="7"/>
      <c r="G80" s="6"/>
      <c r="H80" s="6"/>
      <c r="I80" s="7"/>
      <c r="J80" s="6"/>
      <c r="K80" s="7"/>
      <c r="L80" s="6"/>
      <c r="M80" s="6"/>
      <c r="N80" s="7"/>
      <c r="O80" s="6"/>
      <c r="P80" s="6"/>
      <c r="Q80" s="7"/>
      <c r="R80" s="6" t="str">
        <f aca="false">IF(AND($A80="",$B80=""),"",IF(Q80="Complete","Onboarded",IF(OR(M80="Member",M80="Ambassador"),"Sponsored",IF(K80&lt;&gt;"","Follow-Up",IF(I80&lt;&gt;"","Presented",IF(F80&lt;&gt;"","Contacted","New Lead"))))))</f>
        <v/>
      </c>
      <c r="S80" s="6"/>
      <c r="T80" s="6" t="str">
        <f aca="true">IF(MAX(F80,I80,K80)=0,"",TODAY()-MAX(F80,I80,K80))</f>
        <v/>
      </c>
      <c r="U80" s="6"/>
      <c r="V80" s="6"/>
      <c r="W80" s="6" t="str">
        <f aca="false">IF(AND($A80="",$B80=""),"",IF(M80="Ambassador","1 - Ambassador",IF(M80="Member","2 - Member",IF(J80="Completed","3 - Presented",IF(H80&lt;&gt;"","4 - Sent",IF(F80&lt;&gt;"","5 - Contacted","6 - No Activity"))))))</f>
        <v/>
      </c>
      <c r="X80" s="6" t="n">
        <f aca="false">IF(AND($A80="",$B80=""),9999999+(ROW()-4),VALUE(LEFT($W80,1))*10000+(ROW()-4))</f>
        <v>10000075</v>
      </c>
    </row>
    <row r="81" customFormat="false" ht="15" hidden="false" customHeight="true" outlineLevel="0" collapsed="false">
      <c r="A81" s="6"/>
      <c r="B81" s="6"/>
      <c r="C81" s="6"/>
      <c r="D81" s="6"/>
      <c r="E81" s="6"/>
      <c r="F81" s="7"/>
      <c r="G81" s="6"/>
      <c r="H81" s="6"/>
      <c r="I81" s="7"/>
      <c r="J81" s="6"/>
      <c r="K81" s="7"/>
      <c r="L81" s="6"/>
      <c r="M81" s="6"/>
      <c r="N81" s="7"/>
      <c r="O81" s="6"/>
      <c r="P81" s="6"/>
      <c r="Q81" s="7"/>
      <c r="R81" s="6" t="str">
        <f aca="false">IF(AND($A81="",$B81=""),"",IF(Q81="Complete","Onboarded",IF(OR(M81="Member",M81="Ambassador"),"Sponsored",IF(K81&lt;&gt;"","Follow-Up",IF(I81&lt;&gt;"","Presented",IF(F81&lt;&gt;"","Contacted","New Lead"))))))</f>
        <v/>
      </c>
      <c r="S81" s="6"/>
      <c r="T81" s="6" t="str">
        <f aca="true">IF(MAX(F81,I81,K81)=0,"",TODAY()-MAX(F81,I81,K81))</f>
        <v/>
      </c>
      <c r="U81" s="6"/>
      <c r="V81" s="6"/>
      <c r="W81" s="6" t="str">
        <f aca="false">IF(AND($A81="",$B81=""),"",IF(M81="Ambassador","1 - Ambassador",IF(M81="Member","2 - Member",IF(J81="Completed","3 - Presented",IF(H81&lt;&gt;"","4 - Sent",IF(F81&lt;&gt;"","5 - Contacted","6 - No Activity"))))))</f>
        <v/>
      </c>
      <c r="X81" s="6" t="n">
        <f aca="false">IF(AND($A81="",$B81=""),9999999+(ROW()-4),VALUE(LEFT($W81,1))*10000+(ROW()-4))</f>
        <v>10000076</v>
      </c>
    </row>
    <row r="82" customFormat="false" ht="15" hidden="false" customHeight="true" outlineLevel="0" collapsed="false">
      <c r="A82" s="6"/>
      <c r="B82" s="6"/>
      <c r="C82" s="6"/>
      <c r="D82" s="6"/>
      <c r="E82" s="6"/>
      <c r="F82" s="7"/>
      <c r="G82" s="6"/>
      <c r="H82" s="6"/>
      <c r="I82" s="7"/>
      <c r="J82" s="6"/>
      <c r="K82" s="7"/>
      <c r="L82" s="6"/>
      <c r="M82" s="6"/>
      <c r="N82" s="7"/>
      <c r="O82" s="6"/>
      <c r="P82" s="6"/>
      <c r="Q82" s="7"/>
      <c r="R82" s="6" t="str">
        <f aca="false">IF(AND($A82="",$B82=""),"",IF(Q82="Complete","Onboarded",IF(OR(M82="Member",M82="Ambassador"),"Sponsored",IF(K82&lt;&gt;"","Follow-Up",IF(I82&lt;&gt;"","Presented",IF(F82&lt;&gt;"","Contacted","New Lead"))))))</f>
        <v/>
      </c>
      <c r="S82" s="6"/>
      <c r="T82" s="6" t="str">
        <f aca="true">IF(MAX(F82,I82,K82)=0,"",TODAY()-MAX(F82,I82,K82))</f>
        <v/>
      </c>
      <c r="U82" s="6"/>
      <c r="V82" s="6"/>
      <c r="W82" s="6" t="str">
        <f aca="false">IF(AND($A82="",$B82=""),"",IF(M82="Ambassador","1 - Ambassador",IF(M82="Member","2 - Member",IF(J82="Completed","3 - Presented",IF(H82&lt;&gt;"","4 - Sent",IF(F82&lt;&gt;"","5 - Contacted","6 - No Activity"))))))</f>
        <v/>
      </c>
      <c r="X82" s="6" t="n">
        <f aca="false">IF(AND($A82="",$B82=""),9999999+(ROW()-4),VALUE(LEFT($W82,1))*10000+(ROW()-4))</f>
        <v>10000077</v>
      </c>
    </row>
    <row r="83" customFormat="false" ht="15" hidden="false" customHeight="true" outlineLevel="0" collapsed="false">
      <c r="A83" s="6"/>
      <c r="B83" s="6"/>
      <c r="C83" s="6"/>
      <c r="D83" s="6"/>
      <c r="E83" s="6"/>
      <c r="F83" s="7"/>
      <c r="G83" s="6"/>
      <c r="H83" s="6"/>
      <c r="I83" s="7"/>
      <c r="J83" s="6"/>
      <c r="K83" s="7"/>
      <c r="L83" s="6"/>
      <c r="M83" s="6"/>
      <c r="N83" s="7"/>
      <c r="O83" s="6"/>
      <c r="P83" s="6"/>
      <c r="Q83" s="7"/>
      <c r="R83" s="6" t="str">
        <f aca="false">IF(AND($A83="",$B83=""),"",IF(Q83="Complete","Onboarded",IF(OR(M83="Member",M83="Ambassador"),"Sponsored",IF(K83&lt;&gt;"","Follow-Up",IF(I83&lt;&gt;"","Presented",IF(F83&lt;&gt;"","Contacted","New Lead"))))))</f>
        <v/>
      </c>
      <c r="S83" s="6"/>
      <c r="T83" s="6" t="str">
        <f aca="true">IF(MAX(F83,I83,K83)=0,"",TODAY()-MAX(F83,I83,K83))</f>
        <v/>
      </c>
      <c r="U83" s="6"/>
      <c r="V83" s="6"/>
      <c r="W83" s="6" t="str">
        <f aca="false">IF(AND($A83="",$B83=""),"",IF(M83="Ambassador","1 - Ambassador",IF(M83="Member","2 - Member",IF(J83="Completed","3 - Presented",IF(H83&lt;&gt;"","4 - Sent",IF(F83&lt;&gt;"","5 - Contacted","6 - No Activity"))))))</f>
        <v/>
      </c>
      <c r="X83" s="6" t="n">
        <f aca="false">IF(AND($A83="",$B83=""),9999999+(ROW()-4),VALUE(LEFT($W83,1))*10000+(ROW()-4))</f>
        <v>10000078</v>
      </c>
    </row>
    <row r="84" customFormat="false" ht="15" hidden="false" customHeight="true" outlineLevel="0" collapsed="false">
      <c r="A84" s="6"/>
      <c r="B84" s="6"/>
      <c r="C84" s="6"/>
      <c r="D84" s="6"/>
      <c r="E84" s="6"/>
      <c r="F84" s="7"/>
      <c r="G84" s="6"/>
      <c r="H84" s="6"/>
      <c r="I84" s="7"/>
      <c r="J84" s="6"/>
      <c r="K84" s="7"/>
      <c r="L84" s="6"/>
      <c r="M84" s="6"/>
      <c r="N84" s="7"/>
      <c r="O84" s="6"/>
      <c r="P84" s="6"/>
      <c r="Q84" s="7"/>
      <c r="R84" s="6" t="str">
        <f aca="false">IF(AND($A84="",$B84=""),"",IF(Q84="Complete","Onboarded",IF(OR(M84="Member",M84="Ambassador"),"Sponsored",IF(K84&lt;&gt;"","Follow-Up",IF(I84&lt;&gt;"","Presented",IF(F84&lt;&gt;"","Contacted","New Lead"))))))</f>
        <v/>
      </c>
      <c r="S84" s="6"/>
      <c r="T84" s="6" t="str">
        <f aca="true">IF(MAX(F84,I84,K84)=0,"",TODAY()-MAX(F84,I84,K84))</f>
        <v/>
      </c>
      <c r="U84" s="6"/>
      <c r="V84" s="6"/>
      <c r="W84" s="6" t="str">
        <f aca="false">IF(AND($A84="",$B84=""),"",IF(M84="Ambassador","1 - Ambassador",IF(M84="Member","2 - Member",IF(J84="Completed","3 - Presented",IF(H84&lt;&gt;"","4 - Sent",IF(F84&lt;&gt;"","5 - Contacted","6 - No Activity"))))))</f>
        <v/>
      </c>
      <c r="X84" s="6" t="n">
        <f aca="false">IF(AND($A84="",$B84=""),9999999+(ROW()-4),VALUE(LEFT($W84,1))*10000+(ROW()-4))</f>
        <v>10000079</v>
      </c>
    </row>
    <row r="85" customFormat="false" ht="15" hidden="false" customHeight="true" outlineLevel="0" collapsed="false">
      <c r="A85" s="6"/>
      <c r="B85" s="6"/>
      <c r="C85" s="6"/>
      <c r="D85" s="6"/>
      <c r="E85" s="6"/>
      <c r="F85" s="7"/>
      <c r="G85" s="6"/>
      <c r="H85" s="6"/>
      <c r="I85" s="7"/>
      <c r="J85" s="6"/>
      <c r="K85" s="7"/>
      <c r="L85" s="6"/>
      <c r="M85" s="6"/>
      <c r="N85" s="7"/>
      <c r="O85" s="6"/>
      <c r="P85" s="6"/>
      <c r="Q85" s="7"/>
      <c r="R85" s="6" t="str">
        <f aca="false">IF(AND($A85="",$B85=""),"",IF(Q85="Complete","Onboarded",IF(OR(M85="Member",M85="Ambassador"),"Sponsored",IF(K85&lt;&gt;"","Follow-Up",IF(I85&lt;&gt;"","Presented",IF(F85&lt;&gt;"","Contacted","New Lead"))))))</f>
        <v/>
      </c>
      <c r="S85" s="6"/>
      <c r="T85" s="6" t="str">
        <f aca="true">IF(MAX(F85,I85,K85)=0,"",TODAY()-MAX(F85,I85,K85))</f>
        <v/>
      </c>
      <c r="U85" s="6"/>
      <c r="V85" s="6"/>
      <c r="W85" s="6" t="str">
        <f aca="false">IF(AND($A85="",$B85=""),"",IF(M85="Ambassador","1 - Ambassador",IF(M85="Member","2 - Member",IF(J85="Completed","3 - Presented",IF(H85&lt;&gt;"","4 - Sent",IF(F85&lt;&gt;"","5 - Contacted","6 - No Activity"))))))</f>
        <v/>
      </c>
      <c r="X85" s="6" t="n">
        <f aca="false">IF(AND($A85="",$B85=""),9999999+(ROW()-4),VALUE(LEFT($W85,1))*10000+(ROW()-4))</f>
        <v>10000080</v>
      </c>
    </row>
    <row r="86" customFormat="false" ht="15" hidden="false" customHeight="true" outlineLevel="0" collapsed="false">
      <c r="A86" s="6"/>
      <c r="B86" s="6"/>
      <c r="C86" s="6"/>
      <c r="D86" s="6"/>
      <c r="E86" s="6"/>
      <c r="F86" s="7"/>
      <c r="G86" s="6"/>
      <c r="H86" s="6"/>
      <c r="I86" s="7"/>
      <c r="J86" s="6"/>
      <c r="K86" s="7"/>
      <c r="L86" s="6"/>
      <c r="M86" s="6"/>
      <c r="N86" s="7"/>
      <c r="O86" s="6"/>
      <c r="P86" s="6"/>
      <c r="Q86" s="7"/>
      <c r="R86" s="6" t="str">
        <f aca="false">IF(AND($A86="",$B86=""),"",IF(Q86="Complete","Onboarded",IF(OR(M86="Member",M86="Ambassador"),"Sponsored",IF(K86&lt;&gt;"","Follow-Up",IF(I86&lt;&gt;"","Presented",IF(F86&lt;&gt;"","Contacted","New Lead"))))))</f>
        <v/>
      </c>
      <c r="S86" s="6"/>
      <c r="T86" s="6" t="str">
        <f aca="true">IF(MAX(F86,I86,K86)=0,"",TODAY()-MAX(F86,I86,K86))</f>
        <v/>
      </c>
      <c r="U86" s="6"/>
      <c r="V86" s="6"/>
      <c r="W86" s="6" t="str">
        <f aca="false">IF(AND($A86="",$B86=""),"",IF(M86="Ambassador","1 - Ambassador",IF(M86="Member","2 - Member",IF(J86="Completed","3 - Presented",IF(H86&lt;&gt;"","4 - Sent",IF(F86&lt;&gt;"","5 - Contacted","6 - No Activity"))))))</f>
        <v/>
      </c>
      <c r="X86" s="6" t="n">
        <f aca="false">IF(AND($A86="",$B86=""),9999999+(ROW()-4),VALUE(LEFT($W86,1))*10000+(ROW()-4))</f>
        <v>10000081</v>
      </c>
    </row>
    <row r="87" customFormat="false" ht="15" hidden="false" customHeight="true" outlineLevel="0" collapsed="false">
      <c r="A87" s="6"/>
      <c r="B87" s="6"/>
      <c r="C87" s="6"/>
      <c r="D87" s="6"/>
      <c r="E87" s="6"/>
      <c r="F87" s="7"/>
      <c r="G87" s="6"/>
      <c r="H87" s="6"/>
      <c r="I87" s="7"/>
      <c r="J87" s="6"/>
      <c r="K87" s="7"/>
      <c r="L87" s="6"/>
      <c r="M87" s="6"/>
      <c r="N87" s="7"/>
      <c r="O87" s="6"/>
      <c r="P87" s="6"/>
      <c r="Q87" s="7"/>
      <c r="R87" s="6" t="str">
        <f aca="false">IF(AND($A87="",$B87=""),"",IF(Q87="Complete","Onboarded",IF(OR(M87="Member",M87="Ambassador"),"Sponsored",IF(K87&lt;&gt;"","Follow-Up",IF(I87&lt;&gt;"","Presented",IF(F87&lt;&gt;"","Contacted","New Lead"))))))</f>
        <v/>
      </c>
      <c r="S87" s="6"/>
      <c r="T87" s="6" t="str">
        <f aca="true">IF(MAX(F87,I87,K87)=0,"",TODAY()-MAX(F87,I87,K87))</f>
        <v/>
      </c>
      <c r="U87" s="6"/>
      <c r="V87" s="6"/>
      <c r="W87" s="6" t="str">
        <f aca="false">IF(AND($A87="",$B87=""),"",IF(M87="Ambassador","1 - Ambassador",IF(M87="Member","2 - Member",IF(J87="Completed","3 - Presented",IF(H87&lt;&gt;"","4 - Sent",IF(F87&lt;&gt;"","5 - Contacted","6 - No Activity"))))))</f>
        <v/>
      </c>
      <c r="X87" s="6" t="n">
        <f aca="false">IF(AND($A87="",$B87=""),9999999+(ROW()-4),VALUE(LEFT($W87,1))*10000+(ROW()-4))</f>
        <v>10000082</v>
      </c>
    </row>
    <row r="88" customFormat="false" ht="15" hidden="false" customHeight="true" outlineLevel="0" collapsed="false">
      <c r="A88" s="6"/>
      <c r="B88" s="6"/>
      <c r="C88" s="6"/>
      <c r="D88" s="6"/>
      <c r="E88" s="6"/>
      <c r="F88" s="7"/>
      <c r="G88" s="6"/>
      <c r="H88" s="6"/>
      <c r="I88" s="7"/>
      <c r="J88" s="6"/>
      <c r="K88" s="7"/>
      <c r="L88" s="6"/>
      <c r="M88" s="6"/>
      <c r="N88" s="7"/>
      <c r="O88" s="6"/>
      <c r="P88" s="6"/>
      <c r="Q88" s="7"/>
      <c r="R88" s="6" t="str">
        <f aca="false">IF(AND($A88="",$B88=""),"",IF(Q88="Complete","Onboarded",IF(OR(M88="Member",M88="Ambassador"),"Sponsored",IF(K88&lt;&gt;"","Follow-Up",IF(I88&lt;&gt;"","Presented",IF(F88&lt;&gt;"","Contacted","New Lead"))))))</f>
        <v/>
      </c>
      <c r="S88" s="6"/>
      <c r="T88" s="6" t="str">
        <f aca="true">IF(MAX(F88,I88,K88)=0,"",TODAY()-MAX(F88,I88,K88))</f>
        <v/>
      </c>
      <c r="U88" s="6"/>
      <c r="V88" s="6"/>
      <c r="W88" s="6" t="str">
        <f aca="false">IF(AND($A88="",$B88=""),"",IF(M88="Ambassador","1 - Ambassador",IF(M88="Member","2 - Member",IF(J88="Completed","3 - Presented",IF(H88&lt;&gt;"","4 - Sent",IF(F88&lt;&gt;"","5 - Contacted","6 - No Activity"))))))</f>
        <v/>
      </c>
      <c r="X88" s="6" t="n">
        <f aca="false">IF(AND($A88="",$B88=""),9999999+(ROW()-4),VALUE(LEFT($W88,1))*10000+(ROW()-4))</f>
        <v>10000083</v>
      </c>
    </row>
    <row r="89" customFormat="false" ht="15" hidden="false" customHeight="true" outlineLevel="0" collapsed="false">
      <c r="A89" s="6"/>
      <c r="B89" s="6"/>
      <c r="C89" s="6"/>
      <c r="D89" s="6"/>
      <c r="E89" s="6"/>
      <c r="F89" s="7"/>
      <c r="G89" s="6"/>
      <c r="H89" s="6"/>
      <c r="I89" s="7"/>
      <c r="J89" s="6"/>
      <c r="K89" s="7"/>
      <c r="L89" s="6"/>
      <c r="M89" s="6"/>
      <c r="N89" s="7"/>
      <c r="O89" s="6"/>
      <c r="P89" s="6"/>
      <c r="Q89" s="7"/>
      <c r="R89" s="6" t="str">
        <f aca="false">IF(AND($A89="",$B89=""),"",IF(Q89="Complete","Onboarded",IF(OR(M89="Member",M89="Ambassador"),"Sponsored",IF(K89&lt;&gt;"","Follow-Up",IF(I89&lt;&gt;"","Presented",IF(F89&lt;&gt;"","Contacted","New Lead"))))))</f>
        <v/>
      </c>
      <c r="S89" s="6"/>
      <c r="T89" s="6" t="str">
        <f aca="true">IF(MAX(F89,I89,K89)=0,"",TODAY()-MAX(F89,I89,K89))</f>
        <v/>
      </c>
      <c r="U89" s="6"/>
      <c r="V89" s="6"/>
      <c r="W89" s="6" t="str">
        <f aca="false">IF(AND($A89="",$B89=""),"",IF(M89="Ambassador","1 - Ambassador",IF(M89="Member","2 - Member",IF(J89="Completed","3 - Presented",IF(H89&lt;&gt;"","4 - Sent",IF(F89&lt;&gt;"","5 - Contacted","6 - No Activity"))))))</f>
        <v/>
      </c>
      <c r="X89" s="6" t="n">
        <f aca="false">IF(AND($A89="",$B89=""),9999999+(ROW()-4),VALUE(LEFT($W89,1))*10000+(ROW()-4))</f>
        <v>10000084</v>
      </c>
    </row>
    <row r="90" customFormat="false" ht="15" hidden="false" customHeight="true" outlineLevel="0" collapsed="false">
      <c r="A90" s="6"/>
      <c r="B90" s="6"/>
      <c r="C90" s="6"/>
      <c r="D90" s="6"/>
      <c r="E90" s="6"/>
      <c r="F90" s="7"/>
      <c r="G90" s="6"/>
      <c r="H90" s="6"/>
      <c r="I90" s="7"/>
      <c r="J90" s="6"/>
      <c r="K90" s="7"/>
      <c r="L90" s="6"/>
      <c r="M90" s="6"/>
      <c r="N90" s="7"/>
      <c r="O90" s="6"/>
      <c r="P90" s="6"/>
      <c r="Q90" s="7"/>
      <c r="R90" s="6" t="str">
        <f aca="false">IF(AND($A90="",$B90=""),"",IF(Q90="Complete","Onboarded",IF(OR(M90="Member",M90="Ambassador"),"Sponsored",IF(K90&lt;&gt;"","Follow-Up",IF(I90&lt;&gt;"","Presented",IF(F90&lt;&gt;"","Contacted","New Lead"))))))</f>
        <v/>
      </c>
      <c r="S90" s="6"/>
      <c r="T90" s="6" t="str">
        <f aca="true">IF(MAX(F90,I90,K90)=0,"",TODAY()-MAX(F90,I90,K90))</f>
        <v/>
      </c>
      <c r="U90" s="6"/>
      <c r="V90" s="6"/>
      <c r="W90" s="6" t="str">
        <f aca="false">IF(AND($A90="",$B90=""),"",IF(M90="Ambassador","1 - Ambassador",IF(M90="Member","2 - Member",IF(J90="Completed","3 - Presented",IF(H90&lt;&gt;"","4 - Sent",IF(F90&lt;&gt;"","5 - Contacted","6 - No Activity"))))))</f>
        <v/>
      </c>
      <c r="X90" s="6" t="n">
        <f aca="false">IF(AND($A90="",$B90=""),9999999+(ROW()-4),VALUE(LEFT($W90,1))*10000+(ROW()-4))</f>
        <v>10000085</v>
      </c>
    </row>
    <row r="91" customFormat="false" ht="15" hidden="false" customHeight="true" outlineLevel="0" collapsed="false">
      <c r="A91" s="6"/>
      <c r="B91" s="6"/>
      <c r="C91" s="6"/>
      <c r="D91" s="6"/>
      <c r="E91" s="6"/>
      <c r="F91" s="7"/>
      <c r="G91" s="6"/>
      <c r="H91" s="6"/>
      <c r="I91" s="7"/>
      <c r="J91" s="6"/>
      <c r="K91" s="7"/>
      <c r="L91" s="6"/>
      <c r="M91" s="6"/>
      <c r="N91" s="7"/>
      <c r="O91" s="6"/>
      <c r="P91" s="6"/>
      <c r="Q91" s="7"/>
      <c r="R91" s="6" t="str">
        <f aca="false">IF(AND($A91="",$B91=""),"",IF(Q91="Complete","Onboarded",IF(OR(M91="Member",M91="Ambassador"),"Sponsored",IF(K91&lt;&gt;"","Follow-Up",IF(I91&lt;&gt;"","Presented",IF(F91&lt;&gt;"","Contacted","New Lead"))))))</f>
        <v/>
      </c>
      <c r="S91" s="6"/>
      <c r="T91" s="6" t="str">
        <f aca="true">IF(MAX(F91,I91,K91)=0,"",TODAY()-MAX(F91,I91,K91))</f>
        <v/>
      </c>
      <c r="U91" s="6"/>
      <c r="V91" s="6"/>
      <c r="W91" s="6" t="str">
        <f aca="false">IF(AND($A91="",$B91=""),"",IF(M91="Ambassador","1 - Ambassador",IF(M91="Member","2 - Member",IF(J91="Completed","3 - Presented",IF(H91&lt;&gt;"","4 - Sent",IF(F91&lt;&gt;"","5 - Contacted","6 - No Activity"))))))</f>
        <v/>
      </c>
      <c r="X91" s="6" t="n">
        <f aca="false">IF(AND($A91="",$B91=""),9999999+(ROW()-4),VALUE(LEFT($W91,1))*10000+(ROW()-4))</f>
        <v>10000086</v>
      </c>
    </row>
    <row r="92" customFormat="false" ht="15" hidden="false" customHeight="true" outlineLevel="0" collapsed="false">
      <c r="A92" s="6"/>
      <c r="B92" s="6"/>
      <c r="C92" s="6"/>
      <c r="D92" s="6"/>
      <c r="E92" s="6"/>
      <c r="F92" s="7"/>
      <c r="G92" s="6"/>
      <c r="H92" s="6"/>
      <c r="I92" s="7"/>
      <c r="J92" s="6"/>
      <c r="K92" s="7"/>
      <c r="L92" s="6"/>
      <c r="M92" s="6"/>
      <c r="N92" s="7"/>
      <c r="O92" s="6"/>
      <c r="P92" s="6"/>
      <c r="Q92" s="7"/>
      <c r="R92" s="6" t="str">
        <f aca="false">IF(AND($A92="",$B92=""),"",IF(Q92="Complete","Onboarded",IF(OR(M92="Member",M92="Ambassador"),"Sponsored",IF(K92&lt;&gt;"","Follow-Up",IF(I92&lt;&gt;"","Presented",IF(F92&lt;&gt;"","Contacted","New Lead"))))))</f>
        <v/>
      </c>
      <c r="S92" s="6"/>
      <c r="T92" s="6" t="str">
        <f aca="true">IF(MAX(F92,I92,K92)=0,"",TODAY()-MAX(F92,I92,K92))</f>
        <v/>
      </c>
      <c r="U92" s="6"/>
      <c r="V92" s="6"/>
      <c r="W92" s="6" t="str">
        <f aca="false">IF(AND($A92="",$B92=""),"",IF(M92="Ambassador","1 - Ambassador",IF(M92="Member","2 - Member",IF(J92="Completed","3 - Presented",IF(H92&lt;&gt;"","4 - Sent",IF(F92&lt;&gt;"","5 - Contacted","6 - No Activity"))))))</f>
        <v/>
      </c>
      <c r="X92" s="6" t="n">
        <f aca="false">IF(AND($A92="",$B92=""),9999999+(ROW()-4),VALUE(LEFT($W92,1))*10000+(ROW()-4))</f>
        <v>10000087</v>
      </c>
    </row>
    <row r="93" customFormat="false" ht="15" hidden="false" customHeight="true" outlineLevel="0" collapsed="false">
      <c r="A93" s="6"/>
      <c r="B93" s="6"/>
      <c r="C93" s="6"/>
      <c r="D93" s="6"/>
      <c r="E93" s="6"/>
      <c r="F93" s="7"/>
      <c r="G93" s="6"/>
      <c r="H93" s="6"/>
      <c r="I93" s="7"/>
      <c r="J93" s="6"/>
      <c r="K93" s="7"/>
      <c r="L93" s="6"/>
      <c r="M93" s="6"/>
      <c r="N93" s="7"/>
      <c r="O93" s="6"/>
      <c r="P93" s="6"/>
      <c r="Q93" s="7"/>
      <c r="R93" s="6" t="str">
        <f aca="false">IF(AND($A93="",$B93=""),"",IF(Q93="Complete","Onboarded",IF(OR(M93="Member",M93="Ambassador"),"Sponsored",IF(K93&lt;&gt;"","Follow-Up",IF(I93&lt;&gt;"","Presented",IF(F93&lt;&gt;"","Contacted","New Lead"))))))</f>
        <v/>
      </c>
      <c r="S93" s="6"/>
      <c r="T93" s="6" t="str">
        <f aca="true">IF(MAX(F93,I93,K93)=0,"",TODAY()-MAX(F93,I93,K93))</f>
        <v/>
      </c>
      <c r="U93" s="6"/>
      <c r="V93" s="6"/>
      <c r="W93" s="6" t="str">
        <f aca="false">IF(AND($A93="",$B93=""),"",IF(M93="Ambassador","1 - Ambassador",IF(M93="Member","2 - Member",IF(J93="Completed","3 - Presented",IF(H93&lt;&gt;"","4 - Sent",IF(F93&lt;&gt;"","5 - Contacted","6 - No Activity"))))))</f>
        <v/>
      </c>
      <c r="X93" s="6" t="n">
        <f aca="false">IF(AND($A93="",$B93=""),9999999+(ROW()-4),VALUE(LEFT($W93,1))*10000+(ROW()-4))</f>
        <v>10000088</v>
      </c>
    </row>
    <row r="94" customFormat="false" ht="15" hidden="false" customHeight="true" outlineLevel="0" collapsed="false">
      <c r="A94" s="6"/>
      <c r="B94" s="6"/>
      <c r="C94" s="6"/>
      <c r="D94" s="6"/>
      <c r="E94" s="6"/>
      <c r="F94" s="7"/>
      <c r="G94" s="6"/>
      <c r="H94" s="6"/>
      <c r="I94" s="7"/>
      <c r="J94" s="6"/>
      <c r="K94" s="7"/>
      <c r="L94" s="6"/>
      <c r="M94" s="6"/>
      <c r="N94" s="7"/>
      <c r="O94" s="6"/>
      <c r="P94" s="6"/>
      <c r="Q94" s="7"/>
      <c r="R94" s="6" t="str">
        <f aca="false">IF(AND($A94="",$B94=""),"",IF(Q94="Complete","Onboarded",IF(OR(M94="Member",M94="Ambassador"),"Sponsored",IF(K94&lt;&gt;"","Follow-Up",IF(I94&lt;&gt;"","Presented",IF(F94&lt;&gt;"","Contacted","New Lead"))))))</f>
        <v/>
      </c>
      <c r="S94" s="6"/>
      <c r="T94" s="6" t="str">
        <f aca="true">IF(MAX(F94,I94,K94)=0,"",TODAY()-MAX(F94,I94,K94))</f>
        <v/>
      </c>
      <c r="U94" s="6"/>
      <c r="V94" s="6"/>
      <c r="W94" s="6" t="str">
        <f aca="false">IF(AND($A94="",$B94=""),"",IF(M94="Ambassador","1 - Ambassador",IF(M94="Member","2 - Member",IF(J94="Completed","3 - Presented",IF(H94&lt;&gt;"","4 - Sent",IF(F94&lt;&gt;"","5 - Contacted","6 - No Activity"))))))</f>
        <v/>
      </c>
      <c r="X94" s="6" t="n">
        <f aca="false">IF(AND($A94="",$B94=""),9999999+(ROW()-4),VALUE(LEFT($W94,1))*10000+(ROW()-4))</f>
        <v>10000089</v>
      </c>
    </row>
    <row r="95" customFormat="false" ht="15" hidden="false" customHeight="true" outlineLevel="0" collapsed="false">
      <c r="A95" s="6"/>
      <c r="B95" s="6"/>
      <c r="C95" s="6"/>
      <c r="D95" s="6"/>
      <c r="E95" s="6"/>
      <c r="F95" s="7"/>
      <c r="G95" s="6"/>
      <c r="H95" s="6"/>
      <c r="I95" s="7"/>
      <c r="J95" s="6"/>
      <c r="K95" s="7"/>
      <c r="L95" s="6"/>
      <c r="M95" s="6"/>
      <c r="N95" s="7"/>
      <c r="O95" s="6"/>
      <c r="P95" s="6"/>
      <c r="Q95" s="7"/>
      <c r="R95" s="6" t="str">
        <f aca="false">IF(AND($A95="",$B95=""),"",IF(Q95="Complete","Onboarded",IF(OR(M95="Member",M95="Ambassador"),"Sponsored",IF(K95&lt;&gt;"","Follow-Up",IF(I95&lt;&gt;"","Presented",IF(F95&lt;&gt;"","Contacted","New Lead"))))))</f>
        <v/>
      </c>
      <c r="S95" s="6"/>
      <c r="T95" s="6" t="str">
        <f aca="true">IF(MAX(F95,I95,K95)=0,"",TODAY()-MAX(F95,I95,K95))</f>
        <v/>
      </c>
      <c r="U95" s="6"/>
      <c r="V95" s="6"/>
      <c r="W95" s="6" t="str">
        <f aca="false">IF(AND($A95="",$B95=""),"",IF(M95="Ambassador","1 - Ambassador",IF(M95="Member","2 - Member",IF(J95="Completed","3 - Presented",IF(H95&lt;&gt;"","4 - Sent",IF(F95&lt;&gt;"","5 - Contacted","6 - No Activity"))))))</f>
        <v/>
      </c>
      <c r="X95" s="6" t="n">
        <f aca="false">IF(AND($A95="",$B95=""),9999999+(ROW()-4),VALUE(LEFT($W95,1))*10000+(ROW()-4))</f>
        <v>10000090</v>
      </c>
    </row>
    <row r="96" customFormat="false" ht="15" hidden="false" customHeight="true" outlineLevel="0" collapsed="false">
      <c r="A96" s="6"/>
      <c r="B96" s="6"/>
      <c r="C96" s="6"/>
      <c r="D96" s="6"/>
      <c r="E96" s="6"/>
      <c r="F96" s="7"/>
      <c r="G96" s="6"/>
      <c r="H96" s="6"/>
      <c r="I96" s="7"/>
      <c r="J96" s="6"/>
      <c r="K96" s="7"/>
      <c r="L96" s="6"/>
      <c r="M96" s="6"/>
      <c r="N96" s="7"/>
      <c r="O96" s="6"/>
      <c r="P96" s="6"/>
      <c r="Q96" s="7"/>
      <c r="R96" s="6" t="str">
        <f aca="false">IF(AND($A96="",$B96=""),"",IF(Q96="Complete","Onboarded",IF(OR(M96="Member",M96="Ambassador"),"Sponsored",IF(K96&lt;&gt;"","Follow-Up",IF(I96&lt;&gt;"","Presented",IF(F96&lt;&gt;"","Contacted","New Lead"))))))</f>
        <v/>
      </c>
      <c r="S96" s="6"/>
      <c r="T96" s="6" t="str">
        <f aca="true">IF(MAX(F96,I96,K96)=0,"",TODAY()-MAX(F96,I96,K96))</f>
        <v/>
      </c>
      <c r="U96" s="6"/>
      <c r="V96" s="6"/>
      <c r="W96" s="6" t="str">
        <f aca="false">IF(AND($A96="",$B96=""),"",IF(M96="Ambassador","1 - Ambassador",IF(M96="Member","2 - Member",IF(J96="Completed","3 - Presented",IF(H96&lt;&gt;"","4 - Sent",IF(F96&lt;&gt;"","5 - Contacted","6 - No Activity"))))))</f>
        <v/>
      </c>
      <c r="X96" s="6" t="n">
        <f aca="false">IF(AND($A96="",$B96=""),9999999+(ROW()-4),VALUE(LEFT($W96,1))*10000+(ROW()-4))</f>
        <v>10000091</v>
      </c>
    </row>
    <row r="97" customFormat="false" ht="15" hidden="false" customHeight="true" outlineLevel="0" collapsed="false">
      <c r="A97" s="6"/>
      <c r="B97" s="6"/>
      <c r="C97" s="6"/>
      <c r="D97" s="6"/>
      <c r="E97" s="6"/>
      <c r="F97" s="7"/>
      <c r="G97" s="6"/>
      <c r="H97" s="6"/>
      <c r="I97" s="7"/>
      <c r="J97" s="6"/>
      <c r="K97" s="7"/>
      <c r="L97" s="6"/>
      <c r="M97" s="6"/>
      <c r="N97" s="7"/>
      <c r="O97" s="6"/>
      <c r="P97" s="6"/>
      <c r="Q97" s="7"/>
      <c r="R97" s="6" t="str">
        <f aca="false">IF(AND($A97="",$B97=""),"",IF(Q97="Complete","Onboarded",IF(OR(M97="Member",M97="Ambassador"),"Sponsored",IF(K97&lt;&gt;"","Follow-Up",IF(I97&lt;&gt;"","Presented",IF(F97&lt;&gt;"","Contacted","New Lead"))))))</f>
        <v/>
      </c>
      <c r="S97" s="6"/>
      <c r="T97" s="6" t="str">
        <f aca="true">IF(MAX(F97,I97,K97)=0,"",TODAY()-MAX(F97,I97,K97))</f>
        <v/>
      </c>
      <c r="U97" s="6"/>
      <c r="V97" s="6"/>
      <c r="W97" s="6" t="str">
        <f aca="false">IF(AND($A97="",$B97=""),"",IF(M97="Ambassador","1 - Ambassador",IF(M97="Member","2 - Member",IF(J97="Completed","3 - Presented",IF(H97&lt;&gt;"","4 - Sent",IF(F97&lt;&gt;"","5 - Contacted","6 - No Activity"))))))</f>
        <v/>
      </c>
      <c r="X97" s="6" t="n">
        <f aca="false">IF(AND($A97="",$B97=""),9999999+(ROW()-4),VALUE(LEFT($W97,1))*10000+(ROW()-4))</f>
        <v>10000092</v>
      </c>
    </row>
    <row r="98" customFormat="false" ht="15" hidden="false" customHeight="true" outlineLevel="0" collapsed="false">
      <c r="A98" s="6"/>
      <c r="B98" s="6"/>
      <c r="C98" s="6"/>
      <c r="D98" s="6"/>
      <c r="E98" s="6"/>
      <c r="F98" s="7"/>
      <c r="G98" s="6"/>
      <c r="H98" s="6"/>
      <c r="I98" s="7"/>
      <c r="J98" s="6"/>
      <c r="K98" s="7"/>
      <c r="L98" s="6"/>
      <c r="M98" s="6"/>
      <c r="N98" s="7"/>
      <c r="O98" s="6"/>
      <c r="P98" s="6"/>
      <c r="Q98" s="7"/>
      <c r="R98" s="6" t="str">
        <f aca="false">IF(AND($A98="",$B98=""),"",IF(Q98="Complete","Onboarded",IF(OR(M98="Member",M98="Ambassador"),"Sponsored",IF(K98&lt;&gt;"","Follow-Up",IF(I98&lt;&gt;"","Presented",IF(F98&lt;&gt;"","Contacted","New Lead"))))))</f>
        <v/>
      </c>
      <c r="S98" s="6"/>
      <c r="T98" s="6" t="str">
        <f aca="true">IF(MAX(F98,I98,K98)=0,"",TODAY()-MAX(F98,I98,K98))</f>
        <v/>
      </c>
      <c r="U98" s="6"/>
      <c r="V98" s="6"/>
      <c r="W98" s="6" t="str">
        <f aca="false">IF(AND($A98="",$B98=""),"",IF(M98="Ambassador","1 - Ambassador",IF(M98="Member","2 - Member",IF(J98="Completed","3 - Presented",IF(H98&lt;&gt;"","4 - Sent",IF(F98&lt;&gt;"","5 - Contacted","6 - No Activity"))))))</f>
        <v/>
      </c>
      <c r="X98" s="6" t="n">
        <f aca="false">IF(AND($A98="",$B98=""),9999999+(ROW()-4),VALUE(LEFT($W98,1))*10000+(ROW()-4))</f>
        <v>10000093</v>
      </c>
    </row>
    <row r="99" customFormat="false" ht="15" hidden="false" customHeight="true" outlineLevel="0" collapsed="false">
      <c r="A99" s="6"/>
      <c r="B99" s="6"/>
      <c r="C99" s="6"/>
      <c r="D99" s="6"/>
      <c r="E99" s="6"/>
      <c r="F99" s="7"/>
      <c r="G99" s="6"/>
      <c r="H99" s="6"/>
      <c r="I99" s="7"/>
      <c r="J99" s="6"/>
      <c r="K99" s="7"/>
      <c r="L99" s="6"/>
      <c r="M99" s="6"/>
      <c r="N99" s="7"/>
      <c r="O99" s="6"/>
      <c r="P99" s="6"/>
      <c r="Q99" s="7"/>
      <c r="R99" s="6" t="str">
        <f aca="false">IF(AND($A99="",$B99=""),"",IF(Q99="Complete","Onboarded",IF(OR(M99="Member",M99="Ambassador"),"Sponsored",IF(K99&lt;&gt;"","Follow-Up",IF(I99&lt;&gt;"","Presented",IF(F99&lt;&gt;"","Contacted","New Lead"))))))</f>
        <v/>
      </c>
      <c r="S99" s="6"/>
      <c r="T99" s="6" t="str">
        <f aca="true">IF(MAX(F99,I99,K99)=0,"",TODAY()-MAX(F99,I99,K99))</f>
        <v/>
      </c>
      <c r="U99" s="6"/>
      <c r="V99" s="6"/>
      <c r="W99" s="6" t="str">
        <f aca="false">IF(AND($A99="",$B99=""),"",IF(M99="Ambassador","1 - Ambassador",IF(M99="Member","2 - Member",IF(J99="Completed","3 - Presented",IF(H99&lt;&gt;"","4 - Sent",IF(F99&lt;&gt;"","5 - Contacted","6 - No Activity"))))))</f>
        <v/>
      </c>
      <c r="X99" s="6" t="n">
        <f aca="false">IF(AND($A99="",$B99=""),9999999+(ROW()-4),VALUE(LEFT($W99,1))*10000+(ROW()-4))</f>
        <v>10000094</v>
      </c>
    </row>
    <row r="100" customFormat="false" ht="15" hidden="false" customHeight="true" outlineLevel="0" collapsed="false">
      <c r="A100" s="6"/>
      <c r="B100" s="6"/>
      <c r="C100" s="6"/>
      <c r="D100" s="6"/>
      <c r="E100" s="6"/>
      <c r="F100" s="7"/>
      <c r="G100" s="6"/>
      <c r="H100" s="6"/>
      <c r="I100" s="7"/>
      <c r="J100" s="6"/>
      <c r="K100" s="7"/>
      <c r="L100" s="6"/>
      <c r="M100" s="6"/>
      <c r="N100" s="7"/>
      <c r="O100" s="6"/>
      <c r="P100" s="6"/>
      <c r="Q100" s="7"/>
      <c r="R100" s="6" t="str">
        <f aca="false">IF(AND($A100="",$B100=""),"",IF(Q100="Complete","Onboarded",IF(OR(M100="Member",M100="Ambassador"),"Sponsored",IF(K100&lt;&gt;"","Follow-Up",IF(I100&lt;&gt;"","Presented",IF(F100&lt;&gt;"","Contacted","New Lead"))))))</f>
        <v/>
      </c>
      <c r="S100" s="6"/>
      <c r="T100" s="6" t="str">
        <f aca="true">IF(MAX(F100,I100,K100)=0,"",TODAY()-MAX(F100,I100,K100))</f>
        <v/>
      </c>
      <c r="U100" s="6"/>
      <c r="V100" s="6"/>
      <c r="W100" s="6" t="str">
        <f aca="false">IF(AND($A100="",$B100=""),"",IF(M100="Ambassador","1 - Ambassador",IF(M100="Member","2 - Member",IF(J100="Completed","3 - Presented",IF(H100&lt;&gt;"","4 - Sent",IF(F100&lt;&gt;"","5 - Contacted","6 - No Activity"))))))</f>
        <v/>
      </c>
      <c r="X100" s="6" t="n">
        <f aca="false">IF(AND($A100="",$B100=""),9999999+(ROW()-4),VALUE(LEFT($W100,1))*10000+(ROW()-4))</f>
        <v>10000095</v>
      </c>
    </row>
    <row r="101" customFormat="false" ht="15" hidden="false" customHeight="true" outlineLevel="0" collapsed="false">
      <c r="A101" s="6"/>
      <c r="B101" s="6"/>
      <c r="C101" s="6"/>
      <c r="D101" s="6"/>
      <c r="E101" s="6"/>
      <c r="F101" s="7"/>
      <c r="G101" s="6"/>
      <c r="H101" s="6"/>
      <c r="I101" s="7"/>
      <c r="J101" s="6"/>
      <c r="K101" s="7"/>
      <c r="L101" s="6"/>
      <c r="M101" s="6"/>
      <c r="N101" s="7"/>
      <c r="O101" s="6"/>
      <c r="P101" s="6"/>
      <c r="Q101" s="7"/>
      <c r="R101" s="6" t="str">
        <f aca="false">IF(AND($A101="",$B101=""),"",IF(Q101="Complete","Onboarded",IF(OR(M101="Member",M101="Ambassador"),"Sponsored",IF(K101&lt;&gt;"","Follow-Up",IF(I101&lt;&gt;"","Presented",IF(F101&lt;&gt;"","Contacted","New Lead"))))))</f>
        <v/>
      </c>
      <c r="S101" s="6"/>
      <c r="T101" s="6" t="str">
        <f aca="true">IF(MAX(F101,I101,K101)=0,"",TODAY()-MAX(F101,I101,K101))</f>
        <v/>
      </c>
      <c r="U101" s="6"/>
      <c r="V101" s="6"/>
      <c r="W101" s="6" t="str">
        <f aca="false">IF(AND($A101="",$B101=""),"",IF(M101="Ambassador","1 - Ambassador",IF(M101="Member","2 - Member",IF(J101="Completed","3 - Presented",IF(H101&lt;&gt;"","4 - Sent",IF(F101&lt;&gt;"","5 - Contacted","6 - No Activity"))))))</f>
        <v/>
      </c>
      <c r="X101" s="6" t="n">
        <f aca="false">IF(AND($A101="",$B101=""),9999999+(ROW()-4),VALUE(LEFT($W101,1))*10000+(ROW()-4))</f>
        <v>10000096</v>
      </c>
    </row>
    <row r="102" customFormat="false" ht="15" hidden="false" customHeight="true" outlineLevel="0" collapsed="false">
      <c r="A102" s="6"/>
      <c r="B102" s="6"/>
      <c r="C102" s="6"/>
      <c r="D102" s="6"/>
      <c r="E102" s="6"/>
      <c r="F102" s="7"/>
      <c r="G102" s="6"/>
      <c r="H102" s="6"/>
      <c r="I102" s="7"/>
      <c r="J102" s="6"/>
      <c r="K102" s="7"/>
      <c r="L102" s="6"/>
      <c r="M102" s="6"/>
      <c r="N102" s="7"/>
      <c r="O102" s="6"/>
      <c r="P102" s="6"/>
      <c r="Q102" s="7"/>
      <c r="R102" s="6" t="str">
        <f aca="false">IF(AND($A102="",$B102=""),"",IF(Q102="Complete","Onboarded",IF(OR(M102="Member",M102="Ambassador"),"Sponsored",IF(K102&lt;&gt;"","Follow-Up",IF(I102&lt;&gt;"","Presented",IF(F102&lt;&gt;"","Contacted","New Lead"))))))</f>
        <v/>
      </c>
      <c r="S102" s="6"/>
      <c r="T102" s="6" t="str">
        <f aca="true">IF(MAX(F102,I102,K102)=0,"",TODAY()-MAX(F102,I102,K102))</f>
        <v/>
      </c>
      <c r="U102" s="6"/>
      <c r="V102" s="6"/>
      <c r="W102" s="6" t="str">
        <f aca="false">IF(AND($A102="",$B102=""),"",IF(M102="Ambassador","1 - Ambassador",IF(M102="Member","2 - Member",IF(J102="Completed","3 - Presented",IF(H102&lt;&gt;"","4 - Sent",IF(F102&lt;&gt;"","5 - Contacted","6 - No Activity"))))))</f>
        <v/>
      </c>
      <c r="X102" s="6" t="n">
        <f aca="false">IF(AND($A102="",$B102=""),9999999+(ROW()-4),VALUE(LEFT($W102,1))*10000+(ROW()-4))</f>
        <v>10000097</v>
      </c>
    </row>
    <row r="103" customFormat="false" ht="15" hidden="false" customHeight="true" outlineLevel="0" collapsed="false">
      <c r="A103" s="6"/>
      <c r="B103" s="6"/>
      <c r="C103" s="6"/>
      <c r="D103" s="6"/>
      <c r="E103" s="6"/>
      <c r="F103" s="7"/>
      <c r="G103" s="6"/>
      <c r="H103" s="6"/>
      <c r="I103" s="7"/>
      <c r="J103" s="6"/>
      <c r="K103" s="7"/>
      <c r="L103" s="6"/>
      <c r="M103" s="6"/>
      <c r="N103" s="7"/>
      <c r="O103" s="6"/>
      <c r="P103" s="6"/>
      <c r="Q103" s="7"/>
      <c r="R103" s="6" t="str">
        <f aca="false">IF(AND($A103="",$B103=""),"",IF(Q103="Complete","Onboarded",IF(OR(M103="Member",M103="Ambassador"),"Sponsored",IF(K103&lt;&gt;"","Follow-Up",IF(I103&lt;&gt;"","Presented",IF(F103&lt;&gt;"","Contacted","New Lead"))))))</f>
        <v/>
      </c>
      <c r="S103" s="6"/>
      <c r="T103" s="6" t="str">
        <f aca="true">IF(MAX(F103,I103,K103)=0,"",TODAY()-MAX(F103,I103,K103))</f>
        <v/>
      </c>
      <c r="U103" s="6"/>
      <c r="V103" s="6"/>
      <c r="W103" s="6" t="str">
        <f aca="false">IF(AND($A103="",$B103=""),"",IF(M103="Ambassador","1 - Ambassador",IF(M103="Member","2 - Member",IF(J103="Completed","3 - Presented",IF(H103&lt;&gt;"","4 - Sent",IF(F103&lt;&gt;"","5 - Contacted","6 - No Activity"))))))</f>
        <v/>
      </c>
      <c r="X103" s="6" t="n">
        <f aca="false">IF(AND($A103="",$B103=""),9999999+(ROW()-4),VALUE(LEFT($W103,1))*10000+(ROW()-4))</f>
        <v>10000098</v>
      </c>
    </row>
    <row r="104" customFormat="false" ht="15" hidden="false" customHeight="true" outlineLevel="0" collapsed="false">
      <c r="A104" s="6"/>
      <c r="B104" s="6"/>
      <c r="C104" s="6"/>
      <c r="D104" s="6"/>
      <c r="E104" s="6"/>
      <c r="F104" s="7"/>
      <c r="G104" s="6"/>
      <c r="H104" s="6"/>
      <c r="I104" s="7"/>
      <c r="J104" s="6"/>
      <c r="K104" s="7"/>
      <c r="L104" s="6"/>
      <c r="M104" s="6"/>
      <c r="N104" s="7"/>
      <c r="O104" s="6"/>
      <c r="P104" s="6"/>
      <c r="Q104" s="7"/>
      <c r="R104" s="6" t="str">
        <f aca="false">IF(AND($A104="",$B104=""),"",IF(Q104="Complete","Onboarded",IF(OR(M104="Member",M104="Ambassador"),"Sponsored",IF(K104&lt;&gt;"","Follow-Up",IF(I104&lt;&gt;"","Presented",IF(F104&lt;&gt;"","Contacted","New Lead"))))))</f>
        <v/>
      </c>
      <c r="S104" s="6"/>
      <c r="T104" s="6" t="str">
        <f aca="true">IF(MAX(F104,I104,K104)=0,"",TODAY()-MAX(F104,I104,K104))</f>
        <v/>
      </c>
      <c r="U104" s="6"/>
      <c r="V104" s="6"/>
      <c r="W104" s="6" t="str">
        <f aca="false">IF(AND($A104="",$B104=""),"",IF(M104="Ambassador","1 - Ambassador",IF(M104="Member","2 - Member",IF(J104="Completed","3 - Presented",IF(H104&lt;&gt;"","4 - Sent",IF(F104&lt;&gt;"","5 - Contacted","6 - No Activity"))))))</f>
        <v/>
      </c>
      <c r="X104" s="6" t="n">
        <f aca="false">IF(AND($A104="",$B104=""),9999999+(ROW()-4),VALUE(LEFT($W104,1))*10000+(ROW()-4))</f>
        <v>10000099</v>
      </c>
    </row>
    <row r="105" customFormat="false" ht="15" hidden="false" customHeight="true" outlineLevel="0" collapsed="false">
      <c r="A105" s="6"/>
      <c r="B105" s="6"/>
      <c r="C105" s="6"/>
      <c r="D105" s="6"/>
      <c r="E105" s="6"/>
      <c r="F105" s="7"/>
      <c r="G105" s="6"/>
      <c r="H105" s="6"/>
      <c r="I105" s="7"/>
      <c r="J105" s="6"/>
      <c r="K105" s="7"/>
      <c r="L105" s="6"/>
      <c r="M105" s="6"/>
      <c r="N105" s="7"/>
      <c r="O105" s="6"/>
      <c r="P105" s="6"/>
      <c r="Q105" s="7"/>
      <c r="R105" s="6" t="str">
        <f aca="false">IF(AND($A105="",$B105=""),"",IF(Q105="Complete","Onboarded",IF(OR(M105="Member",M105="Ambassador"),"Sponsored",IF(K105&lt;&gt;"","Follow-Up",IF(I105&lt;&gt;"","Presented",IF(F105&lt;&gt;"","Contacted","New Lead"))))))</f>
        <v/>
      </c>
      <c r="S105" s="6"/>
      <c r="T105" s="6" t="str">
        <f aca="true">IF(MAX(F105,I105,K105)=0,"",TODAY()-MAX(F105,I105,K105))</f>
        <v/>
      </c>
      <c r="U105" s="6"/>
      <c r="V105" s="6"/>
      <c r="W105" s="6" t="str">
        <f aca="false">IF(AND($A105="",$B105=""),"",IF(M105="Ambassador","1 - Ambassador",IF(M105="Member","2 - Member",IF(J105="Completed","3 - Presented",IF(H105&lt;&gt;"","4 - Sent",IF(F105&lt;&gt;"","5 - Contacted","6 - No Activity"))))))</f>
        <v/>
      </c>
      <c r="X105" s="6" t="n">
        <f aca="false">IF(AND($A105="",$B105=""),9999999+(ROW()-4),VALUE(LEFT($W105,1))*10000+(ROW()-4))</f>
        <v>10000100</v>
      </c>
    </row>
    <row r="106" customFormat="false" ht="15" hidden="false" customHeight="true" outlineLevel="0" collapsed="false">
      <c r="A106" s="6"/>
      <c r="B106" s="6"/>
      <c r="C106" s="6"/>
      <c r="D106" s="6"/>
      <c r="E106" s="6"/>
      <c r="F106" s="7"/>
      <c r="G106" s="6"/>
      <c r="H106" s="6"/>
      <c r="I106" s="7"/>
      <c r="J106" s="6"/>
      <c r="K106" s="7"/>
      <c r="L106" s="6"/>
      <c r="M106" s="6"/>
      <c r="N106" s="7"/>
      <c r="O106" s="6"/>
      <c r="P106" s="6"/>
      <c r="Q106" s="7"/>
      <c r="R106" s="6" t="str">
        <f aca="false">IF(AND($A106="",$B106=""),"",IF(Q106="Complete","Onboarded",IF(OR(M106="Member",M106="Ambassador"),"Sponsored",IF(K106&lt;&gt;"","Follow-Up",IF(I106&lt;&gt;"","Presented",IF(F106&lt;&gt;"","Contacted","New Lead"))))))</f>
        <v/>
      </c>
      <c r="S106" s="6"/>
      <c r="T106" s="6" t="str">
        <f aca="true">IF(MAX(F106,I106,K106)=0,"",TODAY()-MAX(F106,I106,K106))</f>
        <v/>
      </c>
      <c r="U106" s="6"/>
      <c r="V106" s="6"/>
      <c r="W106" s="6" t="str">
        <f aca="false">IF(AND($A106="",$B106=""),"",IF(M106="Ambassador","1 - Ambassador",IF(M106="Member","2 - Member",IF(J106="Completed","3 - Presented",IF(H106&lt;&gt;"","4 - Sent",IF(F106&lt;&gt;"","5 - Contacted","6 - No Activity"))))))</f>
        <v/>
      </c>
      <c r="X106" s="6" t="n">
        <f aca="false">IF(AND($A106="",$B106=""),9999999+(ROW()-4),VALUE(LEFT($W106,1))*10000+(ROW()-4))</f>
        <v>10000101</v>
      </c>
    </row>
    <row r="107" customFormat="false" ht="15" hidden="false" customHeight="true" outlineLevel="0" collapsed="false">
      <c r="A107" s="6"/>
      <c r="B107" s="6"/>
      <c r="C107" s="6"/>
      <c r="D107" s="6"/>
      <c r="E107" s="6"/>
      <c r="F107" s="7"/>
      <c r="G107" s="6"/>
      <c r="H107" s="6"/>
      <c r="I107" s="7"/>
      <c r="J107" s="6"/>
      <c r="K107" s="7"/>
      <c r="L107" s="6"/>
      <c r="M107" s="6"/>
      <c r="N107" s="7"/>
      <c r="O107" s="6"/>
      <c r="P107" s="6"/>
      <c r="Q107" s="7"/>
      <c r="R107" s="6" t="str">
        <f aca="false">IF(AND($A107="",$B107=""),"",IF(Q107="Complete","Onboarded",IF(OR(M107="Member",M107="Ambassador"),"Sponsored",IF(K107&lt;&gt;"","Follow-Up",IF(I107&lt;&gt;"","Presented",IF(F107&lt;&gt;"","Contacted","New Lead"))))))</f>
        <v/>
      </c>
      <c r="S107" s="6"/>
      <c r="T107" s="6" t="str">
        <f aca="true">IF(MAX(F107,I107,K107)=0,"",TODAY()-MAX(F107,I107,K107))</f>
        <v/>
      </c>
      <c r="U107" s="6"/>
      <c r="V107" s="6"/>
      <c r="W107" s="6" t="str">
        <f aca="false">IF(AND($A107="",$B107=""),"",IF(M107="Ambassador","1 - Ambassador",IF(M107="Member","2 - Member",IF(J107="Completed","3 - Presented",IF(H107&lt;&gt;"","4 - Sent",IF(F107&lt;&gt;"","5 - Contacted","6 - No Activity"))))))</f>
        <v/>
      </c>
      <c r="X107" s="6" t="n">
        <f aca="false">IF(AND($A107="",$B107=""),9999999+(ROW()-4),VALUE(LEFT($W107,1))*10000+(ROW()-4))</f>
        <v>10000102</v>
      </c>
    </row>
    <row r="108" customFormat="false" ht="15" hidden="false" customHeight="true" outlineLevel="0" collapsed="false">
      <c r="A108" s="6"/>
      <c r="B108" s="6"/>
      <c r="C108" s="6"/>
      <c r="D108" s="6"/>
      <c r="E108" s="6"/>
      <c r="F108" s="7"/>
      <c r="G108" s="6"/>
      <c r="H108" s="6"/>
      <c r="I108" s="7"/>
      <c r="J108" s="6"/>
      <c r="K108" s="7"/>
      <c r="L108" s="6"/>
      <c r="M108" s="6"/>
      <c r="N108" s="7"/>
      <c r="O108" s="6"/>
      <c r="P108" s="6"/>
      <c r="Q108" s="7"/>
      <c r="R108" s="6" t="str">
        <f aca="false">IF(AND($A108="",$B108=""),"",IF(Q108="Complete","Onboarded",IF(OR(M108="Member",M108="Ambassador"),"Sponsored",IF(K108&lt;&gt;"","Follow-Up",IF(I108&lt;&gt;"","Presented",IF(F108&lt;&gt;"","Contacted","New Lead"))))))</f>
        <v/>
      </c>
      <c r="S108" s="6"/>
      <c r="T108" s="6" t="str">
        <f aca="true">IF(MAX(F108,I108,K108)=0,"",TODAY()-MAX(F108,I108,K108))</f>
        <v/>
      </c>
      <c r="U108" s="6"/>
      <c r="V108" s="6"/>
      <c r="W108" s="6" t="str">
        <f aca="false">IF(AND($A108="",$B108=""),"",IF(M108="Ambassador","1 - Ambassador",IF(M108="Member","2 - Member",IF(J108="Completed","3 - Presented",IF(H108&lt;&gt;"","4 - Sent",IF(F108&lt;&gt;"","5 - Contacted","6 - No Activity"))))))</f>
        <v/>
      </c>
      <c r="X108" s="6" t="n">
        <f aca="false">IF(AND($A108="",$B108=""),9999999+(ROW()-4),VALUE(LEFT($W108,1))*10000+(ROW()-4))</f>
        <v>10000103</v>
      </c>
    </row>
    <row r="109" customFormat="false" ht="15" hidden="false" customHeight="true" outlineLevel="0" collapsed="false">
      <c r="A109" s="6"/>
      <c r="B109" s="6"/>
      <c r="C109" s="6"/>
      <c r="D109" s="6"/>
      <c r="E109" s="6"/>
      <c r="F109" s="7"/>
      <c r="G109" s="6"/>
      <c r="H109" s="6"/>
      <c r="I109" s="7"/>
      <c r="J109" s="6"/>
      <c r="K109" s="7"/>
      <c r="L109" s="6"/>
      <c r="M109" s="6"/>
      <c r="N109" s="7"/>
      <c r="O109" s="6"/>
      <c r="P109" s="6"/>
      <c r="Q109" s="7"/>
      <c r="R109" s="6" t="str">
        <f aca="false">IF(AND($A109="",$B109=""),"",IF(Q109="Complete","Onboarded",IF(OR(M109="Member",M109="Ambassador"),"Sponsored",IF(K109&lt;&gt;"","Follow-Up",IF(I109&lt;&gt;"","Presented",IF(F109&lt;&gt;"","Contacted","New Lead"))))))</f>
        <v/>
      </c>
      <c r="S109" s="6"/>
      <c r="T109" s="6" t="str">
        <f aca="true">IF(MAX(F109,I109,K109)=0,"",TODAY()-MAX(F109,I109,K109))</f>
        <v/>
      </c>
      <c r="U109" s="6"/>
      <c r="V109" s="6"/>
      <c r="W109" s="6" t="str">
        <f aca="false">IF(AND($A109="",$B109=""),"",IF(M109="Ambassador","1 - Ambassador",IF(M109="Member","2 - Member",IF(J109="Completed","3 - Presented",IF(H109&lt;&gt;"","4 - Sent",IF(F109&lt;&gt;"","5 - Contacted","6 - No Activity"))))))</f>
        <v/>
      </c>
      <c r="X109" s="6" t="n">
        <f aca="false">IF(AND($A109="",$B109=""),9999999+(ROW()-4),VALUE(LEFT($W109,1))*10000+(ROW()-4))</f>
        <v>10000104</v>
      </c>
    </row>
    <row r="110" customFormat="false" ht="15" hidden="false" customHeight="true" outlineLevel="0" collapsed="false">
      <c r="A110" s="6"/>
      <c r="B110" s="6"/>
      <c r="C110" s="6"/>
      <c r="D110" s="6"/>
      <c r="E110" s="6"/>
      <c r="F110" s="7"/>
      <c r="G110" s="6"/>
      <c r="H110" s="6"/>
      <c r="I110" s="7"/>
      <c r="J110" s="6"/>
      <c r="K110" s="7"/>
      <c r="L110" s="6"/>
      <c r="M110" s="6"/>
      <c r="N110" s="7"/>
      <c r="O110" s="6"/>
      <c r="P110" s="6"/>
      <c r="Q110" s="7"/>
      <c r="R110" s="6" t="str">
        <f aca="false">IF(AND($A110="",$B110=""),"",IF(Q110="Complete","Onboarded",IF(OR(M110="Member",M110="Ambassador"),"Sponsored",IF(K110&lt;&gt;"","Follow-Up",IF(I110&lt;&gt;"","Presented",IF(F110&lt;&gt;"","Contacted","New Lead"))))))</f>
        <v/>
      </c>
      <c r="S110" s="6"/>
      <c r="T110" s="6" t="str">
        <f aca="true">IF(MAX(F110,I110,K110)=0,"",TODAY()-MAX(F110,I110,K110))</f>
        <v/>
      </c>
      <c r="U110" s="6"/>
      <c r="V110" s="6"/>
      <c r="W110" s="6" t="str">
        <f aca="false">IF(AND($A110="",$B110=""),"",IF(M110="Ambassador","1 - Ambassador",IF(M110="Member","2 - Member",IF(J110="Completed","3 - Presented",IF(H110&lt;&gt;"","4 - Sent",IF(F110&lt;&gt;"","5 - Contacted","6 - No Activity"))))))</f>
        <v/>
      </c>
      <c r="X110" s="6" t="n">
        <f aca="false">IF(AND($A110="",$B110=""),9999999+(ROW()-4),VALUE(LEFT($W110,1))*10000+(ROW()-4))</f>
        <v>10000105</v>
      </c>
    </row>
    <row r="111" customFormat="false" ht="15" hidden="false" customHeight="true" outlineLevel="0" collapsed="false">
      <c r="A111" s="6"/>
      <c r="B111" s="6"/>
      <c r="C111" s="6"/>
      <c r="D111" s="6"/>
      <c r="E111" s="6"/>
      <c r="F111" s="7"/>
      <c r="G111" s="6"/>
      <c r="H111" s="6"/>
      <c r="I111" s="7"/>
      <c r="J111" s="6"/>
      <c r="K111" s="7"/>
      <c r="L111" s="6"/>
      <c r="M111" s="6"/>
      <c r="N111" s="7"/>
      <c r="O111" s="6"/>
      <c r="P111" s="6"/>
      <c r="Q111" s="7"/>
      <c r="R111" s="6" t="str">
        <f aca="false">IF(AND($A111="",$B111=""),"",IF(Q111="Complete","Onboarded",IF(OR(M111="Member",M111="Ambassador"),"Sponsored",IF(K111&lt;&gt;"","Follow-Up",IF(I111&lt;&gt;"","Presented",IF(F111&lt;&gt;"","Contacted","New Lead"))))))</f>
        <v/>
      </c>
      <c r="S111" s="6"/>
      <c r="T111" s="6" t="str">
        <f aca="true">IF(MAX(F111,I111,K111)=0,"",TODAY()-MAX(F111,I111,K111))</f>
        <v/>
      </c>
      <c r="U111" s="6"/>
      <c r="V111" s="6"/>
      <c r="W111" s="6" t="str">
        <f aca="false">IF(AND($A111="",$B111=""),"",IF(M111="Ambassador","1 - Ambassador",IF(M111="Member","2 - Member",IF(J111="Completed","3 - Presented",IF(H111&lt;&gt;"","4 - Sent",IF(F111&lt;&gt;"","5 - Contacted","6 - No Activity"))))))</f>
        <v/>
      </c>
      <c r="X111" s="6" t="n">
        <f aca="false">IF(AND($A111="",$B111=""),9999999+(ROW()-4),VALUE(LEFT($W111,1))*10000+(ROW()-4))</f>
        <v>10000106</v>
      </c>
    </row>
    <row r="112" customFormat="false" ht="15" hidden="false" customHeight="true" outlineLevel="0" collapsed="false">
      <c r="A112" s="6"/>
      <c r="B112" s="6"/>
      <c r="C112" s="6"/>
      <c r="D112" s="6"/>
      <c r="E112" s="6"/>
      <c r="F112" s="7"/>
      <c r="G112" s="6"/>
      <c r="H112" s="6"/>
      <c r="I112" s="7"/>
      <c r="J112" s="6"/>
      <c r="K112" s="7"/>
      <c r="L112" s="6"/>
      <c r="M112" s="6"/>
      <c r="N112" s="7"/>
      <c r="O112" s="6"/>
      <c r="P112" s="6"/>
      <c r="Q112" s="7"/>
      <c r="R112" s="6" t="str">
        <f aca="false">IF(AND($A112="",$B112=""),"",IF(Q112="Complete","Onboarded",IF(OR(M112="Member",M112="Ambassador"),"Sponsored",IF(K112&lt;&gt;"","Follow-Up",IF(I112&lt;&gt;"","Presented",IF(F112&lt;&gt;"","Contacted","New Lead"))))))</f>
        <v/>
      </c>
      <c r="S112" s="6"/>
      <c r="T112" s="6" t="str">
        <f aca="true">IF(MAX(F112,I112,K112)=0,"",TODAY()-MAX(F112,I112,K112))</f>
        <v/>
      </c>
      <c r="U112" s="6"/>
      <c r="V112" s="6"/>
      <c r="W112" s="6" t="str">
        <f aca="false">IF(AND($A112="",$B112=""),"",IF(M112="Ambassador","1 - Ambassador",IF(M112="Member","2 - Member",IF(J112="Completed","3 - Presented",IF(H112&lt;&gt;"","4 - Sent",IF(F112&lt;&gt;"","5 - Contacted","6 - No Activity"))))))</f>
        <v/>
      </c>
      <c r="X112" s="6" t="n">
        <f aca="false">IF(AND($A112="",$B112=""),9999999+(ROW()-4),VALUE(LEFT($W112,1))*10000+(ROW()-4))</f>
        <v>10000107</v>
      </c>
    </row>
    <row r="113" customFormat="false" ht="15" hidden="false" customHeight="true" outlineLevel="0" collapsed="false">
      <c r="A113" s="6"/>
      <c r="B113" s="6"/>
      <c r="C113" s="6"/>
      <c r="D113" s="6"/>
      <c r="E113" s="6"/>
      <c r="F113" s="7"/>
      <c r="G113" s="6"/>
      <c r="H113" s="6"/>
      <c r="I113" s="7"/>
      <c r="J113" s="6"/>
      <c r="K113" s="7"/>
      <c r="L113" s="6"/>
      <c r="M113" s="6"/>
      <c r="N113" s="7"/>
      <c r="O113" s="6"/>
      <c r="P113" s="6"/>
      <c r="Q113" s="7"/>
      <c r="R113" s="6" t="str">
        <f aca="false">IF(AND($A113="",$B113=""),"",IF(Q113="Complete","Onboarded",IF(OR(M113="Member",M113="Ambassador"),"Sponsored",IF(K113&lt;&gt;"","Follow-Up",IF(I113&lt;&gt;"","Presented",IF(F113&lt;&gt;"","Contacted","New Lead"))))))</f>
        <v/>
      </c>
      <c r="S113" s="6"/>
      <c r="T113" s="6" t="str">
        <f aca="true">IF(MAX(F113,I113,K113)=0,"",TODAY()-MAX(F113,I113,K113))</f>
        <v/>
      </c>
      <c r="U113" s="6"/>
      <c r="V113" s="6"/>
      <c r="W113" s="6" t="str">
        <f aca="false">IF(AND($A113="",$B113=""),"",IF(M113="Ambassador","1 - Ambassador",IF(M113="Member","2 - Member",IF(J113="Completed","3 - Presented",IF(H113&lt;&gt;"","4 - Sent",IF(F113&lt;&gt;"","5 - Contacted","6 - No Activity"))))))</f>
        <v/>
      </c>
      <c r="X113" s="6" t="n">
        <f aca="false">IF(AND($A113="",$B113=""),9999999+(ROW()-4),VALUE(LEFT($W113,1))*10000+(ROW()-4))</f>
        <v>10000108</v>
      </c>
    </row>
    <row r="114" customFormat="false" ht="15" hidden="false" customHeight="true" outlineLevel="0" collapsed="false">
      <c r="A114" s="6"/>
      <c r="B114" s="6"/>
      <c r="C114" s="6"/>
      <c r="D114" s="6"/>
      <c r="E114" s="6"/>
      <c r="F114" s="7"/>
      <c r="G114" s="6"/>
      <c r="H114" s="6"/>
      <c r="I114" s="7"/>
      <c r="J114" s="6"/>
      <c r="K114" s="7"/>
      <c r="L114" s="6"/>
      <c r="M114" s="6"/>
      <c r="N114" s="7"/>
      <c r="O114" s="6"/>
      <c r="P114" s="6"/>
      <c r="Q114" s="7"/>
      <c r="R114" s="6" t="str">
        <f aca="false">IF(AND($A114="",$B114=""),"",IF(Q114="Complete","Onboarded",IF(OR(M114="Member",M114="Ambassador"),"Sponsored",IF(K114&lt;&gt;"","Follow-Up",IF(I114&lt;&gt;"","Presented",IF(F114&lt;&gt;"","Contacted","New Lead"))))))</f>
        <v/>
      </c>
      <c r="S114" s="6"/>
      <c r="T114" s="6" t="str">
        <f aca="true">IF(MAX(F114,I114,K114)=0,"",TODAY()-MAX(F114,I114,K114))</f>
        <v/>
      </c>
      <c r="U114" s="6"/>
      <c r="V114" s="6"/>
      <c r="W114" s="6" t="str">
        <f aca="false">IF(AND($A114="",$B114=""),"",IF(M114="Ambassador","1 - Ambassador",IF(M114="Member","2 - Member",IF(J114="Completed","3 - Presented",IF(H114&lt;&gt;"","4 - Sent",IF(F114&lt;&gt;"","5 - Contacted","6 - No Activity"))))))</f>
        <v/>
      </c>
      <c r="X114" s="6" t="n">
        <f aca="false">IF(AND($A114="",$B114=""),9999999+(ROW()-4),VALUE(LEFT($W114,1))*10000+(ROW()-4))</f>
        <v>10000109</v>
      </c>
    </row>
    <row r="115" customFormat="false" ht="15" hidden="false" customHeight="true" outlineLevel="0" collapsed="false">
      <c r="A115" s="6"/>
      <c r="B115" s="6"/>
      <c r="C115" s="6"/>
      <c r="D115" s="6"/>
      <c r="E115" s="6"/>
      <c r="F115" s="7"/>
      <c r="G115" s="6"/>
      <c r="H115" s="6"/>
      <c r="I115" s="7"/>
      <c r="J115" s="6"/>
      <c r="K115" s="7"/>
      <c r="L115" s="6"/>
      <c r="M115" s="6"/>
      <c r="N115" s="7"/>
      <c r="O115" s="6"/>
      <c r="P115" s="6"/>
      <c r="Q115" s="7"/>
      <c r="R115" s="6" t="str">
        <f aca="false">IF(AND($A115="",$B115=""),"",IF(Q115="Complete","Onboarded",IF(OR(M115="Member",M115="Ambassador"),"Sponsored",IF(K115&lt;&gt;"","Follow-Up",IF(I115&lt;&gt;"","Presented",IF(F115&lt;&gt;"","Contacted","New Lead"))))))</f>
        <v/>
      </c>
      <c r="S115" s="6"/>
      <c r="T115" s="6" t="str">
        <f aca="true">IF(MAX(F115,I115,K115)=0,"",TODAY()-MAX(F115,I115,K115))</f>
        <v/>
      </c>
      <c r="U115" s="6"/>
      <c r="V115" s="6"/>
      <c r="W115" s="6" t="str">
        <f aca="false">IF(AND($A115="",$B115=""),"",IF(M115="Ambassador","1 - Ambassador",IF(M115="Member","2 - Member",IF(J115="Completed","3 - Presented",IF(H115&lt;&gt;"","4 - Sent",IF(F115&lt;&gt;"","5 - Contacted","6 - No Activity"))))))</f>
        <v/>
      </c>
      <c r="X115" s="6" t="n">
        <f aca="false">IF(AND($A115="",$B115=""),9999999+(ROW()-4),VALUE(LEFT($W115,1))*10000+(ROW()-4))</f>
        <v>10000110</v>
      </c>
    </row>
    <row r="116" customFormat="false" ht="15" hidden="false" customHeight="true" outlineLevel="0" collapsed="false">
      <c r="A116" s="6"/>
      <c r="B116" s="6"/>
      <c r="C116" s="6"/>
      <c r="D116" s="6"/>
      <c r="E116" s="6"/>
      <c r="F116" s="7"/>
      <c r="G116" s="6"/>
      <c r="H116" s="6"/>
      <c r="I116" s="7"/>
      <c r="J116" s="6"/>
      <c r="K116" s="7"/>
      <c r="L116" s="6"/>
      <c r="M116" s="6"/>
      <c r="N116" s="7"/>
      <c r="O116" s="6"/>
      <c r="P116" s="6"/>
      <c r="Q116" s="7"/>
      <c r="R116" s="6" t="str">
        <f aca="false">IF(AND($A116="",$B116=""),"",IF(Q116="Complete","Onboarded",IF(OR(M116="Member",M116="Ambassador"),"Sponsored",IF(K116&lt;&gt;"","Follow-Up",IF(I116&lt;&gt;"","Presented",IF(F116&lt;&gt;"","Contacted","New Lead"))))))</f>
        <v/>
      </c>
      <c r="S116" s="6"/>
      <c r="T116" s="6" t="str">
        <f aca="true">IF(MAX(F116,I116,K116)=0,"",TODAY()-MAX(F116,I116,K116))</f>
        <v/>
      </c>
      <c r="U116" s="6"/>
      <c r="V116" s="6"/>
      <c r="W116" s="6" t="str">
        <f aca="false">IF(AND($A116="",$B116=""),"",IF(M116="Ambassador","1 - Ambassador",IF(M116="Member","2 - Member",IF(J116="Completed","3 - Presented",IF(H116&lt;&gt;"","4 - Sent",IF(F116&lt;&gt;"","5 - Contacted","6 - No Activity"))))))</f>
        <v/>
      </c>
      <c r="X116" s="6" t="n">
        <f aca="false">IF(AND($A116="",$B116=""),9999999+(ROW()-4),VALUE(LEFT($W116,1))*10000+(ROW()-4))</f>
        <v>10000111</v>
      </c>
    </row>
    <row r="117" customFormat="false" ht="15" hidden="false" customHeight="true" outlineLevel="0" collapsed="false">
      <c r="A117" s="6"/>
      <c r="B117" s="6"/>
      <c r="C117" s="6"/>
      <c r="D117" s="6"/>
      <c r="E117" s="6"/>
      <c r="F117" s="7"/>
      <c r="G117" s="6"/>
      <c r="H117" s="6"/>
      <c r="I117" s="7"/>
      <c r="J117" s="6"/>
      <c r="K117" s="7"/>
      <c r="L117" s="6"/>
      <c r="M117" s="6"/>
      <c r="N117" s="7"/>
      <c r="O117" s="6"/>
      <c r="P117" s="6"/>
      <c r="Q117" s="7"/>
      <c r="R117" s="6" t="str">
        <f aca="false">IF(AND($A117="",$B117=""),"",IF(Q117="Complete","Onboarded",IF(OR(M117="Member",M117="Ambassador"),"Sponsored",IF(K117&lt;&gt;"","Follow-Up",IF(I117&lt;&gt;"","Presented",IF(F117&lt;&gt;"","Contacted","New Lead"))))))</f>
        <v/>
      </c>
      <c r="S117" s="6"/>
      <c r="T117" s="6" t="str">
        <f aca="true">IF(MAX(F117,I117,K117)=0,"",TODAY()-MAX(F117,I117,K117))</f>
        <v/>
      </c>
      <c r="U117" s="6"/>
      <c r="V117" s="6"/>
      <c r="W117" s="6" t="str">
        <f aca="false">IF(AND($A117="",$B117=""),"",IF(M117="Ambassador","1 - Ambassador",IF(M117="Member","2 - Member",IF(J117="Completed","3 - Presented",IF(H117&lt;&gt;"","4 - Sent",IF(F117&lt;&gt;"","5 - Contacted","6 - No Activity"))))))</f>
        <v/>
      </c>
      <c r="X117" s="6" t="n">
        <f aca="false">IF(AND($A117="",$B117=""),9999999+(ROW()-4),VALUE(LEFT($W117,1))*10000+(ROW()-4))</f>
        <v>10000112</v>
      </c>
    </row>
    <row r="118" customFormat="false" ht="15" hidden="false" customHeight="true" outlineLevel="0" collapsed="false">
      <c r="A118" s="6"/>
      <c r="B118" s="6"/>
      <c r="C118" s="6"/>
      <c r="D118" s="6"/>
      <c r="E118" s="6"/>
      <c r="F118" s="7"/>
      <c r="G118" s="6"/>
      <c r="H118" s="6"/>
      <c r="I118" s="7"/>
      <c r="J118" s="6"/>
      <c r="K118" s="7"/>
      <c r="L118" s="6"/>
      <c r="M118" s="6"/>
      <c r="N118" s="7"/>
      <c r="O118" s="6"/>
      <c r="P118" s="6"/>
      <c r="Q118" s="7"/>
      <c r="R118" s="6" t="str">
        <f aca="false">IF(AND($A118="",$B118=""),"",IF(Q118="Complete","Onboarded",IF(OR(M118="Member",M118="Ambassador"),"Sponsored",IF(K118&lt;&gt;"","Follow-Up",IF(I118&lt;&gt;"","Presented",IF(F118&lt;&gt;"","Contacted","New Lead"))))))</f>
        <v/>
      </c>
      <c r="S118" s="6"/>
      <c r="T118" s="6" t="str">
        <f aca="true">IF(MAX(F118,I118,K118)=0,"",TODAY()-MAX(F118,I118,K118))</f>
        <v/>
      </c>
      <c r="U118" s="6"/>
      <c r="V118" s="6"/>
      <c r="W118" s="6" t="str">
        <f aca="false">IF(AND($A118="",$B118=""),"",IF(M118="Ambassador","1 - Ambassador",IF(M118="Member","2 - Member",IF(J118="Completed","3 - Presented",IF(H118&lt;&gt;"","4 - Sent",IF(F118&lt;&gt;"","5 - Contacted","6 - No Activity"))))))</f>
        <v/>
      </c>
      <c r="X118" s="6" t="n">
        <f aca="false">IF(AND($A118="",$B118=""),9999999+(ROW()-4),VALUE(LEFT($W118,1))*10000+(ROW()-4))</f>
        <v>10000113</v>
      </c>
    </row>
    <row r="119" customFormat="false" ht="15" hidden="false" customHeight="true" outlineLevel="0" collapsed="false">
      <c r="A119" s="6"/>
      <c r="B119" s="6"/>
      <c r="C119" s="6"/>
      <c r="D119" s="6"/>
      <c r="E119" s="6"/>
      <c r="F119" s="7"/>
      <c r="G119" s="6"/>
      <c r="H119" s="6"/>
      <c r="I119" s="7"/>
      <c r="J119" s="6"/>
      <c r="K119" s="7"/>
      <c r="L119" s="6"/>
      <c r="M119" s="6"/>
      <c r="N119" s="7"/>
      <c r="O119" s="6"/>
      <c r="P119" s="6"/>
      <c r="Q119" s="7"/>
      <c r="R119" s="6" t="str">
        <f aca="false">IF(AND($A119="",$B119=""),"",IF(Q119="Complete","Onboarded",IF(OR(M119="Member",M119="Ambassador"),"Sponsored",IF(K119&lt;&gt;"","Follow-Up",IF(I119&lt;&gt;"","Presented",IF(F119&lt;&gt;"","Contacted","New Lead"))))))</f>
        <v/>
      </c>
      <c r="S119" s="6"/>
      <c r="T119" s="6" t="str">
        <f aca="true">IF(MAX(F119,I119,K119)=0,"",TODAY()-MAX(F119,I119,K119))</f>
        <v/>
      </c>
      <c r="U119" s="6"/>
      <c r="V119" s="6"/>
      <c r="W119" s="6" t="str">
        <f aca="false">IF(AND($A119="",$B119=""),"",IF(M119="Ambassador","1 - Ambassador",IF(M119="Member","2 - Member",IF(J119="Completed","3 - Presented",IF(H119&lt;&gt;"","4 - Sent",IF(F119&lt;&gt;"","5 - Contacted","6 - No Activity"))))))</f>
        <v/>
      </c>
      <c r="X119" s="6" t="n">
        <f aca="false">IF(AND($A119="",$B119=""),9999999+(ROW()-4),VALUE(LEFT($W119,1))*10000+(ROW()-4))</f>
        <v>10000114</v>
      </c>
    </row>
    <row r="120" customFormat="false" ht="15" hidden="false" customHeight="true" outlineLevel="0" collapsed="false">
      <c r="A120" s="6"/>
      <c r="B120" s="6"/>
      <c r="C120" s="6"/>
      <c r="D120" s="6"/>
      <c r="E120" s="6"/>
      <c r="F120" s="7"/>
      <c r="G120" s="6"/>
      <c r="H120" s="6"/>
      <c r="I120" s="7"/>
      <c r="J120" s="6"/>
      <c r="K120" s="7"/>
      <c r="L120" s="6"/>
      <c r="M120" s="6"/>
      <c r="N120" s="7"/>
      <c r="O120" s="6"/>
      <c r="P120" s="6"/>
      <c r="Q120" s="7"/>
      <c r="R120" s="6" t="str">
        <f aca="false">IF(AND($A120="",$B120=""),"",IF(Q120="Complete","Onboarded",IF(OR(M120="Member",M120="Ambassador"),"Sponsored",IF(K120&lt;&gt;"","Follow-Up",IF(I120&lt;&gt;"","Presented",IF(F120&lt;&gt;"","Contacted","New Lead"))))))</f>
        <v/>
      </c>
      <c r="S120" s="6"/>
      <c r="T120" s="6" t="str">
        <f aca="true">IF(MAX(F120,I120,K120)=0,"",TODAY()-MAX(F120,I120,K120))</f>
        <v/>
      </c>
      <c r="U120" s="6"/>
      <c r="V120" s="6"/>
      <c r="W120" s="6" t="str">
        <f aca="false">IF(AND($A120="",$B120=""),"",IF(M120="Ambassador","1 - Ambassador",IF(M120="Member","2 - Member",IF(J120="Completed","3 - Presented",IF(H120&lt;&gt;"","4 - Sent",IF(F120&lt;&gt;"","5 - Contacted","6 - No Activity"))))))</f>
        <v/>
      </c>
      <c r="X120" s="6" t="n">
        <f aca="false">IF(AND($A120="",$B120=""),9999999+(ROW()-4),VALUE(LEFT($W120,1))*10000+(ROW()-4))</f>
        <v>10000115</v>
      </c>
    </row>
    <row r="121" customFormat="false" ht="15" hidden="false" customHeight="true" outlineLevel="0" collapsed="false">
      <c r="A121" s="6"/>
      <c r="B121" s="6"/>
      <c r="C121" s="6"/>
      <c r="D121" s="6"/>
      <c r="E121" s="6"/>
      <c r="F121" s="7"/>
      <c r="G121" s="6"/>
      <c r="H121" s="6"/>
      <c r="I121" s="7"/>
      <c r="J121" s="6"/>
      <c r="K121" s="7"/>
      <c r="L121" s="6"/>
      <c r="M121" s="6"/>
      <c r="N121" s="7"/>
      <c r="O121" s="6"/>
      <c r="P121" s="6"/>
      <c r="Q121" s="7"/>
      <c r="R121" s="6" t="str">
        <f aca="false">IF(AND($A121="",$B121=""),"",IF(Q121="Complete","Onboarded",IF(OR(M121="Member",M121="Ambassador"),"Sponsored",IF(K121&lt;&gt;"","Follow-Up",IF(I121&lt;&gt;"","Presented",IF(F121&lt;&gt;"","Contacted","New Lead"))))))</f>
        <v/>
      </c>
      <c r="S121" s="6"/>
      <c r="T121" s="6" t="str">
        <f aca="true">IF(MAX(F121,I121,K121)=0,"",TODAY()-MAX(F121,I121,K121))</f>
        <v/>
      </c>
      <c r="U121" s="6"/>
      <c r="V121" s="6"/>
      <c r="W121" s="6" t="str">
        <f aca="false">IF(AND($A121="",$B121=""),"",IF(M121="Ambassador","1 - Ambassador",IF(M121="Member","2 - Member",IF(J121="Completed","3 - Presented",IF(H121&lt;&gt;"","4 - Sent",IF(F121&lt;&gt;"","5 - Contacted","6 - No Activity"))))))</f>
        <v/>
      </c>
      <c r="X121" s="6" t="n">
        <f aca="false">IF(AND($A121="",$B121=""),9999999+(ROW()-4),VALUE(LEFT($W121,1))*10000+(ROW()-4))</f>
        <v>10000116</v>
      </c>
    </row>
    <row r="122" customFormat="false" ht="15" hidden="false" customHeight="true" outlineLevel="0" collapsed="false">
      <c r="A122" s="6"/>
      <c r="B122" s="6"/>
      <c r="C122" s="6"/>
      <c r="D122" s="6"/>
      <c r="E122" s="6"/>
      <c r="F122" s="7"/>
      <c r="G122" s="6"/>
      <c r="H122" s="6"/>
      <c r="I122" s="7"/>
      <c r="J122" s="6"/>
      <c r="K122" s="7"/>
      <c r="L122" s="6"/>
      <c r="M122" s="6"/>
      <c r="N122" s="7"/>
      <c r="O122" s="6"/>
      <c r="P122" s="6"/>
      <c r="Q122" s="7"/>
      <c r="R122" s="6" t="str">
        <f aca="false">IF(AND($A122="",$B122=""),"",IF(Q122="Complete","Onboarded",IF(OR(M122="Member",M122="Ambassador"),"Sponsored",IF(K122&lt;&gt;"","Follow-Up",IF(I122&lt;&gt;"","Presented",IF(F122&lt;&gt;"","Contacted","New Lead"))))))</f>
        <v/>
      </c>
      <c r="S122" s="6"/>
      <c r="T122" s="6" t="str">
        <f aca="true">IF(MAX(F122,I122,K122)=0,"",TODAY()-MAX(F122,I122,K122))</f>
        <v/>
      </c>
      <c r="U122" s="6"/>
      <c r="V122" s="6"/>
      <c r="W122" s="6" t="str">
        <f aca="false">IF(AND($A122="",$B122=""),"",IF(M122="Ambassador","1 - Ambassador",IF(M122="Member","2 - Member",IF(J122="Completed","3 - Presented",IF(H122&lt;&gt;"","4 - Sent",IF(F122&lt;&gt;"","5 - Contacted","6 - No Activity"))))))</f>
        <v/>
      </c>
      <c r="X122" s="6" t="n">
        <f aca="false">IF(AND($A122="",$B122=""),9999999+(ROW()-4),VALUE(LEFT($W122,1))*10000+(ROW()-4))</f>
        <v>10000117</v>
      </c>
    </row>
    <row r="123" customFormat="false" ht="15" hidden="false" customHeight="true" outlineLevel="0" collapsed="false">
      <c r="A123" s="6"/>
      <c r="B123" s="6"/>
      <c r="C123" s="6"/>
      <c r="D123" s="6"/>
      <c r="E123" s="6"/>
      <c r="F123" s="7"/>
      <c r="G123" s="6"/>
      <c r="H123" s="6"/>
      <c r="I123" s="7"/>
      <c r="J123" s="6"/>
      <c r="K123" s="7"/>
      <c r="L123" s="6"/>
      <c r="M123" s="6"/>
      <c r="N123" s="7"/>
      <c r="O123" s="6"/>
      <c r="P123" s="6"/>
      <c r="Q123" s="7"/>
      <c r="R123" s="6" t="str">
        <f aca="false">IF(AND($A123="",$B123=""),"",IF(Q123="Complete","Onboarded",IF(OR(M123="Member",M123="Ambassador"),"Sponsored",IF(K123&lt;&gt;"","Follow-Up",IF(I123&lt;&gt;"","Presented",IF(F123&lt;&gt;"","Contacted","New Lead"))))))</f>
        <v/>
      </c>
      <c r="S123" s="6"/>
      <c r="T123" s="6" t="str">
        <f aca="true">IF(MAX(F123,I123,K123)=0,"",TODAY()-MAX(F123,I123,K123))</f>
        <v/>
      </c>
      <c r="U123" s="6"/>
      <c r="V123" s="6"/>
      <c r="W123" s="6" t="str">
        <f aca="false">IF(AND($A123="",$B123=""),"",IF(M123="Ambassador","1 - Ambassador",IF(M123="Member","2 - Member",IF(J123="Completed","3 - Presented",IF(H123&lt;&gt;"","4 - Sent",IF(F123&lt;&gt;"","5 - Contacted","6 - No Activity"))))))</f>
        <v/>
      </c>
      <c r="X123" s="6" t="n">
        <f aca="false">IF(AND($A123="",$B123=""),9999999+(ROW()-4),VALUE(LEFT($W123,1))*10000+(ROW()-4))</f>
        <v>10000118</v>
      </c>
    </row>
    <row r="124" customFormat="false" ht="15" hidden="false" customHeight="true" outlineLevel="0" collapsed="false">
      <c r="A124" s="6"/>
      <c r="B124" s="6"/>
      <c r="C124" s="6"/>
      <c r="D124" s="6"/>
      <c r="E124" s="6"/>
      <c r="F124" s="7"/>
      <c r="G124" s="6"/>
      <c r="H124" s="6"/>
      <c r="I124" s="7"/>
      <c r="J124" s="6"/>
      <c r="K124" s="7"/>
      <c r="L124" s="6"/>
      <c r="M124" s="6"/>
      <c r="N124" s="7"/>
      <c r="O124" s="6"/>
      <c r="P124" s="6"/>
      <c r="Q124" s="7"/>
      <c r="R124" s="6" t="str">
        <f aca="false">IF(AND($A124="",$B124=""),"",IF(Q124="Complete","Onboarded",IF(OR(M124="Member",M124="Ambassador"),"Sponsored",IF(K124&lt;&gt;"","Follow-Up",IF(I124&lt;&gt;"","Presented",IF(F124&lt;&gt;"","Contacted","New Lead"))))))</f>
        <v/>
      </c>
      <c r="S124" s="6"/>
      <c r="T124" s="6" t="str">
        <f aca="true">IF(MAX(F124,I124,K124)=0,"",TODAY()-MAX(F124,I124,K124))</f>
        <v/>
      </c>
      <c r="U124" s="6"/>
      <c r="V124" s="6"/>
      <c r="W124" s="6" t="str">
        <f aca="false">IF(AND($A124="",$B124=""),"",IF(M124="Ambassador","1 - Ambassador",IF(M124="Member","2 - Member",IF(J124="Completed","3 - Presented",IF(H124&lt;&gt;"","4 - Sent",IF(F124&lt;&gt;"","5 - Contacted","6 - No Activity"))))))</f>
        <v/>
      </c>
      <c r="X124" s="6" t="n">
        <f aca="false">IF(AND($A124="",$B124=""),9999999+(ROW()-4),VALUE(LEFT($W124,1))*10000+(ROW()-4))</f>
        <v>10000119</v>
      </c>
    </row>
    <row r="125" customFormat="false" ht="15" hidden="false" customHeight="true" outlineLevel="0" collapsed="false">
      <c r="A125" s="6"/>
      <c r="B125" s="6"/>
      <c r="C125" s="6"/>
      <c r="D125" s="6"/>
      <c r="E125" s="6"/>
      <c r="F125" s="7"/>
      <c r="G125" s="6"/>
      <c r="H125" s="6"/>
      <c r="I125" s="7"/>
      <c r="J125" s="6"/>
      <c r="K125" s="7"/>
      <c r="L125" s="6"/>
      <c r="M125" s="6"/>
      <c r="N125" s="7"/>
      <c r="O125" s="6"/>
      <c r="P125" s="6"/>
      <c r="Q125" s="7"/>
      <c r="R125" s="6" t="str">
        <f aca="false">IF(AND($A125="",$B125=""),"",IF(Q125="Complete","Onboarded",IF(OR(M125="Member",M125="Ambassador"),"Sponsored",IF(K125&lt;&gt;"","Follow-Up",IF(I125&lt;&gt;"","Presented",IF(F125&lt;&gt;"","Contacted","New Lead"))))))</f>
        <v/>
      </c>
      <c r="S125" s="6"/>
      <c r="T125" s="6" t="str">
        <f aca="true">IF(MAX(F125,I125,K125)=0,"",TODAY()-MAX(F125,I125,K125))</f>
        <v/>
      </c>
      <c r="U125" s="6"/>
      <c r="V125" s="6"/>
      <c r="W125" s="6" t="str">
        <f aca="false">IF(AND($A125="",$B125=""),"",IF(M125="Ambassador","1 - Ambassador",IF(M125="Member","2 - Member",IF(J125="Completed","3 - Presented",IF(H125&lt;&gt;"","4 - Sent",IF(F125&lt;&gt;"","5 - Contacted","6 - No Activity"))))))</f>
        <v/>
      </c>
      <c r="X125" s="6" t="n">
        <f aca="false">IF(AND($A125="",$B125=""),9999999+(ROW()-4),VALUE(LEFT($W125,1))*10000+(ROW()-4))</f>
        <v>10000120</v>
      </c>
    </row>
    <row r="126" customFormat="false" ht="15" hidden="false" customHeight="true" outlineLevel="0" collapsed="false">
      <c r="A126" s="6"/>
      <c r="B126" s="6"/>
      <c r="C126" s="6"/>
      <c r="D126" s="6"/>
      <c r="E126" s="6"/>
      <c r="F126" s="7"/>
      <c r="G126" s="6"/>
      <c r="H126" s="6"/>
      <c r="I126" s="7"/>
      <c r="J126" s="6"/>
      <c r="K126" s="7"/>
      <c r="L126" s="6"/>
      <c r="M126" s="6"/>
      <c r="N126" s="7"/>
      <c r="O126" s="6"/>
      <c r="P126" s="6"/>
      <c r="Q126" s="7"/>
      <c r="R126" s="6" t="str">
        <f aca="false">IF(AND($A126="",$B126=""),"",IF(Q126="Complete","Onboarded",IF(OR(M126="Member",M126="Ambassador"),"Sponsored",IF(K126&lt;&gt;"","Follow-Up",IF(I126&lt;&gt;"","Presented",IF(F126&lt;&gt;"","Contacted","New Lead"))))))</f>
        <v/>
      </c>
      <c r="S126" s="6"/>
      <c r="T126" s="6" t="str">
        <f aca="true">IF(MAX(F126,I126,K126)=0,"",TODAY()-MAX(F126,I126,K126))</f>
        <v/>
      </c>
      <c r="U126" s="6"/>
      <c r="V126" s="6"/>
      <c r="W126" s="6" t="str">
        <f aca="false">IF(AND($A126="",$B126=""),"",IF(M126="Ambassador","1 - Ambassador",IF(M126="Member","2 - Member",IF(J126="Completed","3 - Presented",IF(H126&lt;&gt;"","4 - Sent",IF(F126&lt;&gt;"","5 - Contacted","6 - No Activity"))))))</f>
        <v/>
      </c>
      <c r="X126" s="6" t="n">
        <f aca="false">IF(AND($A126="",$B126=""),9999999+(ROW()-4),VALUE(LEFT($W126,1))*10000+(ROW()-4))</f>
        <v>10000121</v>
      </c>
    </row>
    <row r="127" customFormat="false" ht="15" hidden="false" customHeight="true" outlineLevel="0" collapsed="false">
      <c r="A127" s="6"/>
      <c r="B127" s="6"/>
      <c r="C127" s="6"/>
      <c r="D127" s="6"/>
      <c r="E127" s="6"/>
      <c r="F127" s="7"/>
      <c r="G127" s="6"/>
      <c r="H127" s="6"/>
      <c r="I127" s="7"/>
      <c r="J127" s="6"/>
      <c r="K127" s="7"/>
      <c r="L127" s="6"/>
      <c r="M127" s="6"/>
      <c r="N127" s="7"/>
      <c r="O127" s="6"/>
      <c r="P127" s="6"/>
      <c r="Q127" s="7"/>
      <c r="R127" s="6" t="str">
        <f aca="false">IF(AND($A127="",$B127=""),"",IF(Q127="Complete","Onboarded",IF(OR(M127="Member",M127="Ambassador"),"Sponsored",IF(K127&lt;&gt;"","Follow-Up",IF(I127&lt;&gt;"","Presented",IF(F127&lt;&gt;"","Contacted","New Lead"))))))</f>
        <v/>
      </c>
      <c r="S127" s="6"/>
      <c r="T127" s="6" t="str">
        <f aca="true">IF(MAX(F127,I127,K127)=0,"",TODAY()-MAX(F127,I127,K127))</f>
        <v/>
      </c>
      <c r="U127" s="6"/>
      <c r="V127" s="6"/>
      <c r="W127" s="6" t="str">
        <f aca="false">IF(AND($A127="",$B127=""),"",IF(M127="Ambassador","1 - Ambassador",IF(M127="Member","2 - Member",IF(J127="Completed","3 - Presented",IF(H127&lt;&gt;"","4 - Sent",IF(F127&lt;&gt;"","5 - Contacted","6 - No Activity"))))))</f>
        <v/>
      </c>
      <c r="X127" s="6" t="n">
        <f aca="false">IF(AND($A127="",$B127=""),9999999+(ROW()-4),VALUE(LEFT($W127,1))*10000+(ROW()-4))</f>
        <v>10000122</v>
      </c>
    </row>
    <row r="128" customFormat="false" ht="15" hidden="false" customHeight="true" outlineLevel="0" collapsed="false">
      <c r="A128" s="6"/>
      <c r="B128" s="6"/>
      <c r="C128" s="6"/>
      <c r="D128" s="6"/>
      <c r="E128" s="6"/>
      <c r="F128" s="7"/>
      <c r="G128" s="6"/>
      <c r="H128" s="6"/>
      <c r="I128" s="7"/>
      <c r="J128" s="6"/>
      <c r="K128" s="7"/>
      <c r="L128" s="6"/>
      <c r="M128" s="6"/>
      <c r="N128" s="7"/>
      <c r="O128" s="6"/>
      <c r="P128" s="6"/>
      <c r="Q128" s="7"/>
      <c r="R128" s="6" t="str">
        <f aca="false">IF(AND($A128="",$B128=""),"",IF(Q128="Complete","Onboarded",IF(OR(M128="Member",M128="Ambassador"),"Sponsored",IF(K128&lt;&gt;"","Follow-Up",IF(I128&lt;&gt;"","Presented",IF(F128&lt;&gt;"","Contacted","New Lead"))))))</f>
        <v/>
      </c>
      <c r="S128" s="6"/>
      <c r="T128" s="6" t="str">
        <f aca="true">IF(MAX(F128,I128,K128)=0,"",TODAY()-MAX(F128,I128,K128))</f>
        <v/>
      </c>
      <c r="U128" s="6"/>
      <c r="V128" s="6"/>
      <c r="W128" s="6" t="str">
        <f aca="false">IF(AND($A128="",$B128=""),"",IF(M128="Ambassador","1 - Ambassador",IF(M128="Member","2 - Member",IF(J128="Completed","3 - Presented",IF(H128&lt;&gt;"","4 - Sent",IF(F128&lt;&gt;"","5 - Contacted","6 - No Activity"))))))</f>
        <v/>
      </c>
      <c r="X128" s="6" t="n">
        <f aca="false">IF(AND($A128="",$B128=""),9999999+(ROW()-4),VALUE(LEFT($W128,1))*10000+(ROW()-4))</f>
        <v>10000123</v>
      </c>
    </row>
    <row r="129" customFormat="false" ht="15" hidden="false" customHeight="true" outlineLevel="0" collapsed="false">
      <c r="A129" s="6"/>
      <c r="B129" s="6"/>
      <c r="C129" s="6"/>
      <c r="D129" s="6"/>
      <c r="E129" s="6"/>
      <c r="F129" s="7"/>
      <c r="G129" s="6"/>
      <c r="H129" s="6"/>
      <c r="I129" s="7"/>
      <c r="J129" s="6"/>
      <c r="K129" s="7"/>
      <c r="L129" s="6"/>
      <c r="M129" s="6"/>
      <c r="N129" s="7"/>
      <c r="O129" s="6"/>
      <c r="P129" s="6"/>
      <c r="Q129" s="7"/>
      <c r="R129" s="6" t="str">
        <f aca="false">IF(AND($A129="",$B129=""),"",IF(Q129="Complete","Onboarded",IF(OR(M129="Member",M129="Ambassador"),"Sponsored",IF(K129&lt;&gt;"","Follow-Up",IF(I129&lt;&gt;"","Presented",IF(F129&lt;&gt;"","Contacted","New Lead"))))))</f>
        <v/>
      </c>
      <c r="S129" s="6"/>
      <c r="T129" s="6" t="str">
        <f aca="true">IF(MAX(F129,I129,K129)=0,"",TODAY()-MAX(F129,I129,K129))</f>
        <v/>
      </c>
      <c r="U129" s="6"/>
      <c r="V129" s="6"/>
      <c r="W129" s="6" t="str">
        <f aca="false">IF(AND($A129="",$B129=""),"",IF(M129="Ambassador","1 - Ambassador",IF(M129="Member","2 - Member",IF(J129="Completed","3 - Presented",IF(H129&lt;&gt;"","4 - Sent",IF(F129&lt;&gt;"","5 - Contacted","6 - No Activity"))))))</f>
        <v/>
      </c>
      <c r="X129" s="6" t="n">
        <f aca="false">IF(AND($A129="",$B129=""),9999999+(ROW()-4),VALUE(LEFT($W129,1))*10000+(ROW()-4))</f>
        <v>10000124</v>
      </c>
    </row>
    <row r="130" customFormat="false" ht="15" hidden="false" customHeight="true" outlineLevel="0" collapsed="false">
      <c r="A130" s="6"/>
      <c r="B130" s="6"/>
      <c r="C130" s="6"/>
      <c r="D130" s="6"/>
      <c r="E130" s="6"/>
      <c r="F130" s="7"/>
      <c r="G130" s="6"/>
      <c r="H130" s="6"/>
      <c r="I130" s="7"/>
      <c r="J130" s="6"/>
      <c r="K130" s="7"/>
      <c r="L130" s="6"/>
      <c r="M130" s="6"/>
      <c r="N130" s="7"/>
      <c r="O130" s="6"/>
      <c r="P130" s="6"/>
      <c r="Q130" s="7"/>
      <c r="R130" s="6" t="str">
        <f aca="false">IF(AND($A130="",$B130=""),"",IF(Q130="Complete","Onboarded",IF(OR(M130="Member",M130="Ambassador"),"Sponsored",IF(K130&lt;&gt;"","Follow-Up",IF(I130&lt;&gt;"","Presented",IF(F130&lt;&gt;"","Contacted","New Lead"))))))</f>
        <v/>
      </c>
      <c r="S130" s="6"/>
      <c r="T130" s="6" t="str">
        <f aca="true">IF(MAX(F130,I130,K130)=0,"",TODAY()-MAX(F130,I130,K130))</f>
        <v/>
      </c>
      <c r="U130" s="6"/>
      <c r="V130" s="6"/>
      <c r="W130" s="6" t="str">
        <f aca="false">IF(AND($A130="",$B130=""),"",IF(M130="Ambassador","1 - Ambassador",IF(M130="Member","2 - Member",IF(J130="Completed","3 - Presented",IF(H130&lt;&gt;"","4 - Sent",IF(F130&lt;&gt;"","5 - Contacted","6 - No Activity"))))))</f>
        <v/>
      </c>
      <c r="X130" s="6" t="n">
        <f aca="false">IF(AND($A130="",$B130=""),9999999+(ROW()-4),VALUE(LEFT($W130,1))*10000+(ROW()-4))</f>
        <v>10000125</v>
      </c>
    </row>
    <row r="131" customFormat="false" ht="15" hidden="false" customHeight="true" outlineLevel="0" collapsed="false">
      <c r="A131" s="6"/>
      <c r="B131" s="6"/>
      <c r="C131" s="6"/>
      <c r="D131" s="6"/>
      <c r="E131" s="6"/>
      <c r="F131" s="7"/>
      <c r="G131" s="6"/>
      <c r="H131" s="6"/>
      <c r="I131" s="7"/>
      <c r="J131" s="6"/>
      <c r="K131" s="7"/>
      <c r="L131" s="6"/>
      <c r="M131" s="6"/>
      <c r="N131" s="7"/>
      <c r="O131" s="6"/>
      <c r="P131" s="6"/>
      <c r="Q131" s="7"/>
      <c r="R131" s="6" t="str">
        <f aca="false">IF(AND($A131="",$B131=""),"",IF(Q131="Complete","Onboarded",IF(OR(M131="Member",M131="Ambassador"),"Sponsored",IF(K131&lt;&gt;"","Follow-Up",IF(I131&lt;&gt;"","Presented",IF(F131&lt;&gt;"","Contacted","New Lead"))))))</f>
        <v/>
      </c>
      <c r="S131" s="6"/>
      <c r="T131" s="6" t="str">
        <f aca="true">IF(MAX(F131,I131,K131)=0,"",TODAY()-MAX(F131,I131,K131))</f>
        <v/>
      </c>
      <c r="U131" s="6"/>
      <c r="V131" s="6"/>
      <c r="W131" s="6" t="str">
        <f aca="false">IF(AND($A131="",$B131=""),"",IF(M131="Ambassador","1 - Ambassador",IF(M131="Member","2 - Member",IF(J131="Completed","3 - Presented",IF(H131&lt;&gt;"","4 - Sent",IF(F131&lt;&gt;"","5 - Contacted","6 - No Activity"))))))</f>
        <v/>
      </c>
      <c r="X131" s="6" t="n">
        <f aca="false">IF(AND($A131="",$B131=""),9999999+(ROW()-4),VALUE(LEFT($W131,1))*10000+(ROW()-4))</f>
        <v>10000126</v>
      </c>
    </row>
    <row r="132" customFormat="false" ht="15" hidden="false" customHeight="true" outlineLevel="0" collapsed="false">
      <c r="A132" s="6"/>
      <c r="B132" s="6"/>
      <c r="C132" s="6"/>
      <c r="D132" s="6"/>
      <c r="E132" s="6"/>
      <c r="F132" s="7"/>
      <c r="G132" s="6"/>
      <c r="H132" s="6"/>
      <c r="I132" s="7"/>
      <c r="J132" s="6"/>
      <c r="K132" s="7"/>
      <c r="L132" s="6"/>
      <c r="M132" s="6"/>
      <c r="N132" s="7"/>
      <c r="O132" s="6"/>
      <c r="P132" s="6"/>
      <c r="Q132" s="7"/>
      <c r="R132" s="6" t="str">
        <f aca="false">IF(AND($A132="",$B132=""),"",IF(Q132="Complete","Onboarded",IF(OR(M132="Member",M132="Ambassador"),"Sponsored",IF(K132&lt;&gt;"","Follow-Up",IF(I132&lt;&gt;"","Presented",IF(F132&lt;&gt;"","Contacted","New Lead"))))))</f>
        <v/>
      </c>
      <c r="S132" s="6"/>
      <c r="T132" s="6" t="str">
        <f aca="true">IF(MAX(F132,I132,K132)=0,"",TODAY()-MAX(F132,I132,K132))</f>
        <v/>
      </c>
      <c r="U132" s="6"/>
      <c r="V132" s="6"/>
      <c r="W132" s="6" t="str">
        <f aca="false">IF(AND($A132="",$B132=""),"",IF(M132="Ambassador","1 - Ambassador",IF(M132="Member","2 - Member",IF(J132="Completed","3 - Presented",IF(H132&lt;&gt;"","4 - Sent",IF(F132&lt;&gt;"","5 - Contacted","6 - No Activity"))))))</f>
        <v/>
      </c>
      <c r="X132" s="6" t="n">
        <f aca="false">IF(AND($A132="",$B132=""),9999999+(ROW()-4),VALUE(LEFT($W132,1))*10000+(ROW()-4))</f>
        <v>10000127</v>
      </c>
    </row>
    <row r="133" customFormat="false" ht="15" hidden="false" customHeight="true" outlineLevel="0" collapsed="false">
      <c r="A133" s="6"/>
      <c r="B133" s="6"/>
      <c r="C133" s="6"/>
      <c r="D133" s="6"/>
      <c r="E133" s="6"/>
      <c r="F133" s="7"/>
      <c r="G133" s="6"/>
      <c r="H133" s="6"/>
      <c r="I133" s="7"/>
      <c r="J133" s="6"/>
      <c r="K133" s="7"/>
      <c r="L133" s="6"/>
      <c r="M133" s="6"/>
      <c r="N133" s="7"/>
      <c r="O133" s="6"/>
      <c r="P133" s="6"/>
      <c r="Q133" s="7"/>
      <c r="R133" s="6" t="str">
        <f aca="false">IF(AND($A133="",$B133=""),"",IF(Q133="Complete","Onboarded",IF(OR(M133="Member",M133="Ambassador"),"Sponsored",IF(K133&lt;&gt;"","Follow-Up",IF(I133&lt;&gt;"","Presented",IF(F133&lt;&gt;"","Contacted","New Lead"))))))</f>
        <v/>
      </c>
      <c r="S133" s="6"/>
      <c r="T133" s="6" t="str">
        <f aca="true">IF(MAX(F133,I133,K133)=0,"",TODAY()-MAX(F133,I133,K133))</f>
        <v/>
      </c>
      <c r="U133" s="6"/>
      <c r="V133" s="6"/>
      <c r="W133" s="6" t="str">
        <f aca="false">IF(AND($A133="",$B133=""),"",IF(M133="Ambassador","1 - Ambassador",IF(M133="Member","2 - Member",IF(J133="Completed","3 - Presented",IF(H133&lt;&gt;"","4 - Sent",IF(F133&lt;&gt;"","5 - Contacted","6 - No Activity"))))))</f>
        <v/>
      </c>
      <c r="X133" s="6" t="n">
        <f aca="false">IF(AND($A133="",$B133=""),9999999+(ROW()-4),VALUE(LEFT($W133,1))*10000+(ROW()-4))</f>
        <v>10000128</v>
      </c>
    </row>
    <row r="134" customFormat="false" ht="15" hidden="false" customHeight="true" outlineLevel="0" collapsed="false">
      <c r="A134" s="6"/>
      <c r="B134" s="6"/>
      <c r="C134" s="6"/>
      <c r="D134" s="6"/>
      <c r="E134" s="6"/>
      <c r="F134" s="7"/>
      <c r="G134" s="6"/>
      <c r="H134" s="6"/>
      <c r="I134" s="7"/>
      <c r="J134" s="6"/>
      <c r="K134" s="7"/>
      <c r="L134" s="6"/>
      <c r="M134" s="6"/>
      <c r="N134" s="7"/>
      <c r="O134" s="6"/>
      <c r="P134" s="6"/>
      <c r="Q134" s="7"/>
      <c r="R134" s="6" t="str">
        <f aca="false">IF(AND($A134="",$B134=""),"",IF(Q134="Complete","Onboarded",IF(OR(M134="Member",M134="Ambassador"),"Sponsored",IF(K134&lt;&gt;"","Follow-Up",IF(I134&lt;&gt;"","Presented",IF(F134&lt;&gt;"","Contacted","New Lead"))))))</f>
        <v/>
      </c>
      <c r="S134" s="6"/>
      <c r="T134" s="6" t="str">
        <f aca="true">IF(MAX(F134,I134,K134)=0,"",TODAY()-MAX(F134,I134,K134))</f>
        <v/>
      </c>
      <c r="U134" s="6"/>
      <c r="V134" s="6"/>
      <c r="W134" s="6" t="str">
        <f aca="false">IF(AND($A134="",$B134=""),"",IF(M134="Ambassador","1 - Ambassador",IF(M134="Member","2 - Member",IF(J134="Completed","3 - Presented",IF(H134&lt;&gt;"","4 - Sent",IF(F134&lt;&gt;"","5 - Contacted","6 - No Activity"))))))</f>
        <v/>
      </c>
      <c r="X134" s="6" t="n">
        <f aca="false">IF(AND($A134="",$B134=""),9999999+(ROW()-4),VALUE(LEFT($W134,1))*10000+(ROW()-4))</f>
        <v>10000129</v>
      </c>
    </row>
    <row r="135" customFormat="false" ht="15" hidden="false" customHeight="true" outlineLevel="0" collapsed="false">
      <c r="A135" s="6"/>
      <c r="B135" s="6"/>
      <c r="C135" s="6"/>
      <c r="D135" s="6"/>
      <c r="E135" s="6"/>
      <c r="F135" s="7"/>
      <c r="G135" s="6"/>
      <c r="H135" s="6"/>
      <c r="I135" s="7"/>
      <c r="J135" s="6"/>
      <c r="K135" s="7"/>
      <c r="L135" s="6"/>
      <c r="M135" s="6"/>
      <c r="N135" s="7"/>
      <c r="O135" s="6"/>
      <c r="P135" s="6"/>
      <c r="Q135" s="7"/>
      <c r="R135" s="6" t="str">
        <f aca="false">IF(AND($A135="",$B135=""),"",IF(Q135="Complete","Onboarded",IF(OR(M135="Member",M135="Ambassador"),"Sponsored",IF(K135&lt;&gt;"","Follow-Up",IF(I135&lt;&gt;"","Presented",IF(F135&lt;&gt;"","Contacted","New Lead"))))))</f>
        <v/>
      </c>
      <c r="S135" s="6"/>
      <c r="T135" s="6" t="str">
        <f aca="true">IF(MAX(F135,I135,K135)=0,"",TODAY()-MAX(F135,I135,K135))</f>
        <v/>
      </c>
      <c r="U135" s="6"/>
      <c r="V135" s="6"/>
      <c r="W135" s="6" t="str">
        <f aca="false">IF(AND($A135="",$B135=""),"",IF(M135="Ambassador","1 - Ambassador",IF(M135="Member","2 - Member",IF(J135="Completed","3 - Presented",IF(H135&lt;&gt;"","4 - Sent",IF(F135&lt;&gt;"","5 - Contacted","6 - No Activity"))))))</f>
        <v/>
      </c>
      <c r="X135" s="6" t="n">
        <f aca="false">IF(AND($A135="",$B135=""),9999999+(ROW()-4),VALUE(LEFT($W135,1))*10000+(ROW()-4))</f>
        <v>10000130</v>
      </c>
    </row>
    <row r="136" customFormat="false" ht="15" hidden="false" customHeight="true" outlineLevel="0" collapsed="false">
      <c r="A136" s="6"/>
      <c r="B136" s="6"/>
      <c r="C136" s="6"/>
      <c r="D136" s="6"/>
      <c r="E136" s="6"/>
      <c r="F136" s="7"/>
      <c r="G136" s="6"/>
      <c r="H136" s="6"/>
      <c r="I136" s="7"/>
      <c r="J136" s="6"/>
      <c r="K136" s="7"/>
      <c r="L136" s="6"/>
      <c r="M136" s="6"/>
      <c r="N136" s="7"/>
      <c r="O136" s="6"/>
      <c r="P136" s="6"/>
      <c r="Q136" s="7"/>
      <c r="R136" s="6" t="str">
        <f aca="false">IF(AND($A136="",$B136=""),"",IF(Q136="Complete","Onboarded",IF(OR(M136="Member",M136="Ambassador"),"Sponsored",IF(K136&lt;&gt;"","Follow-Up",IF(I136&lt;&gt;"","Presented",IF(F136&lt;&gt;"","Contacted","New Lead"))))))</f>
        <v/>
      </c>
      <c r="S136" s="6"/>
      <c r="T136" s="6" t="str">
        <f aca="true">IF(MAX(F136,I136,K136)=0,"",TODAY()-MAX(F136,I136,K136))</f>
        <v/>
      </c>
      <c r="U136" s="6"/>
      <c r="V136" s="6"/>
      <c r="W136" s="6" t="str">
        <f aca="false">IF(AND($A136="",$B136=""),"",IF(M136="Ambassador","1 - Ambassador",IF(M136="Member","2 - Member",IF(J136="Completed","3 - Presented",IF(H136&lt;&gt;"","4 - Sent",IF(F136&lt;&gt;"","5 - Contacted","6 - No Activity"))))))</f>
        <v/>
      </c>
      <c r="X136" s="6" t="n">
        <f aca="false">IF(AND($A136="",$B136=""),9999999+(ROW()-4),VALUE(LEFT($W136,1))*10000+(ROW()-4))</f>
        <v>10000131</v>
      </c>
    </row>
    <row r="137" customFormat="false" ht="15" hidden="false" customHeight="true" outlineLevel="0" collapsed="false">
      <c r="A137" s="6"/>
      <c r="B137" s="6"/>
      <c r="C137" s="6"/>
      <c r="D137" s="6"/>
      <c r="E137" s="6"/>
      <c r="F137" s="7"/>
      <c r="G137" s="6"/>
      <c r="H137" s="6"/>
      <c r="I137" s="7"/>
      <c r="J137" s="6"/>
      <c r="K137" s="7"/>
      <c r="L137" s="6"/>
      <c r="M137" s="6"/>
      <c r="N137" s="7"/>
      <c r="O137" s="6"/>
      <c r="P137" s="6"/>
      <c r="Q137" s="7"/>
      <c r="R137" s="6" t="str">
        <f aca="false">IF(AND($A137="",$B137=""),"",IF(Q137="Complete","Onboarded",IF(OR(M137="Member",M137="Ambassador"),"Sponsored",IF(K137&lt;&gt;"","Follow-Up",IF(I137&lt;&gt;"","Presented",IF(F137&lt;&gt;"","Contacted","New Lead"))))))</f>
        <v/>
      </c>
      <c r="S137" s="6"/>
      <c r="T137" s="6" t="str">
        <f aca="true">IF(MAX(F137,I137,K137)=0,"",TODAY()-MAX(F137,I137,K137))</f>
        <v/>
      </c>
      <c r="U137" s="6"/>
      <c r="V137" s="6"/>
      <c r="W137" s="6" t="str">
        <f aca="false">IF(AND($A137="",$B137=""),"",IF(M137="Ambassador","1 - Ambassador",IF(M137="Member","2 - Member",IF(J137="Completed","3 - Presented",IF(H137&lt;&gt;"","4 - Sent",IF(F137&lt;&gt;"","5 - Contacted","6 - No Activity"))))))</f>
        <v/>
      </c>
      <c r="X137" s="6" t="n">
        <f aca="false">IF(AND($A137="",$B137=""),9999999+(ROW()-4),VALUE(LEFT($W137,1))*10000+(ROW()-4))</f>
        <v>10000132</v>
      </c>
    </row>
    <row r="138" customFormat="false" ht="15" hidden="false" customHeight="true" outlineLevel="0" collapsed="false">
      <c r="A138" s="6"/>
      <c r="B138" s="6"/>
      <c r="C138" s="6"/>
      <c r="D138" s="6"/>
      <c r="E138" s="6"/>
      <c r="F138" s="7"/>
      <c r="G138" s="6"/>
      <c r="H138" s="6"/>
      <c r="I138" s="7"/>
      <c r="J138" s="6"/>
      <c r="K138" s="7"/>
      <c r="L138" s="6"/>
      <c r="M138" s="6"/>
      <c r="N138" s="7"/>
      <c r="O138" s="6"/>
      <c r="P138" s="6"/>
      <c r="Q138" s="7"/>
      <c r="R138" s="6" t="str">
        <f aca="false">IF(AND($A138="",$B138=""),"",IF(Q138="Complete","Onboarded",IF(OR(M138="Member",M138="Ambassador"),"Sponsored",IF(K138&lt;&gt;"","Follow-Up",IF(I138&lt;&gt;"","Presented",IF(F138&lt;&gt;"","Contacted","New Lead"))))))</f>
        <v/>
      </c>
      <c r="S138" s="6"/>
      <c r="T138" s="6" t="str">
        <f aca="true">IF(MAX(F138,I138,K138)=0,"",TODAY()-MAX(F138,I138,K138))</f>
        <v/>
      </c>
      <c r="U138" s="6"/>
      <c r="V138" s="6"/>
      <c r="W138" s="6" t="str">
        <f aca="false">IF(AND($A138="",$B138=""),"",IF(M138="Ambassador","1 - Ambassador",IF(M138="Member","2 - Member",IF(J138="Completed","3 - Presented",IF(H138&lt;&gt;"","4 - Sent",IF(F138&lt;&gt;"","5 - Contacted","6 - No Activity"))))))</f>
        <v/>
      </c>
      <c r="X138" s="6" t="n">
        <f aca="false">IF(AND($A138="",$B138=""),9999999+(ROW()-4),VALUE(LEFT($W138,1))*10000+(ROW()-4))</f>
        <v>10000133</v>
      </c>
    </row>
    <row r="139" customFormat="false" ht="15" hidden="false" customHeight="true" outlineLevel="0" collapsed="false">
      <c r="A139" s="6"/>
      <c r="B139" s="6"/>
      <c r="C139" s="6"/>
      <c r="D139" s="6"/>
      <c r="E139" s="6"/>
      <c r="F139" s="7"/>
      <c r="G139" s="6"/>
      <c r="H139" s="6"/>
      <c r="I139" s="7"/>
      <c r="J139" s="6"/>
      <c r="K139" s="7"/>
      <c r="L139" s="6"/>
      <c r="M139" s="6"/>
      <c r="N139" s="7"/>
      <c r="O139" s="6"/>
      <c r="P139" s="6"/>
      <c r="Q139" s="7"/>
      <c r="R139" s="6" t="str">
        <f aca="false">IF(AND($A139="",$B139=""),"",IF(Q139="Complete","Onboarded",IF(OR(M139="Member",M139="Ambassador"),"Sponsored",IF(K139&lt;&gt;"","Follow-Up",IF(I139&lt;&gt;"","Presented",IF(F139&lt;&gt;"","Contacted","New Lead"))))))</f>
        <v/>
      </c>
      <c r="S139" s="6"/>
      <c r="T139" s="6" t="str">
        <f aca="true">IF(MAX(F139,I139,K139)=0,"",TODAY()-MAX(F139,I139,K139))</f>
        <v/>
      </c>
      <c r="U139" s="6"/>
      <c r="V139" s="6"/>
      <c r="W139" s="6" t="str">
        <f aca="false">IF(AND($A139="",$B139=""),"",IF(M139="Ambassador","1 - Ambassador",IF(M139="Member","2 - Member",IF(J139="Completed","3 - Presented",IF(H139&lt;&gt;"","4 - Sent",IF(F139&lt;&gt;"","5 - Contacted","6 - No Activity"))))))</f>
        <v/>
      </c>
      <c r="X139" s="6" t="n">
        <f aca="false">IF(AND($A139="",$B139=""),9999999+(ROW()-4),VALUE(LEFT($W139,1))*10000+(ROW()-4))</f>
        <v>10000134</v>
      </c>
    </row>
    <row r="140" customFormat="false" ht="15" hidden="false" customHeight="true" outlineLevel="0" collapsed="false">
      <c r="A140" s="6"/>
      <c r="B140" s="6"/>
      <c r="C140" s="6"/>
      <c r="D140" s="6"/>
      <c r="E140" s="6"/>
      <c r="F140" s="7"/>
      <c r="G140" s="6"/>
      <c r="H140" s="6"/>
      <c r="I140" s="7"/>
      <c r="J140" s="6"/>
      <c r="K140" s="7"/>
      <c r="L140" s="6"/>
      <c r="M140" s="6"/>
      <c r="N140" s="7"/>
      <c r="O140" s="6"/>
      <c r="P140" s="6"/>
      <c r="Q140" s="7"/>
      <c r="R140" s="6" t="str">
        <f aca="false">IF(AND($A140="",$B140=""),"",IF(Q140="Complete","Onboarded",IF(OR(M140="Member",M140="Ambassador"),"Sponsored",IF(K140&lt;&gt;"","Follow-Up",IF(I140&lt;&gt;"","Presented",IF(F140&lt;&gt;"","Contacted","New Lead"))))))</f>
        <v/>
      </c>
      <c r="S140" s="6"/>
      <c r="T140" s="6" t="str">
        <f aca="true">IF(MAX(F140,I140,K140)=0,"",TODAY()-MAX(F140,I140,K140))</f>
        <v/>
      </c>
      <c r="U140" s="6"/>
      <c r="V140" s="6"/>
      <c r="W140" s="6" t="str">
        <f aca="false">IF(AND($A140="",$B140=""),"",IF(M140="Ambassador","1 - Ambassador",IF(M140="Member","2 - Member",IF(J140="Completed","3 - Presented",IF(H140&lt;&gt;"","4 - Sent",IF(F140&lt;&gt;"","5 - Contacted","6 - No Activity"))))))</f>
        <v/>
      </c>
      <c r="X140" s="6" t="n">
        <f aca="false">IF(AND($A140="",$B140=""),9999999+(ROW()-4),VALUE(LEFT($W140,1))*10000+(ROW()-4))</f>
        <v>10000135</v>
      </c>
    </row>
    <row r="141" customFormat="false" ht="15" hidden="false" customHeight="true" outlineLevel="0" collapsed="false">
      <c r="A141" s="6"/>
      <c r="B141" s="6"/>
      <c r="C141" s="6"/>
      <c r="D141" s="6"/>
      <c r="E141" s="6"/>
      <c r="F141" s="7"/>
      <c r="G141" s="6"/>
      <c r="H141" s="6"/>
      <c r="I141" s="7"/>
      <c r="J141" s="6"/>
      <c r="K141" s="7"/>
      <c r="L141" s="6"/>
      <c r="M141" s="6"/>
      <c r="N141" s="7"/>
      <c r="O141" s="6"/>
      <c r="P141" s="6"/>
      <c r="Q141" s="7"/>
      <c r="R141" s="6" t="str">
        <f aca="false">IF(AND($A141="",$B141=""),"",IF(Q141="Complete","Onboarded",IF(OR(M141="Member",M141="Ambassador"),"Sponsored",IF(K141&lt;&gt;"","Follow-Up",IF(I141&lt;&gt;"","Presented",IF(F141&lt;&gt;"","Contacted","New Lead"))))))</f>
        <v/>
      </c>
      <c r="S141" s="6"/>
      <c r="T141" s="6" t="str">
        <f aca="true">IF(MAX(F141,I141,K141)=0,"",TODAY()-MAX(F141,I141,K141))</f>
        <v/>
      </c>
      <c r="U141" s="6"/>
      <c r="V141" s="6"/>
      <c r="W141" s="6" t="str">
        <f aca="false">IF(AND($A141="",$B141=""),"",IF(M141="Ambassador","1 - Ambassador",IF(M141="Member","2 - Member",IF(J141="Completed","3 - Presented",IF(H141&lt;&gt;"","4 - Sent",IF(F141&lt;&gt;"","5 - Contacted","6 - No Activity"))))))</f>
        <v/>
      </c>
      <c r="X141" s="6" t="n">
        <f aca="false">IF(AND($A141="",$B141=""),9999999+(ROW()-4),VALUE(LEFT($W141,1))*10000+(ROW()-4))</f>
        <v>10000136</v>
      </c>
    </row>
    <row r="142" customFormat="false" ht="15" hidden="false" customHeight="true" outlineLevel="0" collapsed="false">
      <c r="A142" s="6"/>
      <c r="B142" s="6"/>
      <c r="C142" s="6"/>
      <c r="D142" s="6"/>
      <c r="E142" s="6"/>
      <c r="F142" s="7"/>
      <c r="G142" s="6"/>
      <c r="H142" s="6"/>
      <c r="I142" s="7"/>
      <c r="J142" s="6"/>
      <c r="K142" s="7"/>
      <c r="L142" s="6"/>
      <c r="M142" s="6"/>
      <c r="N142" s="7"/>
      <c r="O142" s="6"/>
      <c r="P142" s="6"/>
      <c r="Q142" s="7"/>
      <c r="R142" s="6" t="str">
        <f aca="false">IF(AND($A142="",$B142=""),"",IF(Q142="Complete","Onboarded",IF(OR(M142="Member",M142="Ambassador"),"Sponsored",IF(K142&lt;&gt;"","Follow-Up",IF(I142&lt;&gt;"","Presented",IF(F142&lt;&gt;"","Contacted","New Lead"))))))</f>
        <v/>
      </c>
      <c r="S142" s="6"/>
      <c r="T142" s="6" t="str">
        <f aca="true">IF(MAX(F142,I142,K142)=0,"",TODAY()-MAX(F142,I142,K142))</f>
        <v/>
      </c>
      <c r="U142" s="6"/>
      <c r="V142" s="6"/>
      <c r="W142" s="6" t="str">
        <f aca="false">IF(AND($A142="",$B142=""),"",IF(M142="Ambassador","1 - Ambassador",IF(M142="Member","2 - Member",IF(J142="Completed","3 - Presented",IF(H142&lt;&gt;"","4 - Sent",IF(F142&lt;&gt;"","5 - Contacted","6 - No Activity"))))))</f>
        <v/>
      </c>
      <c r="X142" s="6" t="n">
        <f aca="false">IF(AND($A142="",$B142=""),9999999+(ROW()-4),VALUE(LEFT($W142,1))*10000+(ROW()-4))</f>
        <v>10000137</v>
      </c>
    </row>
    <row r="143" customFormat="false" ht="15" hidden="false" customHeight="true" outlineLevel="0" collapsed="false">
      <c r="A143" s="6"/>
      <c r="B143" s="6"/>
      <c r="C143" s="6"/>
      <c r="D143" s="6"/>
      <c r="E143" s="6"/>
      <c r="F143" s="7"/>
      <c r="G143" s="6"/>
      <c r="H143" s="6"/>
      <c r="I143" s="7"/>
      <c r="J143" s="6"/>
      <c r="K143" s="7"/>
      <c r="L143" s="6"/>
      <c r="M143" s="6"/>
      <c r="N143" s="7"/>
      <c r="O143" s="6"/>
      <c r="P143" s="6"/>
      <c r="Q143" s="7"/>
      <c r="R143" s="6" t="str">
        <f aca="false">IF(AND($A143="",$B143=""),"",IF(Q143="Complete","Onboarded",IF(OR(M143="Member",M143="Ambassador"),"Sponsored",IF(K143&lt;&gt;"","Follow-Up",IF(I143&lt;&gt;"","Presented",IF(F143&lt;&gt;"","Contacted","New Lead"))))))</f>
        <v/>
      </c>
      <c r="S143" s="6"/>
      <c r="T143" s="6" t="str">
        <f aca="true">IF(MAX(F143,I143,K143)=0,"",TODAY()-MAX(F143,I143,K143))</f>
        <v/>
      </c>
      <c r="U143" s="6"/>
      <c r="V143" s="6"/>
      <c r="W143" s="6" t="str">
        <f aca="false">IF(AND($A143="",$B143=""),"",IF(M143="Ambassador","1 - Ambassador",IF(M143="Member","2 - Member",IF(J143="Completed","3 - Presented",IF(H143&lt;&gt;"","4 - Sent",IF(F143&lt;&gt;"","5 - Contacted","6 - No Activity"))))))</f>
        <v/>
      </c>
      <c r="X143" s="6" t="n">
        <f aca="false">IF(AND($A143="",$B143=""),9999999+(ROW()-4),VALUE(LEFT($W143,1))*10000+(ROW()-4))</f>
        <v>10000138</v>
      </c>
    </row>
    <row r="144" customFormat="false" ht="15" hidden="false" customHeight="true" outlineLevel="0" collapsed="false">
      <c r="A144" s="6"/>
      <c r="B144" s="6"/>
      <c r="C144" s="6"/>
      <c r="D144" s="6"/>
      <c r="E144" s="6"/>
      <c r="F144" s="7"/>
      <c r="G144" s="6"/>
      <c r="H144" s="6"/>
      <c r="I144" s="7"/>
      <c r="J144" s="6"/>
      <c r="K144" s="7"/>
      <c r="L144" s="6"/>
      <c r="M144" s="6"/>
      <c r="N144" s="7"/>
      <c r="O144" s="6"/>
      <c r="P144" s="6"/>
      <c r="Q144" s="7"/>
      <c r="R144" s="6" t="str">
        <f aca="false">IF(AND($A144="",$B144=""),"",IF(Q144="Complete","Onboarded",IF(OR(M144="Member",M144="Ambassador"),"Sponsored",IF(K144&lt;&gt;"","Follow-Up",IF(I144&lt;&gt;"","Presented",IF(F144&lt;&gt;"","Contacted","New Lead"))))))</f>
        <v/>
      </c>
      <c r="S144" s="6"/>
      <c r="T144" s="6" t="str">
        <f aca="true">IF(MAX(F144,I144,K144)=0,"",TODAY()-MAX(F144,I144,K144))</f>
        <v/>
      </c>
      <c r="U144" s="6"/>
      <c r="V144" s="6"/>
      <c r="W144" s="6" t="str">
        <f aca="false">IF(AND($A144="",$B144=""),"",IF(M144="Ambassador","1 - Ambassador",IF(M144="Member","2 - Member",IF(J144="Completed","3 - Presented",IF(H144&lt;&gt;"","4 - Sent",IF(F144&lt;&gt;"","5 - Contacted","6 - No Activity"))))))</f>
        <v/>
      </c>
      <c r="X144" s="6" t="n">
        <f aca="false">IF(AND($A144="",$B144=""),9999999+(ROW()-4),VALUE(LEFT($W144,1))*10000+(ROW()-4))</f>
        <v>10000139</v>
      </c>
    </row>
    <row r="145" customFormat="false" ht="15" hidden="false" customHeight="true" outlineLevel="0" collapsed="false">
      <c r="A145" s="6"/>
      <c r="B145" s="6"/>
      <c r="C145" s="6"/>
      <c r="D145" s="6"/>
      <c r="E145" s="6"/>
      <c r="F145" s="7"/>
      <c r="G145" s="6"/>
      <c r="H145" s="6"/>
      <c r="I145" s="7"/>
      <c r="J145" s="6"/>
      <c r="K145" s="7"/>
      <c r="L145" s="6"/>
      <c r="M145" s="6"/>
      <c r="N145" s="7"/>
      <c r="O145" s="6"/>
      <c r="P145" s="6"/>
      <c r="Q145" s="7"/>
      <c r="R145" s="6" t="str">
        <f aca="false">IF(AND($A145="",$B145=""),"",IF(Q145="Complete","Onboarded",IF(OR(M145="Member",M145="Ambassador"),"Sponsored",IF(K145&lt;&gt;"","Follow-Up",IF(I145&lt;&gt;"","Presented",IF(F145&lt;&gt;"","Contacted","New Lead"))))))</f>
        <v/>
      </c>
      <c r="S145" s="6"/>
      <c r="T145" s="6" t="str">
        <f aca="true">IF(MAX(F145,I145,K145)=0,"",TODAY()-MAX(F145,I145,K145))</f>
        <v/>
      </c>
      <c r="U145" s="6"/>
      <c r="V145" s="6"/>
      <c r="W145" s="6" t="str">
        <f aca="false">IF(AND($A145="",$B145=""),"",IF(M145="Ambassador","1 - Ambassador",IF(M145="Member","2 - Member",IF(J145="Completed","3 - Presented",IF(H145&lt;&gt;"","4 - Sent",IF(F145&lt;&gt;"","5 - Contacted","6 - No Activity"))))))</f>
        <v/>
      </c>
      <c r="X145" s="6" t="n">
        <f aca="false">IF(AND($A145="",$B145=""),9999999+(ROW()-4),VALUE(LEFT($W145,1))*10000+(ROW()-4))</f>
        <v>10000140</v>
      </c>
    </row>
    <row r="146" customFormat="false" ht="15" hidden="false" customHeight="true" outlineLevel="0" collapsed="false">
      <c r="A146" s="6"/>
      <c r="B146" s="6"/>
      <c r="C146" s="6"/>
      <c r="D146" s="6"/>
      <c r="E146" s="6"/>
      <c r="F146" s="7"/>
      <c r="G146" s="6"/>
      <c r="H146" s="6"/>
      <c r="I146" s="7"/>
      <c r="J146" s="6"/>
      <c r="K146" s="7"/>
      <c r="L146" s="6"/>
      <c r="M146" s="6"/>
      <c r="N146" s="7"/>
      <c r="O146" s="6"/>
      <c r="P146" s="6"/>
      <c r="Q146" s="7"/>
      <c r="R146" s="6" t="str">
        <f aca="false">IF(AND($A146="",$B146=""),"",IF(Q146="Complete","Onboarded",IF(OR(M146="Member",M146="Ambassador"),"Sponsored",IF(K146&lt;&gt;"","Follow-Up",IF(I146&lt;&gt;"","Presented",IF(F146&lt;&gt;"","Contacted","New Lead"))))))</f>
        <v/>
      </c>
      <c r="S146" s="6"/>
      <c r="T146" s="6" t="str">
        <f aca="true">IF(MAX(F146,I146,K146)=0,"",TODAY()-MAX(F146,I146,K146))</f>
        <v/>
      </c>
      <c r="U146" s="6"/>
      <c r="V146" s="6"/>
      <c r="W146" s="6" t="str">
        <f aca="false">IF(AND($A146="",$B146=""),"",IF(M146="Ambassador","1 - Ambassador",IF(M146="Member","2 - Member",IF(J146="Completed","3 - Presented",IF(H146&lt;&gt;"","4 - Sent",IF(F146&lt;&gt;"","5 - Contacted","6 - No Activity"))))))</f>
        <v/>
      </c>
      <c r="X146" s="6" t="n">
        <f aca="false">IF(AND($A146="",$B146=""),9999999+(ROW()-4),VALUE(LEFT($W146,1))*10000+(ROW()-4))</f>
        <v>10000141</v>
      </c>
    </row>
    <row r="147" customFormat="false" ht="15" hidden="false" customHeight="true" outlineLevel="0" collapsed="false">
      <c r="A147" s="6"/>
      <c r="B147" s="6"/>
      <c r="C147" s="6"/>
      <c r="D147" s="6"/>
      <c r="E147" s="6"/>
      <c r="F147" s="7"/>
      <c r="G147" s="6"/>
      <c r="H147" s="6"/>
      <c r="I147" s="7"/>
      <c r="J147" s="6"/>
      <c r="K147" s="7"/>
      <c r="L147" s="6"/>
      <c r="M147" s="6"/>
      <c r="N147" s="7"/>
      <c r="O147" s="6"/>
      <c r="P147" s="6"/>
      <c r="Q147" s="7"/>
      <c r="R147" s="6" t="str">
        <f aca="false">IF(AND($A147="",$B147=""),"",IF(Q147="Complete","Onboarded",IF(OR(M147="Member",M147="Ambassador"),"Sponsored",IF(K147&lt;&gt;"","Follow-Up",IF(I147&lt;&gt;"","Presented",IF(F147&lt;&gt;"","Contacted","New Lead"))))))</f>
        <v/>
      </c>
      <c r="S147" s="6"/>
      <c r="T147" s="6" t="str">
        <f aca="true">IF(MAX(F147,I147,K147)=0,"",TODAY()-MAX(F147,I147,K147))</f>
        <v/>
      </c>
      <c r="U147" s="6"/>
      <c r="V147" s="6"/>
      <c r="W147" s="6" t="str">
        <f aca="false">IF(AND($A147="",$B147=""),"",IF(M147="Ambassador","1 - Ambassador",IF(M147="Member","2 - Member",IF(J147="Completed","3 - Presented",IF(H147&lt;&gt;"","4 - Sent",IF(F147&lt;&gt;"","5 - Contacted","6 - No Activity"))))))</f>
        <v/>
      </c>
      <c r="X147" s="6" t="n">
        <f aca="false">IF(AND($A147="",$B147=""),9999999+(ROW()-4),VALUE(LEFT($W147,1))*10000+(ROW()-4))</f>
        <v>10000142</v>
      </c>
    </row>
    <row r="148" customFormat="false" ht="15" hidden="false" customHeight="true" outlineLevel="0" collapsed="false">
      <c r="A148" s="6"/>
      <c r="B148" s="6"/>
      <c r="C148" s="6"/>
      <c r="D148" s="6"/>
      <c r="E148" s="6"/>
      <c r="F148" s="7"/>
      <c r="G148" s="6"/>
      <c r="H148" s="6"/>
      <c r="I148" s="7"/>
      <c r="J148" s="6"/>
      <c r="K148" s="7"/>
      <c r="L148" s="6"/>
      <c r="M148" s="6"/>
      <c r="N148" s="7"/>
      <c r="O148" s="6"/>
      <c r="P148" s="6"/>
      <c r="Q148" s="7"/>
      <c r="R148" s="6" t="str">
        <f aca="false">IF(AND($A148="",$B148=""),"",IF(Q148="Complete","Onboarded",IF(OR(M148="Member",M148="Ambassador"),"Sponsored",IF(K148&lt;&gt;"","Follow-Up",IF(I148&lt;&gt;"","Presented",IF(F148&lt;&gt;"","Contacted","New Lead"))))))</f>
        <v/>
      </c>
      <c r="S148" s="6"/>
      <c r="T148" s="6" t="str">
        <f aca="true">IF(MAX(F148,I148,K148)=0,"",TODAY()-MAX(F148,I148,K148))</f>
        <v/>
      </c>
      <c r="U148" s="6"/>
      <c r="V148" s="6"/>
      <c r="W148" s="6" t="str">
        <f aca="false">IF(AND($A148="",$B148=""),"",IF(M148="Ambassador","1 - Ambassador",IF(M148="Member","2 - Member",IF(J148="Completed","3 - Presented",IF(H148&lt;&gt;"","4 - Sent",IF(F148&lt;&gt;"","5 - Contacted","6 - No Activity"))))))</f>
        <v/>
      </c>
      <c r="X148" s="6" t="n">
        <f aca="false">IF(AND($A148="",$B148=""),9999999+(ROW()-4),VALUE(LEFT($W148,1))*10000+(ROW()-4))</f>
        <v>10000143</v>
      </c>
    </row>
    <row r="149" customFormat="false" ht="15" hidden="false" customHeight="true" outlineLevel="0" collapsed="false">
      <c r="A149" s="6"/>
      <c r="B149" s="6"/>
      <c r="C149" s="6"/>
      <c r="D149" s="6"/>
      <c r="E149" s="6"/>
      <c r="F149" s="7"/>
      <c r="G149" s="6"/>
      <c r="H149" s="6"/>
      <c r="I149" s="7"/>
      <c r="J149" s="6"/>
      <c r="K149" s="7"/>
      <c r="L149" s="6"/>
      <c r="M149" s="6"/>
      <c r="N149" s="7"/>
      <c r="O149" s="6"/>
      <c r="P149" s="6"/>
      <c r="Q149" s="7"/>
      <c r="R149" s="6" t="str">
        <f aca="false">IF(AND($A149="",$B149=""),"",IF(Q149="Complete","Onboarded",IF(OR(M149="Member",M149="Ambassador"),"Sponsored",IF(K149&lt;&gt;"","Follow-Up",IF(I149&lt;&gt;"","Presented",IF(F149&lt;&gt;"","Contacted","New Lead"))))))</f>
        <v/>
      </c>
      <c r="S149" s="6"/>
      <c r="T149" s="6" t="str">
        <f aca="true">IF(MAX(F149,I149,K149)=0,"",TODAY()-MAX(F149,I149,K149))</f>
        <v/>
      </c>
      <c r="U149" s="6"/>
      <c r="V149" s="6"/>
      <c r="W149" s="6" t="str">
        <f aca="false">IF(AND($A149="",$B149=""),"",IF(M149="Ambassador","1 - Ambassador",IF(M149="Member","2 - Member",IF(J149="Completed","3 - Presented",IF(H149&lt;&gt;"","4 - Sent",IF(F149&lt;&gt;"","5 - Contacted","6 - No Activity"))))))</f>
        <v/>
      </c>
      <c r="X149" s="6" t="n">
        <f aca="false">IF(AND($A149="",$B149=""),9999999+(ROW()-4),VALUE(LEFT($W149,1))*10000+(ROW()-4))</f>
        <v>10000144</v>
      </c>
    </row>
    <row r="150" customFormat="false" ht="15" hidden="false" customHeight="true" outlineLevel="0" collapsed="false">
      <c r="A150" s="6"/>
      <c r="B150" s="6"/>
      <c r="C150" s="6"/>
      <c r="D150" s="6"/>
      <c r="E150" s="6"/>
      <c r="F150" s="7"/>
      <c r="G150" s="6"/>
      <c r="H150" s="6"/>
      <c r="I150" s="7"/>
      <c r="J150" s="6"/>
      <c r="K150" s="7"/>
      <c r="L150" s="6"/>
      <c r="M150" s="6"/>
      <c r="N150" s="7"/>
      <c r="O150" s="6"/>
      <c r="P150" s="6"/>
      <c r="Q150" s="7"/>
      <c r="R150" s="6" t="str">
        <f aca="false">IF(AND($A150="",$B150=""),"",IF(Q150="Complete","Onboarded",IF(OR(M150="Member",M150="Ambassador"),"Sponsored",IF(K150&lt;&gt;"","Follow-Up",IF(I150&lt;&gt;"","Presented",IF(F150&lt;&gt;"","Contacted","New Lead"))))))</f>
        <v/>
      </c>
      <c r="S150" s="6"/>
      <c r="T150" s="6" t="str">
        <f aca="true">IF(MAX(F150,I150,K150)=0,"",TODAY()-MAX(F150,I150,K150))</f>
        <v/>
      </c>
      <c r="U150" s="6"/>
      <c r="V150" s="6"/>
      <c r="W150" s="6" t="str">
        <f aca="false">IF(AND($A150="",$B150=""),"",IF(M150="Ambassador","1 - Ambassador",IF(M150="Member","2 - Member",IF(J150="Completed","3 - Presented",IF(H150&lt;&gt;"","4 - Sent",IF(F150&lt;&gt;"","5 - Contacted","6 - No Activity"))))))</f>
        <v/>
      </c>
      <c r="X150" s="6" t="n">
        <f aca="false">IF(AND($A150="",$B150=""),9999999+(ROW()-4),VALUE(LEFT($W150,1))*10000+(ROW()-4))</f>
        <v>10000145</v>
      </c>
    </row>
    <row r="151" customFormat="false" ht="15" hidden="false" customHeight="true" outlineLevel="0" collapsed="false">
      <c r="A151" s="6"/>
      <c r="B151" s="6"/>
      <c r="C151" s="6"/>
      <c r="D151" s="6"/>
      <c r="E151" s="6"/>
      <c r="F151" s="7"/>
      <c r="G151" s="6"/>
      <c r="H151" s="6"/>
      <c r="I151" s="7"/>
      <c r="J151" s="6"/>
      <c r="K151" s="7"/>
      <c r="L151" s="6"/>
      <c r="M151" s="6"/>
      <c r="N151" s="7"/>
      <c r="O151" s="6"/>
      <c r="P151" s="6"/>
      <c r="Q151" s="7"/>
      <c r="R151" s="6" t="str">
        <f aca="false">IF(AND($A151="",$B151=""),"",IF(Q151="Complete","Onboarded",IF(OR(M151="Member",M151="Ambassador"),"Sponsored",IF(K151&lt;&gt;"","Follow-Up",IF(I151&lt;&gt;"","Presented",IF(F151&lt;&gt;"","Contacted","New Lead"))))))</f>
        <v/>
      </c>
      <c r="S151" s="6"/>
      <c r="T151" s="6" t="str">
        <f aca="true">IF(MAX(F151,I151,K151)=0,"",TODAY()-MAX(F151,I151,K151))</f>
        <v/>
      </c>
      <c r="U151" s="6"/>
      <c r="V151" s="6"/>
      <c r="W151" s="6" t="str">
        <f aca="false">IF(AND($A151="",$B151=""),"",IF(M151="Ambassador","1 - Ambassador",IF(M151="Member","2 - Member",IF(J151="Completed","3 - Presented",IF(H151&lt;&gt;"","4 - Sent",IF(F151&lt;&gt;"","5 - Contacted","6 - No Activity"))))))</f>
        <v/>
      </c>
      <c r="X151" s="6" t="n">
        <f aca="false">IF(AND($A151="",$B151=""),9999999+(ROW()-4),VALUE(LEFT($W151,1))*10000+(ROW()-4))</f>
        <v>10000146</v>
      </c>
    </row>
    <row r="152" customFormat="false" ht="15" hidden="false" customHeight="true" outlineLevel="0" collapsed="false">
      <c r="A152" s="6"/>
      <c r="B152" s="6"/>
      <c r="C152" s="6"/>
      <c r="D152" s="6"/>
      <c r="E152" s="6"/>
      <c r="F152" s="7"/>
      <c r="G152" s="6"/>
      <c r="H152" s="6"/>
      <c r="I152" s="7"/>
      <c r="J152" s="6"/>
      <c r="K152" s="7"/>
      <c r="L152" s="6"/>
      <c r="M152" s="6"/>
      <c r="N152" s="7"/>
      <c r="O152" s="6"/>
      <c r="P152" s="6"/>
      <c r="Q152" s="7"/>
      <c r="R152" s="6" t="str">
        <f aca="false">IF(AND($A152="",$B152=""),"",IF(Q152="Complete","Onboarded",IF(OR(M152="Member",M152="Ambassador"),"Sponsored",IF(K152&lt;&gt;"","Follow-Up",IF(I152&lt;&gt;"","Presented",IF(F152&lt;&gt;"","Contacted","New Lead"))))))</f>
        <v/>
      </c>
      <c r="S152" s="6"/>
      <c r="T152" s="6" t="str">
        <f aca="true">IF(MAX(F152,I152,K152)=0,"",TODAY()-MAX(F152,I152,K152))</f>
        <v/>
      </c>
      <c r="U152" s="6"/>
      <c r="V152" s="6"/>
      <c r="W152" s="6" t="str">
        <f aca="false">IF(AND($A152="",$B152=""),"",IF(M152="Ambassador","1 - Ambassador",IF(M152="Member","2 - Member",IF(J152="Completed","3 - Presented",IF(H152&lt;&gt;"","4 - Sent",IF(F152&lt;&gt;"","5 - Contacted","6 - No Activity"))))))</f>
        <v/>
      </c>
      <c r="X152" s="6" t="n">
        <f aca="false">IF(AND($A152="",$B152=""),9999999+(ROW()-4),VALUE(LEFT($W152,1))*10000+(ROW()-4))</f>
        <v>10000147</v>
      </c>
    </row>
    <row r="153" customFormat="false" ht="15" hidden="false" customHeight="true" outlineLevel="0" collapsed="false">
      <c r="A153" s="6"/>
      <c r="B153" s="6"/>
      <c r="C153" s="6"/>
      <c r="D153" s="6"/>
      <c r="E153" s="6"/>
      <c r="F153" s="7"/>
      <c r="G153" s="6"/>
      <c r="H153" s="6"/>
      <c r="I153" s="7"/>
      <c r="J153" s="6"/>
      <c r="K153" s="7"/>
      <c r="L153" s="6"/>
      <c r="M153" s="6"/>
      <c r="N153" s="7"/>
      <c r="O153" s="6"/>
      <c r="P153" s="6"/>
      <c r="Q153" s="7"/>
      <c r="R153" s="6" t="str">
        <f aca="false">IF(AND($A153="",$B153=""),"",IF(Q153="Complete","Onboarded",IF(OR(M153="Member",M153="Ambassador"),"Sponsored",IF(K153&lt;&gt;"","Follow-Up",IF(I153&lt;&gt;"","Presented",IF(F153&lt;&gt;"","Contacted","New Lead"))))))</f>
        <v/>
      </c>
      <c r="S153" s="6"/>
      <c r="T153" s="6" t="str">
        <f aca="true">IF(MAX(F153,I153,K153)=0,"",TODAY()-MAX(F153,I153,K153))</f>
        <v/>
      </c>
      <c r="U153" s="6"/>
      <c r="V153" s="6"/>
      <c r="W153" s="6" t="str">
        <f aca="false">IF(AND($A153="",$B153=""),"",IF(M153="Ambassador","1 - Ambassador",IF(M153="Member","2 - Member",IF(J153="Completed","3 - Presented",IF(H153&lt;&gt;"","4 - Sent",IF(F153&lt;&gt;"","5 - Contacted","6 - No Activity"))))))</f>
        <v/>
      </c>
      <c r="X153" s="6" t="n">
        <f aca="false">IF(AND($A153="",$B153=""),9999999+(ROW()-4),VALUE(LEFT($W153,1))*10000+(ROW()-4))</f>
        <v>10000148</v>
      </c>
    </row>
    <row r="154" customFormat="false" ht="15" hidden="false" customHeight="true" outlineLevel="0" collapsed="false">
      <c r="A154" s="6"/>
      <c r="B154" s="6"/>
      <c r="C154" s="6"/>
      <c r="D154" s="6"/>
      <c r="E154" s="6"/>
      <c r="F154" s="7"/>
      <c r="G154" s="6"/>
      <c r="H154" s="6"/>
      <c r="I154" s="7"/>
      <c r="J154" s="6"/>
      <c r="K154" s="7"/>
      <c r="L154" s="6"/>
      <c r="M154" s="6"/>
      <c r="N154" s="7"/>
      <c r="O154" s="6"/>
      <c r="P154" s="6"/>
      <c r="Q154" s="7"/>
      <c r="R154" s="6" t="str">
        <f aca="false">IF(AND($A154="",$B154=""),"",IF(Q154="Complete","Onboarded",IF(OR(M154="Member",M154="Ambassador"),"Sponsored",IF(K154&lt;&gt;"","Follow-Up",IF(I154&lt;&gt;"","Presented",IF(F154&lt;&gt;"","Contacted","New Lead"))))))</f>
        <v/>
      </c>
      <c r="S154" s="6"/>
      <c r="T154" s="6" t="str">
        <f aca="true">IF(MAX(F154,I154,K154)=0,"",TODAY()-MAX(F154,I154,K154))</f>
        <v/>
      </c>
      <c r="U154" s="6"/>
      <c r="V154" s="6"/>
      <c r="W154" s="6" t="str">
        <f aca="false">IF(AND($A154="",$B154=""),"",IF(M154="Ambassador","1 - Ambassador",IF(M154="Member","2 - Member",IF(J154="Completed","3 - Presented",IF(H154&lt;&gt;"","4 - Sent",IF(F154&lt;&gt;"","5 - Contacted","6 - No Activity"))))))</f>
        <v/>
      </c>
      <c r="X154" s="6" t="n">
        <f aca="false">IF(AND($A154="",$B154=""),9999999+(ROW()-4),VALUE(LEFT($W154,1))*10000+(ROW()-4))</f>
        <v>10000149</v>
      </c>
    </row>
    <row r="155" customFormat="false" ht="15" hidden="false" customHeight="true" outlineLevel="0" collapsed="false">
      <c r="A155" s="6"/>
      <c r="B155" s="6"/>
      <c r="C155" s="6"/>
      <c r="D155" s="6"/>
      <c r="E155" s="6"/>
      <c r="F155" s="7"/>
      <c r="G155" s="6"/>
      <c r="H155" s="6"/>
      <c r="I155" s="7"/>
      <c r="J155" s="6"/>
      <c r="K155" s="7"/>
      <c r="L155" s="6"/>
      <c r="M155" s="6"/>
      <c r="N155" s="7"/>
      <c r="O155" s="6"/>
      <c r="P155" s="6"/>
      <c r="Q155" s="7"/>
      <c r="R155" s="6" t="str">
        <f aca="false">IF(AND($A155="",$B155=""),"",IF(Q155="Complete","Onboarded",IF(OR(M155="Member",M155="Ambassador"),"Sponsored",IF(K155&lt;&gt;"","Follow-Up",IF(I155&lt;&gt;"","Presented",IF(F155&lt;&gt;"","Contacted","New Lead"))))))</f>
        <v/>
      </c>
      <c r="S155" s="6"/>
      <c r="T155" s="6" t="str">
        <f aca="true">IF(MAX(F155,I155,K155)=0,"",TODAY()-MAX(F155,I155,K155))</f>
        <v/>
      </c>
      <c r="U155" s="6"/>
      <c r="V155" s="6"/>
      <c r="W155" s="6" t="str">
        <f aca="false">IF(AND($A155="",$B155=""),"",IF(M155="Ambassador","1 - Ambassador",IF(M155="Member","2 - Member",IF(J155="Completed","3 - Presented",IF(H155&lt;&gt;"","4 - Sent",IF(F155&lt;&gt;"","5 - Contacted","6 - No Activity"))))))</f>
        <v/>
      </c>
      <c r="X155" s="6" t="n">
        <f aca="false">IF(AND($A155="",$B155=""),9999999+(ROW()-4),VALUE(LEFT($W155,1))*10000+(ROW()-4))</f>
        <v>10000150</v>
      </c>
    </row>
    <row r="156" customFormat="false" ht="15" hidden="false" customHeight="true" outlineLevel="0" collapsed="false">
      <c r="A156" s="6"/>
      <c r="B156" s="6"/>
      <c r="C156" s="6"/>
      <c r="D156" s="6"/>
      <c r="E156" s="6"/>
      <c r="F156" s="7"/>
      <c r="G156" s="6"/>
      <c r="H156" s="6"/>
      <c r="I156" s="7"/>
      <c r="J156" s="6"/>
      <c r="K156" s="7"/>
      <c r="L156" s="6"/>
      <c r="M156" s="6"/>
      <c r="N156" s="7"/>
      <c r="O156" s="6"/>
      <c r="P156" s="6"/>
      <c r="Q156" s="7"/>
      <c r="R156" s="6" t="str">
        <f aca="false">IF(AND($A156="",$B156=""),"",IF(Q156="Complete","Onboarded",IF(OR(M156="Member",M156="Ambassador"),"Sponsored",IF(K156&lt;&gt;"","Follow-Up",IF(I156&lt;&gt;"","Presented",IF(F156&lt;&gt;"","Contacted","New Lead"))))))</f>
        <v/>
      </c>
      <c r="S156" s="6"/>
      <c r="T156" s="6" t="str">
        <f aca="true">IF(MAX(F156,I156,K156)=0,"",TODAY()-MAX(F156,I156,K156))</f>
        <v/>
      </c>
      <c r="U156" s="6"/>
      <c r="V156" s="6"/>
      <c r="W156" s="6" t="str">
        <f aca="false">IF(AND($A156="",$B156=""),"",IF(M156="Ambassador","1 - Ambassador",IF(M156="Member","2 - Member",IF(J156="Completed","3 - Presented",IF(H156&lt;&gt;"","4 - Sent",IF(F156&lt;&gt;"","5 - Contacted","6 - No Activity"))))))</f>
        <v/>
      </c>
      <c r="X156" s="6" t="n">
        <f aca="false">IF(AND($A156="",$B156=""),9999999+(ROW()-4),VALUE(LEFT($W156,1))*10000+(ROW()-4))</f>
        <v>10000151</v>
      </c>
    </row>
    <row r="157" customFormat="false" ht="15" hidden="false" customHeight="true" outlineLevel="0" collapsed="false">
      <c r="A157" s="6"/>
      <c r="B157" s="6"/>
      <c r="C157" s="6"/>
      <c r="D157" s="6"/>
      <c r="E157" s="6"/>
      <c r="F157" s="7"/>
      <c r="G157" s="6"/>
      <c r="H157" s="6"/>
      <c r="I157" s="7"/>
      <c r="J157" s="6"/>
      <c r="K157" s="7"/>
      <c r="L157" s="6"/>
      <c r="M157" s="6"/>
      <c r="N157" s="7"/>
      <c r="O157" s="6"/>
      <c r="P157" s="6"/>
      <c r="Q157" s="7"/>
      <c r="R157" s="6" t="str">
        <f aca="false">IF(AND($A157="",$B157=""),"",IF(Q157="Complete","Onboarded",IF(OR(M157="Member",M157="Ambassador"),"Sponsored",IF(K157&lt;&gt;"","Follow-Up",IF(I157&lt;&gt;"","Presented",IF(F157&lt;&gt;"","Contacted","New Lead"))))))</f>
        <v/>
      </c>
      <c r="S157" s="6"/>
      <c r="T157" s="6" t="str">
        <f aca="true">IF(MAX(F157,I157,K157)=0,"",TODAY()-MAX(F157,I157,K157))</f>
        <v/>
      </c>
      <c r="U157" s="6"/>
      <c r="V157" s="6"/>
      <c r="W157" s="6" t="str">
        <f aca="false">IF(AND($A157="",$B157=""),"",IF(M157="Ambassador","1 - Ambassador",IF(M157="Member","2 - Member",IF(J157="Completed","3 - Presented",IF(H157&lt;&gt;"","4 - Sent",IF(F157&lt;&gt;"","5 - Contacted","6 - No Activity"))))))</f>
        <v/>
      </c>
      <c r="X157" s="6" t="n">
        <f aca="false">IF(AND($A157="",$B157=""),9999999+(ROW()-4),VALUE(LEFT($W157,1))*10000+(ROW()-4))</f>
        <v>10000152</v>
      </c>
    </row>
    <row r="158" customFormat="false" ht="15" hidden="false" customHeight="true" outlineLevel="0" collapsed="false">
      <c r="A158" s="6"/>
      <c r="B158" s="6"/>
      <c r="C158" s="6"/>
      <c r="D158" s="6"/>
      <c r="E158" s="6"/>
      <c r="F158" s="7"/>
      <c r="G158" s="6"/>
      <c r="H158" s="6"/>
      <c r="I158" s="7"/>
      <c r="J158" s="6"/>
      <c r="K158" s="7"/>
      <c r="L158" s="6"/>
      <c r="M158" s="6"/>
      <c r="N158" s="7"/>
      <c r="O158" s="6"/>
      <c r="P158" s="6"/>
      <c r="Q158" s="7"/>
      <c r="R158" s="6" t="str">
        <f aca="false">IF(AND($A158="",$B158=""),"",IF(Q158="Complete","Onboarded",IF(OR(M158="Member",M158="Ambassador"),"Sponsored",IF(K158&lt;&gt;"","Follow-Up",IF(I158&lt;&gt;"","Presented",IF(F158&lt;&gt;"","Contacted","New Lead"))))))</f>
        <v/>
      </c>
      <c r="S158" s="6"/>
      <c r="T158" s="6" t="str">
        <f aca="true">IF(MAX(F158,I158,K158)=0,"",TODAY()-MAX(F158,I158,K158))</f>
        <v/>
      </c>
      <c r="U158" s="6"/>
      <c r="V158" s="6"/>
      <c r="W158" s="6" t="str">
        <f aca="false">IF(AND($A158="",$B158=""),"",IF(M158="Ambassador","1 - Ambassador",IF(M158="Member","2 - Member",IF(J158="Completed","3 - Presented",IF(H158&lt;&gt;"","4 - Sent",IF(F158&lt;&gt;"","5 - Contacted","6 - No Activity"))))))</f>
        <v/>
      </c>
      <c r="X158" s="6" t="n">
        <f aca="false">IF(AND($A158="",$B158=""),9999999+(ROW()-4),VALUE(LEFT($W158,1))*10000+(ROW()-4))</f>
        <v>10000153</v>
      </c>
    </row>
    <row r="159" customFormat="false" ht="15" hidden="false" customHeight="true" outlineLevel="0" collapsed="false">
      <c r="A159" s="6"/>
      <c r="B159" s="6"/>
      <c r="C159" s="6"/>
      <c r="D159" s="6"/>
      <c r="E159" s="6"/>
      <c r="F159" s="7"/>
      <c r="G159" s="6"/>
      <c r="H159" s="6"/>
      <c r="I159" s="7"/>
      <c r="J159" s="6"/>
      <c r="K159" s="7"/>
      <c r="L159" s="6"/>
      <c r="M159" s="6"/>
      <c r="N159" s="7"/>
      <c r="O159" s="6"/>
      <c r="P159" s="6"/>
      <c r="Q159" s="7"/>
      <c r="R159" s="6" t="str">
        <f aca="false">IF(AND($A159="",$B159=""),"",IF(Q159="Complete","Onboarded",IF(OR(M159="Member",M159="Ambassador"),"Sponsored",IF(K159&lt;&gt;"","Follow-Up",IF(I159&lt;&gt;"","Presented",IF(F159&lt;&gt;"","Contacted","New Lead"))))))</f>
        <v/>
      </c>
      <c r="S159" s="6"/>
      <c r="T159" s="6" t="str">
        <f aca="true">IF(MAX(F159,I159,K159)=0,"",TODAY()-MAX(F159,I159,K159))</f>
        <v/>
      </c>
      <c r="U159" s="6"/>
      <c r="V159" s="6"/>
      <c r="W159" s="6" t="str">
        <f aca="false">IF(AND($A159="",$B159=""),"",IF(M159="Ambassador","1 - Ambassador",IF(M159="Member","2 - Member",IF(J159="Completed","3 - Presented",IF(H159&lt;&gt;"","4 - Sent",IF(F159&lt;&gt;"","5 - Contacted","6 - No Activity"))))))</f>
        <v/>
      </c>
      <c r="X159" s="6" t="n">
        <f aca="false">IF(AND($A159="",$B159=""),9999999+(ROW()-4),VALUE(LEFT($W159,1))*10000+(ROW()-4))</f>
        <v>10000154</v>
      </c>
    </row>
    <row r="160" customFormat="false" ht="15" hidden="false" customHeight="true" outlineLevel="0" collapsed="false">
      <c r="A160" s="6"/>
      <c r="B160" s="6"/>
      <c r="C160" s="6"/>
      <c r="D160" s="6"/>
      <c r="E160" s="6"/>
      <c r="F160" s="7"/>
      <c r="G160" s="6"/>
      <c r="H160" s="6"/>
      <c r="I160" s="7"/>
      <c r="J160" s="6"/>
      <c r="K160" s="7"/>
      <c r="L160" s="6"/>
      <c r="M160" s="6"/>
      <c r="N160" s="7"/>
      <c r="O160" s="6"/>
      <c r="P160" s="6"/>
      <c r="Q160" s="7"/>
      <c r="R160" s="6" t="str">
        <f aca="false">IF(AND($A160="",$B160=""),"",IF(Q160="Complete","Onboarded",IF(OR(M160="Member",M160="Ambassador"),"Sponsored",IF(K160&lt;&gt;"","Follow-Up",IF(I160&lt;&gt;"","Presented",IF(F160&lt;&gt;"","Contacted","New Lead"))))))</f>
        <v/>
      </c>
      <c r="S160" s="6"/>
      <c r="T160" s="6" t="str">
        <f aca="true">IF(MAX(F160,I160,K160)=0,"",TODAY()-MAX(F160,I160,K160))</f>
        <v/>
      </c>
      <c r="U160" s="6"/>
      <c r="V160" s="6"/>
      <c r="W160" s="6" t="str">
        <f aca="false">IF(AND($A160="",$B160=""),"",IF(M160="Ambassador","1 - Ambassador",IF(M160="Member","2 - Member",IF(J160="Completed","3 - Presented",IF(H160&lt;&gt;"","4 - Sent",IF(F160&lt;&gt;"","5 - Contacted","6 - No Activity"))))))</f>
        <v/>
      </c>
      <c r="X160" s="6" t="n">
        <f aca="false">IF(AND($A160="",$B160=""),9999999+(ROW()-4),VALUE(LEFT($W160,1))*10000+(ROW()-4))</f>
        <v>10000155</v>
      </c>
    </row>
    <row r="161" customFormat="false" ht="15" hidden="false" customHeight="true" outlineLevel="0" collapsed="false">
      <c r="A161" s="6"/>
      <c r="B161" s="6"/>
      <c r="C161" s="6"/>
      <c r="D161" s="6"/>
      <c r="E161" s="6"/>
      <c r="F161" s="7"/>
      <c r="G161" s="6"/>
      <c r="H161" s="6"/>
      <c r="I161" s="7"/>
      <c r="J161" s="6"/>
      <c r="K161" s="7"/>
      <c r="L161" s="6"/>
      <c r="M161" s="6"/>
      <c r="N161" s="7"/>
      <c r="O161" s="6"/>
      <c r="P161" s="6"/>
      <c r="Q161" s="7"/>
      <c r="R161" s="6" t="str">
        <f aca="false">IF(AND($A161="",$B161=""),"",IF(Q161="Complete","Onboarded",IF(OR(M161="Member",M161="Ambassador"),"Sponsored",IF(K161&lt;&gt;"","Follow-Up",IF(I161&lt;&gt;"","Presented",IF(F161&lt;&gt;"","Contacted","New Lead"))))))</f>
        <v/>
      </c>
      <c r="S161" s="6"/>
      <c r="T161" s="6" t="str">
        <f aca="true">IF(MAX(F161,I161,K161)=0,"",TODAY()-MAX(F161,I161,K161))</f>
        <v/>
      </c>
      <c r="U161" s="6"/>
      <c r="V161" s="6"/>
      <c r="W161" s="6" t="str">
        <f aca="false">IF(AND($A161="",$B161=""),"",IF(M161="Ambassador","1 - Ambassador",IF(M161="Member","2 - Member",IF(J161="Completed","3 - Presented",IF(H161&lt;&gt;"","4 - Sent",IF(F161&lt;&gt;"","5 - Contacted","6 - No Activity"))))))</f>
        <v/>
      </c>
      <c r="X161" s="6" t="n">
        <f aca="false">IF(AND($A161="",$B161=""),9999999+(ROW()-4),VALUE(LEFT($W161,1))*10000+(ROW()-4))</f>
        <v>10000156</v>
      </c>
    </row>
    <row r="162" customFormat="false" ht="15" hidden="false" customHeight="true" outlineLevel="0" collapsed="false">
      <c r="A162" s="6"/>
      <c r="B162" s="6"/>
      <c r="C162" s="6"/>
      <c r="D162" s="6"/>
      <c r="E162" s="6"/>
      <c r="F162" s="7"/>
      <c r="G162" s="6"/>
      <c r="H162" s="6"/>
      <c r="I162" s="7"/>
      <c r="J162" s="6"/>
      <c r="K162" s="7"/>
      <c r="L162" s="6"/>
      <c r="M162" s="6"/>
      <c r="N162" s="7"/>
      <c r="O162" s="6"/>
      <c r="P162" s="6"/>
      <c r="Q162" s="7"/>
      <c r="R162" s="6" t="str">
        <f aca="false">IF(AND($A162="",$B162=""),"",IF(Q162="Complete","Onboarded",IF(OR(M162="Member",M162="Ambassador"),"Sponsored",IF(K162&lt;&gt;"","Follow-Up",IF(I162&lt;&gt;"","Presented",IF(F162&lt;&gt;"","Contacted","New Lead"))))))</f>
        <v/>
      </c>
      <c r="S162" s="6"/>
      <c r="T162" s="6" t="str">
        <f aca="true">IF(MAX(F162,I162,K162)=0,"",TODAY()-MAX(F162,I162,K162))</f>
        <v/>
      </c>
      <c r="U162" s="6"/>
      <c r="V162" s="6"/>
      <c r="W162" s="6" t="str">
        <f aca="false">IF(AND($A162="",$B162=""),"",IF(M162="Ambassador","1 - Ambassador",IF(M162="Member","2 - Member",IF(J162="Completed","3 - Presented",IF(H162&lt;&gt;"","4 - Sent",IF(F162&lt;&gt;"","5 - Contacted","6 - No Activity"))))))</f>
        <v/>
      </c>
      <c r="X162" s="6" t="n">
        <f aca="false">IF(AND($A162="",$B162=""),9999999+(ROW()-4),VALUE(LEFT($W162,1))*10000+(ROW()-4))</f>
        <v>10000157</v>
      </c>
    </row>
    <row r="163" customFormat="false" ht="15" hidden="false" customHeight="true" outlineLevel="0" collapsed="false">
      <c r="A163" s="6"/>
      <c r="B163" s="6"/>
      <c r="C163" s="6"/>
      <c r="D163" s="6"/>
      <c r="E163" s="6"/>
      <c r="F163" s="7"/>
      <c r="G163" s="6"/>
      <c r="H163" s="6"/>
      <c r="I163" s="7"/>
      <c r="J163" s="6"/>
      <c r="K163" s="7"/>
      <c r="L163" s="6"/>
      <c r="M163" s="6"/>
      <c r="N163" s="7"/>
      <c r="O163" s="6"/>
      <c r="P163" s="6"/>
      <c r="Q163" s="7"/>
      <c r="R163" s="6" t="str">
        <f aca="false">IF(AND($A163="",$B163=""),"",IF(Q163="Complete","Onboarded",IF(OR(M163="Member",M163="Ambassador"),"Sponsored",IF(K163&lt;&gt;"","Follow-Up",IF(I163&lt;&gt;"","Presented",IF(F163&lt;&gt;"","Contacted","New Lead"))))))</f>
        <v/>
      </c>
      <c r="S163" s="6"/>
      <c r="T163" s="6" t="str">
        <f aca="true">IF(MAX(F163,I163,K163)=0,"",TODAY()-MAX(F163,I163,K163))</f>
        <v/>
      </c>
      <c r="U163" s="6"/>
      <c r="V163" s="6"/>
      <c r="W163" s="6" t="str">
        <f aca="false">IF(AND($A163="",$B163=""),"",IF(M163="Ambassador","1 - Ambassador",IF(M163="Member","2 - Member",IF(J163="Completed","3 - Presented",IF(H163&lt;&gt;"","4 - Sent",IF(F163&lt;&gt;"","5 - Contacted","6 - No Activity"))))))</f>
        <v/>
      </c>
      <c r="X163" s="6" t="n">
        <f aca="false">IF(AND($A163="",$B163=""),9999999+(ROW()-4),VALUE(LEFT($W163,1))*10000+(ROW()-4))</f>
        <v>10000158</v>
      </c>
    </row>
    <row r="164" customFormat="false" ht="15" hidden="false" customHeight="true" outlineLevel="0" collapsed="false">
      <c r="A164" s="6"/>
      <c r="B164" s="6"/>
      <c r="C164" s="6"/>
      <c r="D164" s="6"/>
      <c r="E164" s="6"/>
      <c r="F164" s="7"/>
      <c r="G164" s="6"/>
      <c r="H164" s="6"/>
      <c r="I164" s="7"/>
      <c r="J164" s="6"/>
      <c r="K164" s="7"/>
      <c r="L164" s="6"/>
      <c r="M164" s="6"/>
      <c r="N164" s="7"/>
      <c r="O164" s="6"/>
      <c r="P164" s="6"/>
      <c r="Q164" s="7"/>
      <c r="R164" s="6" t="str">
        <f aca="false">IF(AND($A164="",$B164=""),"",IF(Q164="Complete","Onboarded",IF(OR(M164="Member",M164="Ambassador"),"Sponsored",IF(K164&lt;&gt;"","Follow-Up",IF(I164&lt;&gt;"","Presented",IF(F164&lt;&gt;"","Contacted","New Lead"))))))</f>
        <v/>
      </c>
      <c r="S164" s="6"/>
      <c r="T164" s="6" t="str">
        <f aca="true">IF(MAX(F164,I164,K164)=0,"",TODAY()-MAX(F164,I164,K164))</f>
        <v/>
      </c>
      <c r="U164" s="6"/>
      <c r="V164" s="6"/>
      <c r="W164" s="6" t="str">
        <f aca="false">IF(AND($A164="",$B164=""),"",IF(M164="Ambassador","1 - Ambassador",IF(M164="Member","2 - Member",IF(J164="Completed","3 - Presented",IF(H164&lt;&gt;"","4 - Sent",IF(F164&lt;&gt;"","5 - Contacted","6 - No Activity"))))))</f>
        <v/>
      </c>
      <c r="X164" s="6" t="n">
        <f aca="false">IF(AND($A164="",$B164=""),9999999+(ROW()-4),VALUE(LEFT($W164,1))*10000+(ROW()-4))</f>
        <v>10000159</v>
      </c>
    </row>
    <row r="165" customFormat="false" ht="15" hidden="false" customHeight="true" outlineLevel="0" collapsed="false">
      <c r="A165" s="6"/>
      <c r="B165" s="6"/>
      <c r="C165" s="6"/>
      <c r="D165" s="6"/>
      <c r="E165" s="6"/>
      <c r="F165" s="7"/>
      <c r="G165" s="6"/>
      <c r="H165" s="6"/>
      <c r="I165" s="7"/>
      <c r="J165" s="6"/>
      <c r="K165" s="7"/>
      <c r="L165" s="6"/>
      <c r="M165" s="6"/>
      <c r="N165" s="7"/>
      <c r="O165" s="6"/>
      <c r="P165" s="6"/>
      <c r="Q165" s="7"/>
      <c r="R165" s="6" t="str">
        <f aca="false">IF(AND($A165="",$B165=""),"",IF(Q165="Complete","Onboarded",IF(OR(M165="Member",M165="Ambassador"),"Sponsored",IF(K165&lt;&gt;"","Follow-Up",IF(I165&lt;&gt;"","Presented",IF(F165&lt;&gt;"","Contacted","New Lead"))))))</f>
        <v/>
      </c>
      <c r="S165" s="6"/>
      <c r="T165" s="6" t="str">
        <f aca="true">IF(MAX(F165,I165,K165)=0,"",TODAY()-MAX(F165,I165,K165))</f>
        <v/>
      </c>
      <c r="U165" s="6"/>
      <c r="V165" s="6"/>
      <c r="W165" s="6" t="str">
        <f aca="false">IF(AND($A165="",$B165=""),"",IF(M165="Ambassador","1 - Ambassador",IF(M165="Member","2 - Member",IF(J165="Completed","3 - Presented",IF(H165&lt;&gt;"","4 - Sent",IF(F165&lt;&gt;"","5 - Contacted","6 - No Activity"))))))</f>
        <v/>
      </c>
      <c r="X165" s="6" t="n">
        <f aca="false">IF(AND($A165="",$B165=""),9999999+(ROW()-4),VALUE(LEFT($W165,1))*10000+(ROW()-4))</f>
        <v>10000160</v>
      </c>
    </row>
    <row r="166" customFormat="false" ht="15" hidden="false" customHeight="true" outlineLevel="0" collapsed="false">
      <c r="A166" s="6"/>
      <c r="B166" s="6"/>
      <c r="C166" s="6"/>
      <c r="D166" s="6"/>
      <c r="E166" s="6"/>
      <c r="F166" s="7"/>
      <c r="G166" s="6"/>
      <c r="H166" s="6"/>
      <c r="I166" s="7"/>
      <c r="J166" s="6"/>
      <c r="K166" s="7"/>
      <c r="L166" s="6"/>
      <c r="M166" s="6"/>
      <c r="N166" s="7"/>
      <c r="O166" s="6"/>
      <c r="P166" s="6"/>
      <c r="Q166" s="7"/>
      <c r="R166" s="6" t="str">
        <f aca="false">IF(AND($A166="",$B166=""),"",IF(Q166="Complete","Onboarded",IF(OR(M166="Member",M166="Ambassador"),"Sponsored",IF(K166&lt;&gt;"","Follow-Up",IF(I166&lt;&gt;"","Presented",IF(F166&lt;&gt;"","Contacted","New Lead"))))))</f>
        <v/>
      </c>
      <c r="S166" s="6"/>
      <c r="T166" s="6" t="str">
        <f aca="true">IF(MAX(F166,I166,K166)=0,"",TODAY()-MAX(F166,I166,K166))</f>
        <v/>
      </c>
      <c r="U166" s="6"/>
      <c r="V166" s="6"/>
      <c r="W166" s="6" t="str">
        <f aca="false">IF(AND($A166="",$B166=""),"",IF(M166="Ambassador","1 - Ambassador",IF(M166="Member","2 - Member",IF(J166="Completed","3 - Presented",IF(H166&lt;&gt;"","4 - Sent",IF(F166&lt;&gt;"","5 - Contacted","6 - No Activity"))))))</f>
        <v/>
      </c>
      <c r="X166" s="6" t="n">
        <f aca="false">IF(AND($A166="",$B166=""),9999999+(ROW()-4),VALUE(LEFT($W166,1))*10000+(ROW()-4))</f>
        <v>10000161</v>
      </c>
    </row>
    <row r="167" customFormat="false" ht="15" hidden="false" customHeight="true" outlineLevel="0" collapsed="false">
      <c r="A167" s="6"/>
      <c r="B167" s="6"/>
      <c r="C167" s="6"/>
      <c r="D167" s="6"/>
      <c r="E167" s="6"/>
      <c r="F167" s="7"/>
      <c r="G167" s="6"/>
      <c r="H167" s="6"/>
      <c r="I167" s="7"/>
      <c r="J167" s="6"/>
      <c r="K167" s="7"/>
      <c r="L167" s="6"/>
      <c r="M167" s="6"/>
      <c r="N167" s="7"/>
      <c r="O167" s="6"/>
      <c r="P167" s="6"/>
      <c r="Q167" s="7"/>
      <c r="R167" s="6" t="str">
        <f aca="false">IF(AND($A167="",$B167=""),"",IF(Q167="Complete","Onboarded",IF(OR(M167="Member",M167="Ambassador"),"Sponsored",IF(K167&lt;&gt;"","Follow-Up",IF(I167&lt;&gt;"","Presented",IF(F167&lt;&gt;"","Contacted","New Lead"))))))</f>
        <v/>
      </c>
      <c r="S167" s="6"/>
      <c r="T167" s="6" t="str">
        <f aca="true">IF(MAX(F167,I167,K167)=0,"",TODAY()-MAX(F167,I167,K167))</f>
        <v/>
      </c>
      <c r="U167" s="6"/>
      <c r="V167" s="6"/>
      <c r="W167" s="6" t="str">
        <f aca="false">IF(AND($A167="",$B167=""),"",IF(M167="Ambassador","1 - Ambassador",IF(M167="Member","2 - Member",IF(J167="Completed","3 - Presented",IF(H167&lt;&gt;"","4 - Sent",IF(F167&lt;&gt;"","5 - Contacted","6 - No Activity"))))))</f>
        <v/>
      </c>
      <c r="X167" s="6" t="n">
        <f aca="false">IF(AND($A167="",$B167=""),9999999+(ROW()-4),VALUE(LEFT($W167,1))*10000+(ROW()-4))</f>
        <v>10000162</v>
      </c>
    </row>
    <row r="168" customFormat="false" ht="15" hidden="false" customHeight="true" outlineLevel="0" collapsed="false">
      <c r="A168" s="6"/>
      <c r="B168" s="6"/>
      <c r="C168" s="6"/>
      <c r="D168" s="6"/>
      <c r="E168" s="6"/>
      <c r="F168" s="7"/>
      <c r="G168" s="6"/>
      <c r="H168" s="6"/>
      <c r="I168" s="7"/>
      <c r="J168" s="6"/>
      <c r="K168" s="7"/>
      <c r="L168" s="6"/>
      <c r="M168" s="6"/>
      <c r="N168" s="7"/>
      <c r="O168" s="6"/>
      <c r="P168" s="6"/>
      <c r="Q168" s="7"/>
      <c r="R168" s="6" t="str">
        <f aca="false">IF(AND($A168="",$B168=""),"",IF(Q168="Complete","Onboarded",IF(OR(M168="Member",M168="Ambassador"),"Sponsored",IF(K168&lt;&gt;"","Follow-Up",IF(I168&lt;&gt;"","Presented",IF(F168&lt;&gt;"","Contacted","New Lead"))))))</f>
        <v/>
      </c>
      <c r="S168" s="6"/>
      <c r="T168" s="6" t="str">
        <f aca="true">IF(MAX(F168,I168,K168)=0,"",TODAY()-MAX(F168,I168,K168))</f>
        <v/>
      </c>
      <c r="U168" s="6"/>
      <c r="V168" s="6"/>
      <c r="W168" s="6" t="str">
        <f aca="false">IF(AND($A168="",$B168=""),"",IF(M168="Ambassador","1 - Ambassador",IF(M168="Member","2 - Member",IF(J168="Completed","3 - Presented",IF(H168&lt;&gt;"","4 - Sent",IF(F168&lt;&gt;"","5 - Contacted","6 - No Activity"))))))</f>
        <v/>
      </c>
      <c r="X168" s="6" t="n">
        <f aca="false">IF(AND($A168="",$B168=""),9999999+(ROW()-4),VALUE(LEFT($W168,1))*10000+(ROW()-4))</f>
        <v>10000163</v>
      </c>
    </row>
    <row r="169" customFormat="false" ht="15" hidden="false" customHeight="true" outlineLevel="0" collapsed="false">
      <c r="A169" s="6"/>
      <c r="B169" s="6"/>
      <c r="C169" s="6"/>
      <c r="D169" s="6"/>
      <c r="E169" s="6"/>
      <c r="F169" s="7"/>
      <c r="G169" s="6"/>
      <c r="H169" s="6"/>
      <c r="I169" s="7"/>
      <c r="J169" s="6"/>
      <c r="K169" s="7"/>
      <c r="L169" s="6"/>
      <c r="M169" s="6"/>
      <c r="N169" s="7"/>
      <c r="O169" s="6"/>
      <c r="P169" s="6"/>
      <c r="Q169" s="7"/>
      <c r="R169" s="6" t="str">
        <f aca="false">IF(AND($A169="",$B169=""),"",IF(Q169="Complete","Onboarded",IF(OR(M169="Member",M169="Ambassador"),"Sponsored",IF(K169&lt;&gt;"","Follow-Up",IF(I169&lt;&gt;"","Presented",IF(F169&lt;&gt;"","Contacted","New Lead"))))))</f>
        <v/>
      </c>
      <c r="S169" s="6"/>
      <c r="T169" s="6" t="str">
        <f aca="true">IF(MAX(F169,I169,K169)=0,"",TODAY()-MAX(F169,I169,K169))</f>
        <v/>
      </c>
      <c r="U169" s="6"/>
      <c r="V169" s="6"/>
      <c r="W169" s="6" t="str">
        <f aca="false">IF(AND($A169="",$B169=""),"",IF(M169="Ambassador","1 - Ambassador",IF(M169="Member","2 - Member",IF(J169="Completed","3 - Presented",IF(H169&lt;&gt;"","4 - Sent",IF(F169&lt;&gt;"","5 - Contacted","6 - No Activity"))))))</f>
        <v/>
      </c>
      <c r="X169" s="6" t="n">
        <f aca="false">IF(AND($A169="",$B169=""),9999999+(ROW()-4),VALUE(LEFT($W169,1))*10000+(ROW()-4))</f>
        <v>10000164</v>
      </c>
    </row>
    <row r="170" customFormat="false" ht="15" hidden="false" customHeight="true" outlineLevel="0" collapsed="false">
      <c r="A170" s="6"/>
      <c r="B170" s="6"/>
      <c r="C170" s="6"/>
      <c r="D170" s="6"/>
      <c r="E170" s="6"/>
      <c r="F170" s="7"/>
      <c r="G170" s="6"/>
      <c r="H170" s="6"/>
      <c r="I170" s="7"/>
      <c r="J170" s="6"/>
      <c r="K170" s="7"/>
      <c r="L170" s="6"/>
      <c r="M170" s="6"/>
      <c r="N170" s="7"/>
      <c r="O170" s="6"/>
      <c r="P170" s="6"/>
      <c r="Q170" s="7"/>
      <c r="R170" s="6" t="str">
        <f aca="false">IF(AND($A170="",$B170=""),"",IF(Q170="Complete","Onboarded",IF(OR(M170="Member",M170="Ambassador"),"Sponsored",IF(K170&lt;&gt;"","Follow-Up",IF(I170&lt;&gt;"","Presented",IF(F170&lt;&gt;"","Contacted","New Lead"))))))</f>
        <v/>
      </c>
      <c r="S170" s="6"/>
      <c r="T170" s="6" t="str">
        <f aca="true">IF(MAX(F170,I170,K170)=0,"",TODAY()-MAX(F170,I170,K170))</f>
        <v/>
      </c>
      <c r="U170" s="6"/>
      <c r="V170" s="6"/>
      <c r="W170" s="6" t="str">
        <f aca="false">IF(AND($A170="",$B170=""),"",IF(M170="Ambassador","1 - Ambassador",IF(M170="Member","2 - Member",IF(J170="Completed","3 - Presented",IF(H170&lt;&gt;"","4 - Sent",IF(F170&lt;&gt;"","5 - Contacted","6 - No Activity"))))))</f>
        <v/>
      </c>
      <c r="X170" s="6" t="n">
        <f aca="false">IF(AND($A170="",$B170=""),9999999+(ROW()-4),VALUE(LEFT($W170,1))*10000+(ROW()-4))</f>
        <v>10000165</v>
      </c>
    </row>
    <row r="171" customFormat="false" ht="15" hidden="false" customHeight="true" outlineLevel="0" collapsed="false">
      <c r="A171" s="6"/>
      <c r="B171" s="6"/>
      <c r="C171" s="6"/>
      <c r="D171" s="6"/>
      <c r="E171" s="6"/>
      <c r="F171" s="7"/>
      <c r="G171" s="6"/>
      <c r="H171" s="6"/>
      <c r="I171" s="7"/>
      <c r="J171" s="6"/>
      <c r="K171" s="7"/>
      <c r="L171" s="6"/>
      <c r="M171" s="6"/>
      <c r="N171" s="7"/>
      <c r="O171" s="6"/>
      <c r="P171" s="6"/>
      <c r="Q171" s="7"/>
      <c r="R171" s="6" t="str">
        <f aca="false">IF(AND($A171="",$B171=""),"",IF(Q171="Complete","Onboarded",IF(OR(M171="Member",M171="Ambassador"),"Sponsored",IF(K171&lt;&gt;"","Follow-Up",IF(I171&lt;&gt;"","Presented",IF(F171&lt;&gt;"","Contacted","New Lead"))))))</f>
        <v/>
      </c>
      <c r="S171" s="6"/>
      <c r="T171" s="6" t="str">
        <f aca="true">IF(MAX(F171,I171,K171)=0,"",TODAY()-MAX(F171,I171,K171))</f>
        <v/>
      </c>
      <c r="U171" s="6"/>
      <c r="V171" s="6"/>
      <c r="W171" s="6" t="str">
        <f aca="false">IF(AND($A171="",$B171=""),"",IF(M171="Ambassador","1 - Ambassador",IF(M171="Member","2 - Member",IF(J171="Completed","3 - Presented",IF(H171&lt;&gt;"","4 - Sent",IF(F171&lt;&gt;"","5 - Contacted","6 - No Activity"))))))</f>
        <v/>
      </c>
      <c r="X171" s="6" t="n">
        <f aca="false">IF(AND($A171="",$B171=""),9999999+(ROW()-4),VALUE(LEFT($W171,1))*10000+(ROW()-4))</f>
        <v>10000166</v>
      </c>
    </row>
    <row r="172" customFormat="false" ht="15" hidden="false" customHeight="true" outlineLevel="0" collapsed="false">
      <c r="A172" s="6"/>
      <c r="B172" s="6"/>
      <c r="C172" s="6"/>
      <c r="D172" s="6"/>
      <c r="E172" s="6"/>
      <c r="F172" s="7"/>
      <c r="G172" s="6"/>
      <c r="H172" s="6"/>
      <c r="I172" s="7"/>
      <c r="J172" s="6"/>
      <c r="K172" s="7"/>
      <c r="L172" s="6"/>
      <c r="M172" s="6"/>
      <c r="N172" s="7"/>
      <c r="O172" s="6"/>
      <c r="P172" s="6"/>
      <c r="Q172" s="7"/>
      <c r="R172" s="6" t="str">
        <f aca="false">IF(AND($A172="",$B172=""),"",IF(Q172="Complete","Onboarded",IF(OR(M172="Member",M172="Ambassador"),"Sponsored",IF(K172&lt;&gt;"","Follow-Up",IF(I172&lt;&gt;"","Presented",IF(F172&lt;&gt;"","Contacted","New Lead"))))))</f>
        <v/>
      </c>
      <c r="S172" s="6"/>
      <c r="T172" s="6" t="str">
        <f aca="true">IF(MAX(F172,I172,K172)=0,"",TODAY()-MAX(F172,I172,K172))</f>
        <v/>
      </c>
      <c r="U172" s="6"/>
      <c r="V172" s="6"/>
      <c r="W172" s="6" t="str">
        <f aca="false">IF(AND($A172="",$B172=""),"",IF(M172="Ambassador","1 - Ambassador",IF(M172="Member","2 - Member",IF(J172="Completed","3 - Presented",IF(H172&lt;&gt;"","4 - Sent",IF(F172&lt;&gt;"","5 - Contacted","6 - No Activity"))))))</f>
        <v/>
      </c>
      <c r="X172" s="6" t="n">
        <f aca="false">IF(AND($A172="",$B172=""),9999999+(ROW()-4),VALUE(LEFT($W172,1))*10000+(ROW()-4))</f>
        <v>10000167</v>
      </c>
    </row>
    <row r="173" customFormat="false" ht="15" hidden="false" customHeight="true" outlineLevel="0" collapsed="false">
      <c r="A173" s="6"/>
      <c r="B173" s="6"/>
      <c r="C173" s="6"/>
      <c r="D173" s="6"/>
      <c r="E173" s="6"/>
      <c r="F173" s="7"/>
      <c r="G173" s="6"/>
      <c r="H173" s="6"/>
      <c r="I173" s="7"/>
      <c r="J173" s="6"/>
      <c r="K173" s="7"/>
      <c r="L173" s="6"/>
      <c r="M173" s="6"/>
      <c r="N173" s="7"/>
      <c r="O173" s="6"/>
      <c r="P173" s="6"/>
      <c r="Q173" s="7"/>
      <c r="R173" s="6" t="str">
        <f aca="false">IF(AND($A173="",$B173=""),"",IF(Q173="Complete","Onboarded",IF(OR(M173="Member",M173="Ambassador"),"Sponsored",IF(K173&lt;&gt;"","Follow-Up",IF(I173&lt;&gt;"","Presented",IF(F173&lt;&gt;"","Contacted","New Lead"))))))</f>
        <v/>
      </c>
      <c r="S173" s="6"/>
      <c r="T173" s="6" t="str">
        <f aca="true">IF(MAX(F173,I173,K173)=0,"",TODAY()-MAX(F173,I173,K173))</f>
        <v/>
      </c>
      <c r="U173" s="6"/>
      <c r="V173" s="6"/>
      <c r="W173" s="6" t="str">
        <f aca="false">IF(AND($A173="",$B173=""),"",IF(M173="Ambassador","1 - Ambassador",IF(M173="Member","2 - Member",IF(J173="Completed","3 - Presented",IF(H173&lt;&gt;"","4 - Sent",IF(F173&lt;&gt;"","5 - Contacted","6 - No Activity"))))))</f>
        <v/>
      </c>
      <c r="X173" s="6" t="n">
        <f aca="false">IF(AND($A173="",$B173=""),9999999+(ROW()-4),VALUE(LEFT($W173,1))*10000+(ROW()-4))</f>
        <v>10000168</v>
      </c>
    </row>
    <row r="174" customFormat="false" ht="15" hidden="false" customHeight="true" outlineLevel="0" collapsed="false">
      <c r="A174" s="6"/>
      <c r="B174" s="6"/>
      <c r="C174" s="6"/>
      <c r="D174" s="6"/>
      <c r="E174" s="6"/>
      <c r="F174" s="7"/>
      <c r="G174" s="6"/>
      <c r="H174" s="6"/>
      <c r="I174" s="7"/>
      <c r="J174" s="6"/>
      <c r="K174" s="7"/>
      <c r="L174" s="6"/>
      <c r="M174" s="6"/>
      <c r="N174" s="7"/>
      <c r="O174" s="6"/>
      <c r="P174" s="6"/>
      <c r="Q174" s="7"/>
      <c r="R174" s="6" t="str">
        <f aca="false">IF(AND($A174="",$B174=""),"",IF(Q174="Complete","Onboarded",IF(OR(M174="Member",M174="Ambassador"),"Sponsored",IF(K174&lt;&gt;"","Follow-Up",IF(I174&lt;&gt;"","Presented",IF(F174&lt;&gt;"","Contacted","New Lead"))))))</f>
        <v/>
      </c>
      <c r="S174" s="6"/>
      <c r="T174" s="6" t="str">
        <f aca="true">IF(MAX(F174,I174,K174)=0,"",TODAY()-MAX(F174,I174,K174))</f>
        <v/>
      </c>
      <c r="U174" s="6"/>
      <c r="V174" s="6"/>
      <c r="W174" s="6" t="str">
        <f aca="false">IF(AND($A174="",$B174=""),"",IF(M174="Ambassador","1 - Ambassador",IF(M174="Member","2 - Member",IF(J174="Completed","3 - Presented",IF(H174&lt;&gt;"","4 - Sent",IF(F174&lt;&gt;"","5 - Contacted","6 - No Activity"))))))</f>
        <v/>
      </c>
      <c r="X174" s="6" t="n">
        <f aca="false">IF(AND($A174="",$B174=""),9999999+(ROW()-4),VALUE(LEFT($W174,1))*10000+(ROW()-4))</f>
        <v>10000169</v>
      </c>
    </row>
    <row r="175" customFormat="false" ht="15" hidden="false" customHeight="true" outlineLevel="0" collapsed="false">
      <c r="A175" s="6"/>
      <c r="B175" s="6"/>
      <c r="C175" s="6"/>
      <c r="D175" s="6"/>
      <c r="E175" s="6"/>
      <c r="F175" s="7"/>
      <c r="G175" s="6"/>
      <c r="H175" s="6"/>
      <c r="I175" s="7"/>
      <c r="J175" s="6"/>
      <c r="K175" s="7"/>
      <c r="L175" s="6"/>
      <c r="M175" s="6"/>
      <c r="N175" s="7"/>
      <c r="O175" s="6"/>
      <c r="P175" s="6"/>
      <c r="Q175" s="7"/>
      <c r="R175" s="6" t="str">
        <f aca="false">IF(AND($A175="",$B175=""),"",IF(Q175="Complete","Onboarded",IF(OR(M175="Member",M175="Ambassador"),"Sponsored",IF(K175&lt;&gt;"","Follow-Up",IF(I175&lt;&gt;"","Presented",IF(F175&lt;&gt;"","Contacted","New Lead"))))))</f>
        <v/>
      </c>
      <c r="S175" s="6"/>
      <c r="T175" s="6" t="str">
        <f aca="true">IF(MAX(F175,I175,K175)=0,"",TODAY()-MAX(F175,I175,K175))</f>
        <v/>
      </c>
      <c r="U175" s="6"/>
      <c r="V175" s="6"/>
      <c r="W175" s="6" t="str">
        <f aca="false">IF(AND($A175="",$B175=""),"",IF(M175="Ambassador","1 - Ambassador",IF(M175="Member","2 - Member",IF(J175="Completed","3 - Presented",IF(H175&lt;&gt;"","4 - Sent",IF(F175&lt;&gt;"","5 - Contacted","6 - No Activity"))))))</f>
        <v/>
      </c>
      <c r="X175" s="6" t="n">
        <f aca="false">IF(AND($A175="",$B175=""),9999999+(ROW()-4),VALUE(LEFT($W175,1))*10000+(ROW()-4))</f>
        <v>10000170</v>
      </c>
    </row>
    <row r="176" customFormat="false" ht="15" hidden="false" customHeight="true" outlineLevel="0" collapsed="false">
      <c r="A176" s="6"/>
      <c r="B176" s="6"/>
      <c r="C176" s="6"/>
      <c r="D176" s="6"/>
      <c r="E176" s="6"/>
      <c r="F176" s="7"/>
      <c r="G176" s="6"/>
      <c r="H176" s="6"/>
      <c r="I176" s="7"/>
      <c r="J176" s="6"/>
      <c r="K176" s="7"/>
      <c r="L176" s="6"/>
      <c r="M176" s="6"/>
      <c r="N176" s="7"/>
      <c r="O176" s="6"/>
      <c r="P176" s="6"/>
      <c r="Q176" s="7"/>
      <c r="R176" s="6" t="str">
        <f aca="false">IF(AND($A176="",$B176=""),"",IF(Q176="Complete","Onboarded",IF(OR(M176="Member",M176="Ambassador"),"Sponsored",IF(K176&lt;&gt;"","Follow-Up",IF(I176&lt;&gt;"","Presented",IF(F176&lt;&gt;"","Contacted","New Lead"))))))</f>
        <v/>
      </c>
      <c r="S176" s="6"/>
      <c r="T176" s="6" t="str">
        <f aca="true">IF(MAX(F176,I176,K176)=0,"",TODAY()-MAX(F176,I176,K176))</f>
        <v/>
      </c>
      <c r="U176" s="6"/>
      <c r="V176" s="6"/>
      <c r="W176" s="6" t="str">
        <f aca="false">IF(AND($A176="",$B176=""),"",IF(M176="Ambassador","1 - Ambassador",IF(M176="Member","2 - Member",IF(J176="Completed","3 - Presented",IF(H176&lt;&gt;"","4 - Sent",IF(F176&lt;&gt;"","5 - Contacted","6 - No Activity"))))))</f>
        <v/>
      </c>
      <c r="X176" s="6" t="n">
        <f aca="false">IF(AND($A176="",$B176=""),9999999+(ROW()-4),VALUE(LEFT($W176,1))*10000+(ROW()-4))</f>
        <v>10000171</v>
      </c>
    </row>
    <row r="177" customFormat="false" ht="15" hidden="false" customHeight="true" outlineLevel="0" collapsed="false">
      <c r="A177" s="6"/>
      <c r="B177" s="6"/>
      <c r="C177" s="6"/>
      <c r="D177" s="6"/>
      <c r="E177" s="6"/>
      <c r="F177" s="7"/>
      <c r="G177" s="6"/>
      <c r="H177" s="6"/>
      <c r="I177" s="7"/>
      <c r="J177" s="6"/>
      <c r="K177" s="7"/>
      <c r="L177" s="6"/>
      <c r="M177" s="6"/>
      <c r="N177" s="7"/>
      <c r="O177" s="6"/>
      <c r="P177" s="6"/>
      <c r="Q177" s="7"/>
      <c r="R177" s="6" t="str">
        <f aca="false">IF(AND($A177="",$B177=""),"",IF(Q177="Complete","Onboarded",IF(OR(M177="Member",M177="Ambassador"),"Sponsored",IF(K177&lt;&gt;"","Follow-Up",IF(I177&lt;&gt;"","Presented",IF(F177&lt;&gt;"","Contacted","New Lead"))))))</f>
        <v/>
      </c>
      <c r="S177" s="6"/>
      <c r="T177" s="6" t="str">
        <f aca="true">IF(MAX(F177,I177,K177)=0,"",TODAY()-MAX(F177,I177,K177))</f>
        <v/>
      </c>
      <c r="U177" s="6"/>
      <c r="V177" s="6"/>
      <c r="W177" s="6" t="str">
        <f aca="false">IF(AND($A177="",$B177=""),"",IF(M177="Ambassador","1 - Ambassador",IF(M177="Member","2 - Member",IF(J177="Completed","3 - Presented",IF(H177&lt;&gt;"","4 - Sent",IF(F177&lt;&gt;"","5 - Contacted","6 - No Activity"))))))</f>
        <v/>
      </c>
      <c r="X177" s="6" t="n">
        <f aca="false">IF(AND($A177="",$B177=""),9999999+(ROW()-4),VALUE(LEFT($W177,1))*10000+(ROW()-4))</f>
        <v>10000172</v>
      </c>
    </row>
    <row r="178" customFormat="false" ht="15" hidden="false" customHeight="true" outlineLevel="0" collapsed="false">
      <c r="A178" s="6"/>
      <c r="B178" s="6"/>
      <c r="C178" s="6"/>
      <c r="D178" s="6"/>
      <c r="E178" s="6"/>
      <c r="F178" s="7"/>
      <c r="G178" s="6"/>
      <c r="H178" s="6"/>
      <c r="I178" s="7"/>
      <c r="J178" s="6"/>
      <c r="K178" s="7"/>
      <c r="L178" s="6"/>
      <c r="M178" s="6"/>
      <c r="N178" s="7"/>
      <c r="O178" s="6"/>
      <c r="P178" s="6"/>
      <c r="Q178" s="7"/>
      <c r="R178" s="6" t="str">
        <f aca="false">IF(AND($A178="",$B178=""),"",IF(Q178="Complete","Onboarded",IF(OR(M178="Member",M178="Ambassador"),"Sponsored",IF(K178&lt;&gt;"","Follow-Up",IF(I178&lt;&gt;"","Presented",IF(F178&lt;&gt;"","Contacted","New Lead"))))))</f>
        <v/>
      </c>
      <c r="S178" s="6"/>
      <c r="T178" s="6" t="str">
        <f aca="true">IF(MAX(F178,I178,K178)=0,"",TODAY()-MAX(F178,I178,K178))</f>
        <v/>
      </c>
      <c r="U178" s="6"/>
      <c r="V178" s="6"/>
      <c r="W178" s="6" t="str">
        <f aca="false">IF(AND($A178="",$B178=""),"",IF(M178="Ambassador","1 - Ambassador",IF(M178="Member","2 - Member",IF(J178="Completed","3 - Presented",IF(H178&lt;&gt;"","4 - Sent",IF(F178&lt;&gt;"","5 - Contacted","6 - No Activity"))))))</f>
        <v/>
      </c>
      <c r="X178" s="6" t="n">
        <f aca="false">IF(AND($A178="",$B178=""),9999999+(ROW()-4),VALUE(LEFT($W178,1))*10000+(ROW()-4))</f>
        <v>10000173</v>
      </c>
    </row>
    <row r="179" customFormat="false" ht="15" hidden="false" customHeight="true" outlineLevel="0" collapsed="false">
      <c r="A179" s="6"/>
      <c r="B179" s="6"/>
      <c r="C179" s="6"/>
      <c r="D179" s="6"/>
      <c r="E179" s="6"/>
      <c r="F179" s="7"/>
      <c r="G179" s="6"/>
      <c r="H179" s="6"/>
      <c r="I179" s="7"/>
      <c r="J179" s="6"/>
      <c r="K179" s="7"/>
      <c r="L179" s="6"/>
      <c r="M179" s="6"/>
      <c r="N179" s="7"/>
      <c r="O179" s="6"/>
      <c r="P179" s="6"/>
      <c r="Q179" s="7"/>
      <c r="R179" s="6" t="str">
        <f aca="false">IF(AND($A179="",$B179=""),"",IF(Q179="Complete","Onboarded",IF(OR(M179="Member",M179="Ambassador"),"Sponsored",IF(K179&lt;&gt;"","Follow-Up",IF(I179&lt;&gt;"","Presented",IF(F179&lt;&gt;"","Contacted","New Lead"))))))</f>
        <v/>
      </c>
      <c r="S179" s="6"/>
      <c r="T179" s="6" t="str">
        <f aca="true">IF(MAX(F179,I179,K179)=0,"",TODAY()-MAX(F179,I179,K179))</f>
        <v/>
      </c>
      <c r="U179" s="6"/>
      <c r="V179" s="6"/>
      <c r="W179" s="6" t="str">
        <f aca="false">IF(AND($A179="",$B179=""),"",IF(M179="Ambassador","1 - Ambassador",IF(M179="Member","2 - Member",IF(J179="Completed","3 - Presented",IF(H179&lt;&gt;"","4 - Sent",IF(F179&lt;&gt;"","5 - Contacted","6 - No Activity"))))))</f>
        <v/>
      </c>
      <c r="X179" s="6" t="n">
        <f aca="false">IF(AND($A179="",$B179=""),9999999+(ROW()-4),VALUE(LEFT($W179,1))*10000+(ROW()-4))</f>
        <v>10000174</v>
      </c>
    </row>
    <row r="180" customFormat="false" ht="15" hidden="false" customHeight="true" outlineLevel="0" collapsed="false">
      <c r="A180" s="6"/>
      <c r="B180" s="6"/>
      <c r="C180" s="6"/>
      <c r="D180" s="6"/>
      <c r="E180" s="6"/>
      <c r="F180" s="7"/>
      <c r="G180" s="6"/>
      <c r="H180" s="6"/>
      <c r="I180" s="7"/>
      <c r="J180" s="6"/>
      <c r="K180" s="7"/>
      <c r="L180" s="6"/>
      <c r="M180" s="6"/>
      <c r="N180" s="7"/>
      <c r="O180" s="6"/>
      <c r="P180" s="6"/>
      <c r="Q180" s="7"/>
      <c r="R180" s="6" t="str">
        <f aca="false">IF(AND($A180="",$B180=""),"",IF(Q180="Complete","Onboarded",IF(OR(M180="Member",M180="Ambassador"),"Sponsored",IF(K180&lt;&gt;"","Follow-Up",IF(I180&lt;&gt;"","Presented",IF(F180&lt;&gt;"","Contacted","New Lead"))))))</f>
        <v/>
      </c>
      <c r="S180" s="6"/>
      <c r="T180" s="6" t="str">
        <f aca="true">IF(MAX(F180,I180,K180)=0,"",TODAY()-MAX(F180,I180,K180))</f>
        <v/>
      </c>
      <c r="U180" s="6"/>
      <c r="V180" s="6"/>
      <c r="W180" s="6" t="str">
        <f aca="false">IF(AND($A180="",$B180=""),"",IF(M180="Ambassador","1 - Ambassador",IF(M180="Member","2 - Member",IF(J180="Completed","3 - Presented",IF(H180&lt;&gt;"","4 - Sent",IF(F180&lt;&gt;"","5 - Contacted","6 - No Activity"))))))</f>
        <v/>
      </c>
      <c r="X180" s="6" t="n">
        <f aca="false">IF(AND($A180="",$B180=""),9999999+(ROW()-4),VALUE(LEFT($W180,1))*10000+(ROW()-4))</f>
        <v>10000175</v>
      </c>
    </row>
    <row r="181" customFormat="false" ht="15" hidden="false" customHeight="true" outlineLevel="0" collapsed="false">
      <c r="A181" s="6"/>
      <c r="B181" s="6"/>
      <c r="C181" s="6"/>
      <c r="D181" s="6"/>
      <c r="E181" s="6"/>
      <c r="F181" s="7"/>
      <c r="G181" s="6"/>
      <c r="H181" s="6"/>
      <c r="I181" s="7"/>
      <c r="J181" s="6"/>
      <c r="K181" s="7"/>
      <c r="L181" s="6"/>
      <c r="M181" s="6"/>
      <c r="N181" s="7"/>
      <c r="O181" s="6"/>
      <c r="P181" s="6"/>
      <c r="Q181" s="7"/>
      <c r="R181" s="6" t="str">
        <f aca="false">IF(AND($A181="",$B181=""),"",IF(Q181="Complete","Onboarded",IF(OR(M181="Member",M181="Ambassador"),"Sponsored",IF(K181&lt;&gt;"","Follow-Up",IF(I181&lt;&gt;"","Presented",IF(F181&lt;&gt;"","Contacted","New Lead"))))))</f>
        <v/>
      </c>
      <c r="S181" s="6"/>
      <c r="T181" s="6" t="str">
        <f aca="true">IF(MAX(F181,I181,K181)=0,"",TODAY()-MAX(F181,I181,K181))</f>
        <v/>
      </c>
      <c r="U181" s="6"/>
      <c r="V181" s="6"/>
      <c r="W181" s="6" t="str">
        <f aca="false">IF(AND($A181="",$B181=""),"",IF(M181="Ambassador","1 - Ambassador",IF(M181="Member","2 - Member",IF(J181="Completed","3 - Presented",IF(H181&lt;&gt;"","4 - Sent",IF(F181&lt;&gt;"","5 - Contacted","6 - No Activity"))))))</f>
        <v/>
      </c>
      <c r="X181" s="6" t="n">
        <f aca="false">IF(AND($A181="",$B181=""),9999999+(ROW()-4),VALUE(LEFT($W181,1))*10000+(ROW()-4))</f>
        <v>10000176</v>
      </c>
    </row>
    <row r="182" customFormat="false" ht="15" hidden="false" customHeight="true" outlineLevel="0" collapsed="false">
      <c r="A182" s="6"/>
      <c r="B182" s="6"/>
      <c r="C182" s="6"/>
      <c r="D182" s="6"/>
      <c r="E182" s="6"/>
      <c r="F182" s="7"/>
      <c r="G182" s="6"/>
      <c r="H182" s="6"/>
      <c r="I182" s="7"/>
      <c r="J182" s="6"/>
      <c r="K182" s="7"/>
      <c r="L182" s="6"/>
      <c r="M182" s="6"/>
      <c r="N182" s="7"/>
      <c r="O182" s="6"/>
      <c r="P182" s="6"/>
      <c r="Q182" s="7"/>
      <c r="R182" s="6" t="str">
        <f aca="false">IF(AND($A182="",$B182=""),"",IF(Q182="Complete","Onboarded",IF(OR(M182="Member",M182="Ambassador"),"Sponsored",IF(K182&lt;&gt;"","Follow-Up",IF(I182&lt;&gt;"","Presented",IF(F182&lt;&gt;"","Contacted","New Lead"))))))</f>
        <v/>
      </c>
      <c r="S182" s="6"/>
      <c r="T182" s="6" t="str">
        <f aca="true">IF(MAX(F182,I182,K182)=0,"",TODAY()-MAX(F182,I182,K182))</f>
        <v/>
      </c>
      <c r="U182" s="6"/>
      <c r="V182" s="6"/>
      <c r="W182" s="6" t="str">
        <f aca="false">IF(AND($A182="",$B182=""),"",IF(M182="Ambassador","1 - Ambassador",IF(M182="Member","2 - Member",IF(J182="Completed","3 - Presented",IF(H182&lt;&gt;"","4 - Sent",IF(F182&lt;&gt;"","5 - Contacted","6 - No Activity"))))))</f>
        <v/>
      </c>
      <c r="X182" s="6" t="n">
        <f aca="false">IF(AND($A182="",$B182=""),9999999+(ROW()-4),VALUE(LEFT($W182,1))*10000+(ROW()-4))</f>
        <v>10000177</v>
      </c>
    </row>
    <row r="183" customFormat="false" ht="15" hidden="false" customHeight="true" outlineLevel="0" collapsed="false">
      <c r="A183" s="6"/>
      <c r="B183" s="6"/>
      <c r="C183" s="6"/>
      <c r="D183" s="6"/>
      <c r="E183" s="6"/>
      <c r="F183" s="7"/>
      <c r="G183" s="6"/>
      <c r="H183" s="6"/>
      <c r="I183" s="7"/>
      <c r="J183" s="6"/>
      <c r="K183" s="7"/>
      <c r="L183" s="6"/>
      <c r="M183" s="6"/>
      <c r="N183" s="7"/>
      <c r="O183" s="6"/>
      <c r="P183" s="6"/>
      <c r="Q183" s="7"/>
      <c r="R183" s="6" t="str">
        <f aca="false">IF(AND($A183="",$B183=""),"",IF(Q183="Complete","Onboarded",IF(OR(M183="Member",M183="Ambassador"),"Sponsored",IF(K183&lt;&gt;"","Follow-Up",IF(I183&lt;&gt;"","Presented",IF(F183&lt;&gt;"","Contacted","New Lead"))))))</f>
        <v/>
      </c>
      <c r="S183" s="6"/>
      <c r="T183" s="6" t="str">
        <f aca="true">IF(MAX(F183,I183,K183)=0,"",TODAY()-MAX(F183,I183,K183))</f>
        <v/>
      </c>
      <c r="U183" s="6"/>
      <c r="V183" s="6"/>
      <c r="W183" s="6" t="str">
        <f aca="false">IF(AND($A183="",$B183=""),"",IF(M183="Ambassador","1 - Ambassador",IF(M183="Member","2 - Member",IF(J183="Completed","3 - Presented",IF(H183&lt;&gt;"","4 - Sent",IF(F183&lt;&gt;"","5 - Contacted","6 - No Activity"))))))</f>
        <v/>
      </c>
      <c r="X183" s="6" t="n">
        <f aca="false">IF(AND($A183="",$B183=""),9999999+(ROW()-4),VALUE(LEFT($W183,1))*10000+(ROW()-4))</f>
        <v>10000178</v>
      </c>
    </row>
    <row r="184" customFormat="false" ht="15" hidden="false" customHeight="true" outlineLevel="0" collapsed="false">
      <c r="A184" s="6"/>
      <c r="B184" s="6"/>
      <c r="C184" s="6"/>
      <c r="D184" s="6"/>
      <c r="E184" s="6"/>
      <c r="F184" s="7"/>
      <c r="G184" s="6"/>
      <c r="H184" s="6"/>
      <c r="I184" s="7"/>
      <c r="J184" s="6"/>
      <c r="K184" s="7"/>
      <c r="L184" s="6"/>
      <c r="M184" s="6"/>
      <c r="N184" s="7"/>
      <c r="O184" s="6"/>
      <c r="P184" s="6"/>
      <c r="Q184" s="7"/>
      <c r="R184" s="6" t="str">
        <f aca="false">IF(AND($A184="",$B184=""),"",IF(Q184="Complete","Onboarded",IF(OR(M184="Member",M184="Ambassador"),"Sponsored",IF(K184&lt;&gt;"","Follow-Up",IF(I184&lt;&gt;"","Presented",IF(F184&lt;&gt;"","Contacted","New Lead"))))))</f>
        <v/>
      </c>
      <c r="S184" s="6"/>
      <c r="T184" s="6" t="str">
        <f aca="true">IF(MAX(F184,I184,K184)=0,"",TODAY()-MAX(F184,I184,K184))</f>
        <v/>
      </c>
      <c r="U184" s="6"/>
      <c r="V184" s="6"/>
      <c r="W184" s="6" t="str">
        <f aca="false">IF(AND($A184="",$B184=""),"",IF(M184="Ambassador","1 - Ambassador",IF(M184="Member","2 - Member",IF(J184="Completed","3 - Presented",IF(H184&lt;&gt;"","4 - Sent",IF(F184&lt;&gt;"","5 - Contacted","6 - No Activity"))))))</f>
        <v/>
      </c>
      <c r="X184" s="6" t="n">
        <f aca="false">IF(AND($A184="",$B184=""),9999999+(ROW()-4),VALUE(LEFT($W184,1))*10000+(ROW()-4))</f>
        <v>10000179</v>
      </c>
    </row>
    <row r="185" customFormat="false" ht="15" hidden="false" customHeight="true" outlineLevel="0" collapsed="false">
      <c r="A185" s="6"/>
      <c r="B185" s="6"/>
      <c r="C185" s="6"/>
      <c r="D185" s="6"/>
      <c r="E185" s="6"/>
      <c r="F185" s="7"/>
      <c r="G185" s="6"/>
      <c r="H185" s="6"/>
      <c r="I185" s="7"/>
      <c r="J185" s="6"/>
      <c r="K185" s="7"/>
      <c r="L185" s="6"/>
      <c r="M185" s="6"/>
      <c r="N185" s="7"/>
      <c r="O185" s="6"/>
      <c r="P185" s="6"/>
      <c r="Q185" s="7"/>
      <c r="R185" s="6" t="str">
        <f aca="false">IF(AND($A185="",$B185=""),"",IF(Q185="Complete","Onboarded",IF(OR(M185="Member",M185="Ambassador"),"Sponsored",IF(K185&lt;&gt;"","Follow-Up",IF(I185&lt;&gt;"","Presented",IF(F185&lt;&gt;"","Contacted","New Lead"))))))</f>
        <v/>
      </c>
      <c r="S185" s="6"/>
      <c r="T185" s="6" t="str">
        <f aca="true">IF(MAX(F185,I185,K185)=0,"",TODAY()-MAX(F185,I185,K185))</f>
        <v/>
      </c>
      <c r="U185" s="6"/>
      <c r="V185" s="6"/>
      <c r="W185" s="6" t="str">
        <f aca="false">IF(AND($A185="",$B185=""),"",IF(M185="Ambassador","1 - Ambassador",IF(M185="Member","2 - Member",IF(J185="Completed","3 - Presented",IF(H185&lt;&gt;"","4 - Sent",IF(F185&lt;&gt;"","5 - Contacted","6 - No Activity"))))))</f>
        <v/>
      </c>
      <c r="X185" s="6" t="n">
        <f aca="false">IF(AND($A185="",$B185=""),9999999+(ROW()-4),VALUE(LEFT($W185,1))*10000+(ROW()-4))</f>
        <v>10000180</v>
      </c>
    </row>
    <row r="186" customFormat="false" ht="15" hidden="false" customHeight="true" outlineLevel="0" collapsed="false">
      <c r="A186" s="6"/>
      <c r="B186" s="6"/>
      <c r="C186" s="6"/>
      <c r="D186" s="6"/>
      <c r="E186" s="6"/>
      <c r="F186" s="7"/>
      <c r="G186" s="6"/>
      <c r="H186" s="6"/>
      <c r="I186" s="7"/>
      <c r="J186" s="6"/>
      <c r="K186" s="7"/>
      <c r="L186" s="6"/>
      <c r="M186" s="6"/>
      <c r="N186" s="7"/>
      <c r="O186" s="6"/>
      <c r="P186" s="6"/>
      <c r="Q186" s="7"/>
      <c r="R186" s="6" t="str">
        <f aca="false">IF(AND($A186="",$B186=""),"",IF(Q186="Complete","Onboarded",IF(OR(M186="Member",M186="Ambassador"),"Sponsored",IF(K186&lt;&gt;"","Follow-Up",IF(I186&lt;&gt;"","Presented",IF(F186&lt;&gt;"","Contacted","New Lead"))))))</f>
        <v/>
      </c>
      <c r="S186" s="6"/>
      <c r="T186" s="6" t="str">
        <f aca="true">IF(MAX(F186,I186,K186)=0,"",TODAY()-MAX(F186,I186,K186))</f>
        <v/>
      </c>
      <c r="U186" s="6"/>
      <c r="V186" s="6"/>
      <c r="W186" s="6" t="str">
        <f aca="false">IF(AND($A186="",$B186=""),"",IF(M186="Ambassador","1 - Ambassador",IF(M186="Member","2 - Member",IF(J186="Completed","3 - Presented",IF(H186&lt;&gt;"","4 - Sent",IF(F186&lt;&gt;"","5 - Contacted","6 - No Activity"))))))</f>
        <v/>
      </c>
      <c r="X186" s="6" t="n">
        <f aca="false">IF(AND($A186="",$B186=""),9999999+(ROW()-4),VALUE(LEFT($W186,1))*10000+(ROW()-4))</f>
        <v>10000181</v>
      </c>
    </row>
    <row r="187" customFormat="false" ht="15" hidden="false" customHeight="true" outlineLevel="0" collapsed="false">
      <c r="A187" s="6"/>
      <c r="B187" s="6"/>
      <c r="C187" s="6"/>
      <c r="D187" s="6"/>
      <c r="E187" s="6"/>
      <c r="F187" s="7"/>
      <c r="G187" s="6"/>
      <c r="H187" s="6"/>
      <c r="I187" s="7"/>
      <c r="J187" s="6"/>
      <c r="K187" s="7"/>
      <c r="L187" s="6"/>
      <c r="M187" s="6"/>
      <c r="N187" s="7"/>
      <c r="O187" s="6"/>
      <c r="P187" s="6"/>
      <c r="Q187" s="7"/>
      <c r="R187" s="6" t="str">
        <f aca="false">IF(AND($A187="",$B187=""),"",IF(Q187="Complete","Onboarded",IF(OR(M187="Member",M187="Ambassador"),"Sponsored",IF(K187&lt;&gt;"","Follow-Up",IF(I187&lt;&gt;"","Presented",IF(F187&lt;&gt;"","Contacted","New Lead"))))))</f>
        <v/>
      </c>
      <c r="S187" s="6"/>
      <c r="T187" s="6" t="str">
        <f aca="true">IF(MAX(F187,I187,K187)=0,"",TODAY()-MAX(F187,I187,K187))</f>
        <v/>
      </c>
      <c r="U187" s="6"/>
      <c r="V187" s="6"/>
      <c r="W187" s="6" t="str">
        <f aca="false">IF(AND($A187="",$B187=""),"",IF(M187="Ambassador","1 - Ambassador",IF(M187="Member","2 - Member",IF(J187="Completed","3 - Presented",IF(H187&lt;&gt;"","4 - Sent",IF(F187&lt;&gt;"","5 - Contacted","6 - No Activity"))))))</f>
        <v/>
      </c>
      <c r="X187" s="6" t="n">
        <f aca="false">IF(AND($A187="",$B187=""),9999999+(ROW()-4),VALUE(LEFT($W187,1))*10000+(ROW()-4))</f>
        <v>10000182</v>
      </c>
    </row>
    <row r="188" customFormat="false" ht="15" hidden="false" customHeight="true" outlineLevel="0" collapsed="false">
      <c r="A188" s="6"/>
      <c r="B188" s="6"/>
      <c r="C188" s="6"/>
      <c r="D188" s="6"/>
      <c r="E188" s="6"/>
      <c r="F188" s="7"/>
      <c r="G188" s="6"/>
      <c r="H188" s="6"/>
      <c r="I188" s="7"/>
      <c r="J188" s="6"/>
      <c r="K188" s="7"/>
      <c r="L188" s="6"/>
      <c r="M188" s="6"/>
      <c r="N188" s="7"/>
      <c r="O188" s="6"/>
      <c r="P188" s="6"/>
      <c r="Q188" s="7"/>
      <c r="R188" s="6" t="str">
        <f aca="false">IF(AND($A188="",$B188=""),"",IF(Q188="Complete","Onboarded",IF(OR(M188="Member",M188="Ambassador"),"Sponsored",IF(K188&lt;&gt;"","Follow-Up",IF(I188&lt;&gt;"","Presented",IF(F188&lt;&gt;"","Contacted","New Lead"))))))</f>
        <v/>
      </c>
      <c r="S188" s="6"/>
      <c r="T188" s="6" t="str">
        <f aca="true">IF(MAX(F188,I188,K188)=0,"",TODAY()-MAX(F188,I188,K188))</f>
        <v/>
      </c>
      <c r="U188" s="6"/>
      <c r="V188" s="6"/>
      <c r="W188" s="6" t="str">
        <f aca="false">IF(AND($A188="",$B188=""),"",IF(M188="Ambassador","1 - Ambassador",IF(M188="Member","2 - Member",IF(J188="Completed","3 - Presented",IF(H188&lt;&gt;"","4 - Sent",IF(F188&lt;&gt;"","5 - Contacted","6 - No Activity"))))))</f>
        <v/>
      </c>
      <c r="X188" s="6" t="n">
        <f aca="false">IF(AND($A188="",$B188=""),9999999+(ROW()-4),VALUE(LEFT($W188,1))*10000+(ROW()-4))</f>
        <v>10000183</v>
      </c>
    </row>
    <row r="189" customFormat="false" ht="15" hidden="false" customHeight="true" outlineLevel="0" collapsed="false">
      <c r="A189" s="6"/>
      <c r="B189" s="6"/>
      <c r="C189" s="6"/>
      <c r="D189" s="6"/>
      <c r="E189" s="6"/>
      <c r="F189" s="7"/>
      <c r="G189" s="6"/>
      <c r="H189" s="6"/>
      <c r="I189" s="7"/>
      <c r="J189" s="6"/>
      <c r="K189" s="7"/>
      <c r="L189" s="6"/>
      <c r="M189" s="6"/>
      <c r="N189" s="7"/>
      <c r="O189" s="6"/>
      <c r="P189" s="6"/>
      <c r="Q189" s="7"/>
      <c r="R189" s="6" t="str">
        <f aca="false">IF(AND($A189="",$B189=""),"",IF(Q189="Complete","Onboarded",IF(OR(M189="Member",M189="Ambassador"),"Sponsored",IF(K189&lt;&gt;"","Follow-Up",IF(I189&lt;&gt;"","Presented",IF(F189&lt;&gt;"","Contacted","New Lead"))))))</f>
        <v/>
      </c>
      <c r="S189" s="6"/>
      <c r="T189" s="6" t="str">
        <f aca="true">IF(MAX(F189,I189,K189)=0,"",TODAY()-MAX(F189,I189,K189))</f>
        <v/>
      </c>
      <c r="U189" s="6"/>
      <c r="V189" s="6"/>
      <c r="W189" s="6" t="str">
        <f aca="false">IF(AND($A189="",$B189=""),"",IF(M189="Ambassador","1 - Ambassador",IF(M189="Member","2 - Member",IF(J189="Completed","3 - Presented",IF(H189&lt;&gt;"","4 - Sent",IF(F189&lt;&gt;"","5 - Contacted","6 - No Activity"))))))</f>
        <v/>
      </c>
      <c r="X189" s="6" t="n">
        <f aca="false">IF(AND($A189="",$B189=""),9999999+(ROW()-4),VALUE(LEFT($W189,1))*10000+(ROW()-4))</f>
        <v>10000184</v>
      </c>
    </row>
    <row r="190" customFormat="false" ht="15" hidden="false" customHeight="true" outlineLevel="0" collapsed="false">
      <c r="A190" s="6"/>
      <c r="B190" s="6"/>
      <c r="C190" s="6"/>
      <c r="D190" s="6"/>
      <c r="E190" s="6"/>
      <c r="F190" s="7"/>
      <c r="G190" s="6"/>
      <c r="H190" s="6"/>
      <c r="I190" s="7"/>
      <c r="J190" s="6"/>
      <c r="K190" s="7"/>
      <c r="L190" s="6"/>
      <c r="M190" s="6"/>
      <c r="N190" s="7"/>
      <c r="O190" s="6"/>
      <c r="P190" s="6"/>
      <c r="Q190" s="7"/>
      <c r="R190" s="6" t="str">
        <f aca="false">IF(AND($A190="",$B190=""),"",IF(Q190="Complete","Onboarded",IF(OR(M190="Member",M190="Ambassador"),"Sponsored",IF(K190&lt;&gt;"","Follow-Up",IF(I190&lt;&gt;"","Presented",IF(F190&lt;&gt;"","Contacted","New Lead"))))))</f>
        <v/>
      </c>
      <c r="S190" s="6"/>
      <c r="T190" s="6" t="str">
        <f aca="true">IF(MAX(F190,I190,K190)=0,"",TODAY()-MAX(F190,I190,K190))</f>
        <v/>
      </c>
      <c r="U190" s="6"/>
      <c r="V190" s="6"/>
      <c r="W190" s="6" t="str">
        <f aca="false">IF(AND($A190="",$B190=""),"",IF(M190="Ambassador","1 - Ambassador",IF(M190="Member","2 - Member",IF(J190="Completed","3 - Presented",IF(H190&lt;&gt;"","4 - Sent",IF(F190&lt;&gt;"","5 - Contacted","6 - No Activity"))))))</f>
        <v/>
      </c>
      <c r="X190" s="6" t="n">
        <f aca="false">IF(AND($A190="",$B190=""),9999999+(ROW()-4),VALUE(LEFT($W190,1))*10000+(ROW()-4))</f>
        <v>10000185</v>
      </c>
    </row>
    <row r="191" customFormat="false" ht="15" hidden="false" customHeight="true" outlineLevel="0" collapsed="false">
      <c r="A191" s="6"/>
      <c r="B191" s="6"/>
      <c r="C191" s="6"/>
      <c r="D191" s="6"/>
      <c r="E191" s="6"/>
      <c r="F191" s="7"/>
      <c r="G191" s="6"/>
      <c r="H191" s="6"/>
      <c r="I191" s="7"/>
      <c r="J191" s="6"/>
      <c r="K191" s="7"/>
      <c r="L191" s="6"/>
      <c r="M191" s="6"/>
      <c r="N191" s="7"/>
      <c r="O191" s="6"/>
      <c r="P191" s="6"/>
      <c r="Q191" s="7"/>
      <c r="R191" s="6" t="str">
        <f aca="false">IF(AND($A191="",$B191=""),"",IF(Q191="Complete","Onboarded",IF(OR(M191="Member",M191="Ambassador"),"Sponsored",IF(K191&lt;&gt;"","Follow-Up",IF(I191&lt;&gt;"","Presented",IF(F191&lt;&gt;"","Contacted","New Lead"))))))</f>
        <v/>
      </c>
      <c r="S191" s="6"/>
      <c r="T191" s="6" t="str">
        <f aca="true">IF(MAX(F191,I191,K191)=0,"",TODAY()-MAX(F191,I191,K191))</f>
        <v/>
      </c>
      <c r="U191" s="6"/>
      <c r="V191" s="6"/>
      <c r="W191" s="6" t="str">
        <f aca="false">IF(AND($A191="",$B191=""),"",IF(M191="Ambassador","1 - Ambassador",IF(M191="Member","2 - Member",IF(J191="Completed","3 - Presented",IF(H191&lt;&gt;"","4 - Sent",IF(F191&lt;&gt;"","5 - Contacted","6 - No Activity"))))))</f>
        <v/>
      </c>
      <c r="X191" s="6" t="n">
        <f aca="false">IF(AND($A191="",$B191=""),9999999+(ROW()-4),VALUE(LEFT($W191,1))*10000+(ROW()-4))</f>
        <v>10000186</v>
      </c>
    </row>
    <row r="192" customFormat="false" ht="15" hidden="false" customHeight="true" outlineLevel="0" collapsed="false">
      <c r="A192" s="6"/>
      <c r="B192" s="6"/>
      <c r="C192" s="6"/>
      <c r="D192" s="6"/>
      <c r="E192" s="6"/>
      <c r="F192" s="7"/>
      <c r="G192" s="6"/>
      <c r="H192" s="6"/>
      <c r="I192" s="7"/>
      <c r="J192" s="6"/>
      <c r="K192" s="7"/>
      <c r="L192" s="6"/>
      <c r="M192" s="6"/>
      <c r="N192" s="7"/>
      <c r="O192" s="6"/>
      <c r="P192" s="6"/>
      <c r="Q192" s="7"/>
      <c r="R192" s="6" t="str">
        <f aca="false">IF(AND($A192="",$B192=""),"",IF(Q192="Complete","Onboarded",IF(OR(M192="Member",M192="Ambassador"),"Sponsored",IF(K192&lt;&gt;"","Follow-Up",IF(I192&lt;&gt;"","Presented",IF(F192&lt;&gt;"","Contacted","New Lead"))))))</f>
        <v/>
      </c>
      <c r="S192" s="6"/>
      <c r="T192" s="6" t="str">
        <f aca="true">IF(MAX(F192,I192,K192)=0,"",TODAY()-MAX(F192,I192,K192))</f>
        <v/>
      </c>
      <c r="U192" s="6"/>
      <c r="V192" s="6"/>
      <c r="W192" s="6" t="str">
        <f aca="false">IF(AND($A192="",$B192=""),"",IF(M192="Ambassador","1 - Ambassador",IF(M192="Member","2 - Member",IF(J192="Completed","3 - Presented",IF(H192&lt;&gt;"","4 - Sent",IF(F192&lt;&gt;"","5 - Contacted","6 - No Activity"))))))</f>
        <v/>
      </c>
      <c r="X192" s="6" t="n">
        <f aca="false">IF(AND($A192="",$B192=""),9999999+(ROW()-4),VALUE(LEFT($W192,1))*10000+(ROW()-4))</f>
        <v>10000187</v>
      </c>
    </row>
    <row r="193" customFormat="false" ht="15" hidden="false" customHeight="true" outlineLevel="0" collapsed="false">
      <c r="A193" s="6"/>
      <c r="B193" s="6"/>
      <c r="C193" s="6"/>
      <c r="D193" s="6"/>
      <c r="E193" s="6"/>
      <c r="F193" s="7"/>
      <c r="G193" s="6"/>
      <c r="H193" s="6"/>
      <c r="I193" s="7"/>
      <c r="J193" s="6"/>
      <c r="K193" s="7"/>
      <c r="L193" s="6"/>
      <c r="M193" s="6"/>
      <c r="N193" s="7"/>
      <c r="O193" s="6"/>
      <c r="P193" s="6"/>
      <c r="Q193" s="7"/>
      <c r="R193" s="6" t="str">
        <f aca="false">IF(AND($A193="",$B193=""),"",IF(Q193="Complete","Onboarded",IF(OR(M193="Member",M193="Ambassador"),"Sponsored",IF(K193&lt;&gt;"","Follow-Up",IF(I193&lt;&gt;"","Presented",IF(F193&lt;&gt;"","Contacted","New Lead"))))))</f>
        <v/>
      </c>
      <c r="S193" s="6"/>
      <c r="T193" s="6" t="str">
        <f aca="true">IF(MAX(F193,I193,K193)=0,"",TODAY()-MAX(F193,I193,K193))</f>
        <v/>
      </c>
      <c r="U193" s="6"/>
      <c r="V193" s="6"/>
      <c r="W193" s="6" t="str">
        <f aca="false">IF(AND($A193="",$B193=""),"",IF(M193="Ambassador","1 - Ambassador",IF(M193="Member","2 - Member",IF(J193="Completed","3 - Presented",IF(H193&lt;&gt;"","4 - Sent",IF(F193&lt;&gt;"","5 - Contacted","6 - No Activity"))))))</f>
        <v/>
      </c>
      <c r="X193" s="6" t="n">
        <f aca="false">IF(AND($A193="",$B193=""),9999999+(ROW()-4),VALUE(LEFT($W193,1))*10000+(ROW()-4))</f>
        <v>10000188</v>
      </c>
    </row>
    <row r="194" customFormat="false" ht="15" hidden="false" customHeight="true" outlineLevel="0" collapsed="false">
      <c r="A194" s="6"/>
      <c r="B194" s="6"/>
      <c r="C194" s="6"/>
      <c r="D194" s="6"/>
      <c r="E194" s="6"/>
      <c r="F194" s="7"/>
      <c r="G194" s="6"/>
      <c r="H194" s="6"/>
      <c r="I194" s="7"/>
      <c r="J194" s="6"/>
      <c r="K194" s="7"/>
      <c r="L194" s="6"/>
      <c r="M194" s="6"/>
      <c r="N194" s="7"/>
      <c r="O194" s="6"/>
      <c r="P194" s="6"/>
      <c r="Q194" s="7"/>
      <c r="R194" s="6" t="str">
        <f aca="false">IF(AND($A194="",$B194=""),"",IF(Q194="Complete","Onboarded",IF(OR(M194="Member",M194="Ambassador"),"Sponsored",IF(K194&lt;&gt;"","Follow-Up",IF(I194&lt;&gt;"","Presented",IF(F194&lt;&gt;"","Contacted","New Lead"))))))</f>
        <v/>
      </c>
      <c r="S194" s="6"/>
      <c r="T194" s="6" t="str">
        <f aca="true">IF(MAX(F194,I194,K194)=0,"",TODAY()-MAX(F194,I194,K194))</f>
        <v/>
      </c>
      <c r="U194" s="6"/>
      <c r="V194" s="6"/>
      <c r="W194" s="6" t="str">
        <f aca="false">IF(AND($A194="",$B194=""),"",IF(M194="Ambassador","1 - Ambassador",IF(M194="Member","2 - Member",IF(J194="Completed","3 - Presented",IF(H194&lt;&gt;"","4 - Sent",IF(F194&lt;&gt;"","5 - Contacted","6 - No Activity"))))))</f>
        <v/>
      </c>
      <c r="X194" s="6" t="n">
        <f aca="false">IF(AND($A194="",$B194=""),9999999+(ROW()-4),VALUE(LEFT($W194,1))*10000+(ROW()-4))</f>
        <v>10000189</v>
      </c>
    </row>
    <row r="195" customFormat="false" ht="15" hidden="false" customHeight="true" outlineLevel="0" collapsed="false">
      <c r="A195" s="6"/>
      <c r="B195" s="6"/>
      <c r="C195" s="6"/>
      <c r="D195" s="6"/>
      <c r="E195" s="6"/>
      <c r="F195" s="7"/>
      <c r="G195" s="6"/>
      <c r="H195" s="6"/>
      <c r="I195" s="7"/>
      <c r="J195" s="6"/>
      <c r="K195" s="7"/>
      <c r="L195" s="6"/>
      <c r="M195" s="6"/>
      <c r="N195" s="7"/>
      <c r="O195" s="6"/>
      <c r="P195" s="6"/>
      <c r="Q195" s="7"/>
      <c r="R195" s="6" t="str">
        <f aca="false">IF(AND($A195="",$B195=""),"",IF(Q195="Complete","Onboarded",IF(OR(M195="Member",M195="Ambassador"),"Sponsored",IF(K195&lt;&gt;"","Follow-Up",IF(I195&lt;&gt;"","Presented",IF(F195&lt;&gt;"","Contacted","New Lead"))))))</f>
        <v/>
      </c>
      <c r="S195" s="6"/>
      <c r="T195" s="6" t="str">
        <f aca="true">IF(MAX(F195,I195,K195)=0,"",TODAY()-MAX(F195,I195,K195))</f>
        <v/>
      </c>
      <c r="U195" s="6"/>
      <c r="V195" s="6"/>
      <c r="W195" s="6" t="str">
        <f aca="false">IF(AND($A195="",$B195=""),"",IF(M195="Ambassador","1 - Ambassador",IF(M195="Member","2 - Member",IF(J195="Completed","3 - Presented",IF(H195&lt;&gt;"","4 - Sent",IF(F195&lt;&gt;"","5 - Contacted","6 - No Activity"))))))</f>
        <v/>
      </c>
      <c r="X195" s="6" t="n">
        <f aca="false">IF(AND($A195="",$B195=""),9999999+(ROW()-4),VALUE(LEFT($W195,1))*10000+(ROW()-4))</f>
        <v>10000190</v>
      </c>
    </row>
    <row r="196" customFormat="false" ht="15" hidden="false" customHeight="true" outlineLevel="0" collapsed="false">
      <c r="A196" s="6"/>
      <c r="B196" s="6"/>
      <c r="C196" s="6"/>
      <c r="D196" s="6"/>
      <c r="E196" s="6"/>
      <c r="F196" s="7"/>
      <c r="G196" s="6"/>
      <c r="H196" s="6"/>
      <c r="I196" s="7"/>
      <c r="J196" s="6"/>
      <c r="K196" s="7"/>
      <c r="L196" s="6"/>
      <c r="M196" s="6"/>
      <c r="N196" s="7"/>
      <c r="O196" s="6"/>
      <c r="P196" s="6"/>
      <c r="Q196" s="7"/>
      <c r="R196" s="6" t="str">
        <f aca="false">IF(AND($A196="",$B196=""),"",IF(Q196="Complete","Onboarded",IF(OR(M196="Member",M196="Ambassador"),"Sponsored",IF(K196&lt;&gt;"","Follow-Up",IF(I196&lt;&gt;"","Presented",IF(F196&lt;&gt;"","Contacted","New Lead"))))))</f>
        <v/>
      </c>
      <c r="S196" s="6"/>
      <c r="T196" s="6" t="str">
        <f aca="true">IF(MAX(F196,I196,K196)=0,"",TODAY()-MAX(F196,I196,K196))</f>
        <v/>
      </c>
      <c r="U196" s="6"/>
      <c r="V196" s="6"/>
      <c r="W196" s="6" t="str">
        <f aca="false">IF(AND($A196="",$B196=""),"",IF(M196="Ambassador","1 - Ambassador",IF(M196="Member","2 - Member",IF(J196="Completed","3 - Presented",IF(H196&lt;&gt;"","4 - Sent",IF(F196&lt;&gt;"","5 - Contacted","6 - No Activity"))))))</f>
        <v/>
      </c>
      <c r="X196" s="6" t="n">
        <f aca="false">IF(AND($A196="",$B196=""),9999999+(ROW()-4),VALUE(LEFT($W196,1))*10000+(ROW()-4))</f>
        <v>10000191</v>
      </c>
    </row>
    <row r="197" customFormat="false" ht="15" hidden="false" customHeight="true" outlineLevel="0" collapsed="false">
      <c r="A197" s="6"/>
      <c r="B197" s="6"/>
      <c r="C197" s="6"/>
      <c r="D197" s="6"/>
      <c r="E197" s="6"/>
      <c r="F197" s="7"/>
      <c r="G197" s="6"/>
      <c r="H197" s="6"/>
      <c r="I197" s="7"/>
      <c r="J197" s="6"/>
      <c r="K197" s="7"/>
      <c r="L197" s="6"/>
      <c r="M197" s="6"/>
      <c r="N197" s="7"/>
      <c r="O197" s="6"/>
      <c r="P197" s="6"/>
      <c r="Q197" s="7"/>
      <c r="R197" s="6" t="str">
        <f aca="false">IF(AND($A197="",$B197=""),"",IF(Q197="Complete","Onboarded",IF(OR(M197="Member",M197="Ambassador"),"Sponsored",IF(K197&lt;&gt;"","Follow-Up",IF(I197&lt;&gt;"","Presented",IF(F197&lt;&gt;"","Contacted","New Lead"))))))</f>
        <v/>
      </c>
      <c r="S197" s="6"/>
      <c r="T197" s="6" t="str">
        <f aca="true">IF(MAX(F197,I197,K197)=0,"",TODAY()-MAX(F197,I197,K197))</f>
        <v/>
      </c>
      <c r="U197" s="6"/>
      <c r="V197" s="6"/>
      <c r="W197" s="6" t="str">
        <f aca="false">IF(AND($A197="",$B197=""),"",IF(M197="Ambassador","1 - Ambassador",IF(M197="Member","2 - Member",IF(J197="Completed","3 - Presented",IF(H197&lt;&gt;"","4 - Sent",IF(F197&lt;&gt;"","5 - Contacted","6 - No Activity"))))))</f>
        <v/>
      </c>
      <c r="X197" s="6" t="n">
        <f aca="false">IF(AND($A197="",$B197=""),9999999+(ROW()-4),VALUE(LEFT($W197,1))*10000+(ROW()-4))</f>
        <v>10000192</v>
      </c>
    </row>
    <row r="198" customFormat="false" ht="15" hidden="false" customHeight="true" outlineLevel="0" collapsed="false">
      <c r="A198" s="6"/>
      <c r="B198" s="6"/>
      <c r="C198" s="6"/>
      <c r="D198" s="6"/>
      <c r="E198" s="6"/>
      <c r="F198" s="7"/>
      <c r="G198" s="6"/>
      <c r="H198" s="6"/>
      <c r="I198" s="7"/>
      <c r="J198" s="6"/>
      <c r="K198" s="7"/>
      <c r="L198" s="6"/>
      <c r="M198" s="6"/>
      <c r="N198" s="7"/>
      <c r="O198" s="6"/>
      <c r="P198" s="6"/>
      <c r="Q198" s="7"/>
      <c r="R198" s="6" t="str">
        <f aca="false">IF(AND($A198="",$B198=""),"",IF(Q198="Complete","Onboarded",IF(OR(M198="Member",M198="Ambassador"),"Sponsored",IF(K198&lt;&gt;"","Follow-Up",IF(I198&lt;&gt;"","Presented",IF(F198&lt;&gt;"","Contacted","New Lead"))))))</f>
        <v/>
      </c>
      <c r="S198" s="6"/>
      <c r="T198" s="6" t="str">
        <f aca="true">IF(MAX(F198,I198,K198)=0,"",TODAY()-MAX(F198,I198,K198))</f>
        <v/>
      </c>
      <c r="U198" s="6"/>
      <c r="V198" s="6"/>
      <c r="W198" s="6" t="str">
        <f aca="false">IF(AND($A198="",$B198=""),"",IF(M198="Ambassador","1 - Ambassador",IF(M198="Member","2 - Member",IF(J198="Completed","3 - Presented",IF(H198&lt;&gt;"","4 - Sent",IF(F198&lt;&gt;"","5 - Contacted","6 - No Activity"))))))</f>
        <v/>
      </c>
      <c r="X198" s="6" t="n">
        <f aca="false">IF(AND($A198="",$B198=""),9999999+(ROW()-4),VALUE(LEFT($W198,1))*10000+(ROW()-4))</f>
        <v>10000193</v>
      </c>
    </row>
    <row r="199" customFormat="false" ht="15" hidden="false" customHeight="true" outlineLevel="0" collapsed="false">
      <c r="A199" s="6"/>
      <c r="B199" s="6"/>
      <c r="C199" s="6"/>
      <c r="D199" s="6"/>
      <c r="E199" s="6"/>
      <c r="F199" s="7"/>
      <c r="G199" s="6"/>
      <c r="H199" s="6"/>
      <c r="I199" s="7"/>
      <c r="J199" s="6"/>
      <c r="K199" s="7"/>
      <c r="L199" s="6"/>
      <c r="M199" s="6"/>
      <c r="N199" s="7"/>
      <c r="O199" s="6"/>
      <c r="P199" s="6"/>
      <c r="Q199" s="7"/>
      <c r="R199" s="6" t="str">
        <f aca="false">IF(AND($A199="",$B199=""),"",IF(Q199="Complete","Onboarded",IF(OR(M199="Member",M199="Ambassador"),"Sponsored",IF(K199&lt;&gt;"","Follow-Up",IF(I199&lt;&gt;"","Presented",IF(F199&lt;&gt;"","Contacted","New Lead"))))))</f>
        <v/>
      </c>
      <c r="S199" s="6"/>
      <c r="T199" s="6" t="str">
        <f aca="true">IF(MAX(F199,I199,K199)=0,"",TODAY()-MAX(F199,I199,K199))</f>
        <v/>
      </c>
      <c r="U199" s="6"/>
      <c r="V199" s="6"/>
      <c r="W199" s="6" t="str">
        <f aca="false">IF(AND($A199="",$B199=""),"",IF(M199="Ambassador","1 - Ambassador",IF(M199="Member","2 - Member",IF(J199="Completed","3 - Presented",IF(H199&lt;&gt;"","4 - Sent",IF(F199&lt;&gt;"","5 - Contacted","6 - No Activity"))))))</f>
        <v/>
      </c>
      <c r="X199" s="6" t="n">
        <f aca="false">IF(AND($A199="",$B199=""),9999999+(ROW()-4),VALUE(LEFT($W199,1))*10000+(ROW()-4))</f>
        <v>10000194</v>
      </c>
    </row>
    <row r="200" customFormat="false" ht="15" hidden="false" customHeight="true" outlineLevel="0" collapsed="false">
      <c r="A200" s="6"/>
      <c r="B200" s="6"/>
      <c r="C200" s="6"/>
      <c r="D200" s="6"/>
      <c r="E200" s="6"/>
      <c r="F200" s="7"/>
      <c r="G200" s="6"/>
      <c r="H200" s="6"/>
      <c r="I200" s="7"/>
      <c r="J200" s="6"/>
      <c r="K200" s="7"/>
      <c r="L200" s="6"/>
      <c r="M200" s="6"/>
      <c r="N200" s="7"/>
      <c r="O200" s="6"/>
      <c r="P200" s="6"/>
      <c r="Q200" s="7"/>
      <c r="R200" s="6" t="str">
        <f aca="false">IF(AND($A200="",$B200=""),"",IF(Q200="Complete","Onboarded",IF(OR(M200="Member",M200="Ambassador"),"Sponsored",IF(K200&lt;&gt;"","Follow-Up",IF(I200&lt;&gt;"","Presented",IF(F200&lt;&gt;"","Contacted","New Lead"))))))</f>
        <v/>
      </c>
      <c r="S200" s="6"/>
      <c r="T200" s="6" t="str">
        <f aca="true">IF(MAX(F200,I200,K200)=0,"",TODAY()-MAX(F200,I200,K200))</f>
        <v/>
      </c>
      <c r="U200" s="6"/>
      <c r="V200" s="6"/>
      <c r="W200" s="6" t="str">
        <f aca="false">IF(AND($A200="",$B200=""),"",IF(M200="Ambassador","1 - Ambassador",IF(M200="Member","2 - Member",IF(J200="Completed","3 - Presented",IF(H200&lt;&gt;"","4 - Sent",IF(F200&lt;&gt;"","5 - Contacted","6 - No Activity"))))))</f>
        <v/>
      </c>
      <c r="X200" s="6" t="n">
        <f aca="false">IF(AND($A200="",$B200=""),9999999+(ROW()-4),VALUE(LEFT($W200,1))*10000+(ROW()-4))</f>
        <v>10000195</v>
      </c>
    </row>
    <row r="201" customFormat="false" ht="15" hidden="false" customHeight="true" outlineLevel="0" collapsed="false">
      <c r="A201" s="6"/>
      <c r="B201" s="6"/>
      <c r="C201" s="6"/>
      <c r="D201" s="6"/>
      <c r="E201" s="6"/>
      <c r="F201" s="7"/>
      <c r="G201" s="6"/>
      <c r="H201" s="6"/>
      <c r="I201" s="7"/>
      <c r="J201" s="6"/>
      <c r="K201" s="7"/>
      <c r="L201" s="6"/>
      <c r="M201" s="6"/>
      <c r="N201" s="7"/>
      <c r="O201" s="6"/>
      <c r="P201" s="6"/>
      <c r="Q201" s="7"/>
      <c r="R201" s="6" t="str">
        <f aca="false">IF(AND($A201="",$B201=""),"",IF(Q201="Complete","Onboarded",IF(OR(M201="Member",M201="Ambassador"),"Sponsored",IF(K201&lt;&gt;"","Follow-Up",IF(I201&lt;&gt;"","Presented",IF(F201&lt;&gt;"","Contacted","New Lead"))))))</f>
        <v/>
      </c>
      <c r="S201" s="6"/>
      <c r="T201" s="6" t="str">
        <f aca="true">IF(MAX(F201,I201,K201)=0,"",TODAY()-MAX(F201,I201,K201))</f>
        <v/>
      </c>
      <c r="U201" s="6"/>
      <c r="V201" s="6"/>
      <c r="W201" s="6" t="str">
        <f aca="false">IF(AND($A201="",$B201=""),"",IF(M201="Ambassador","1 - Ambassador",IF(M201="Member","2 - Member",IF(J201="Completed","3 - Presented",IF(H201&lt;&gt;"","4 - Sent",IF(F201&lt;&gt;"","5 - Contacted","6 - No Activity"))))))</f>
        <v/>
      </c>
      <c r="X201" s="6" t="n">
        <f aca="false">IF(AND($A201="",$B201=""),9999999+(ROW()-4),VALUE(LEFT($W201,1))*10000+(ROW()-4))</f>
        <v>10000196</v>
      </c>
    </row>
    <row r="202" customFormat="false" ht="15" hidden="false" customHeight="true" outlineLevel="0" collapsed="false">
      <c r="A202" s="6"/>
      <c r="B202" s="6"/>
      <c r="C202" s="6"/>
      <c r="D202" s="6"/>
      <c r="E202" s="6"/>
      <c r="F202" s="7"/>
      <c r="G202" s="6"/>
      <c r="H202" s="6"/>
      <c r="I202" s="7"/>
      <c r="J202" s="6"/>
      <c r="K202" s="7"/>
      <c r="L202" s="6"/>
      <c r="M202" s="6"/>
      <c r="N202" s="7"/>
      <c r="O202" s="6"/>
      <c r="P202" s="6"/>
      <c r="Q202" s="7"/>
      <c r="R202" s="6" t="str">
        <f aca="false">IF(AND($A202="",$B202=""),"",IF(Q202="Complete","Onboarded",IF(OR(M202="Member",M202="Ambassador"),"Sponsored",IF(K202&lt;&gt;"","Follow-Up",IF(I202&lt;&gt;"","Presented",IF(F202&lt;&gt;"","Contacted","New Lead"))))))</f>
        <v/>
      </c>
      <c r="S202" s="6"/>
      <c r="T202" s="6" t="str">
        <f aca="true">IF(MAX(F202,I202,K202)=0,"",TODAY()-MAX(F202,I202,K202))</f>
        <v/>
      </c>
      <c r="U202" s="6"/>
      <c r="V202" s="6"/>
      <c r="W202" s="6" t="str">
        <f aca="false">IF(AND($A202="",$B202=""),"",IF(M202="Ambassador","1 - Ambassador",IF(M202="Member","2 - Member",IF(J202="Completed","3 - Presented",IF(H202&lt;&gt;"","4 - Sent",IF(F202&lt;&gt;"","5 - Contacted","6 - No Activity"))))))</f>
        <v/>
      </c>
      <c r="X202" s="6" t="n">
        <f aca="false">IF(AND($A202="",$B202=""),9999999+(ROW()-4),VALUE(LEFT($W202,1))*10000+(ROW()-4))</f>
        <v>10000197</v>
      </c>
    </row>
    <row r="203" customFormat="false" ht="15" hidden="false" customHeight="true" outlineLevel="0" collapsed="false">
      <c r="A203" s="6"/>
      <c r="B203" s="6"/>
      <c r="C203" s="6"/>
      <c r="D203" s="6"/>
      <c r="E203" s="6"/>
      <c r="F203" s="7"/>
      <c r="G203" s="6"/>
      <c r="H203" s="6"/>
      <c r="I203" s="7"/>
      <c r="J203" s="6"/>
      <c r="K203" s="7"/>
      <c r="L203" s="6"/>
      <c r="M203" s="6"/>
      <c r="N203" s="7"/>
      <c r="O203" s="6"/>
      <c r="P203" s="6"/>
      <c r="Q203" s="7"/>
      <c r="R203" s="6" t="str">
        <f aca="false">IF(AND($A203="",$B203=""),"",IF(Q203="Complete","Onboarded",IF(OR(M203="Member",M203="Ambassador"),"Sponsored",IF(K203&lt;&gt;"","Follow-Up",IF(I203&lt;&gt;"","Presented",IF(F203&lt;&gt;"","Contacted","New Lead"))))))</f>
        <v/>
      </c>
      <c r="S203" s="6"/>
      <c r="T203" s="6" t="str">
        <f aca="true">IF(MAX(F203,I203,K203)=0,"",TODAY()-MAX(F203,I203,K203))</f>
        <v/>
      </c>
      <c r="U203" s="6"/>
      <c r="V203" s="6"/>
      <c r="W203" s="6" t="str">
        <f aca="false">IF(AND($A203="",$B203=""),"",IF(M203="Ambassador","1 - Ambassador",IF(M203="Member","2 - Member",IF(J203="Completed","3 - Presented",IF(H203&lt;&gt;"","4 - Sent",IF(F203&lt;&gt;"","5 - Contacted","6 - No Activity"))))))</f>
        <v/>
      </c>
      <c r="X203" s="6" t="n">
        <f aca="false">IF(AND($A203="",$B203=""),9999999+(ROW()-4),VALUE(LEFT($W203,1))*10000+(ROW()-4))</f>
        <v>10000198</v>
      </c>
    </row>
    <row r="204" customFormat="false" ht="15" hidden="false" customHeight="true" outlineLevel="0" collapsed="false">
      <c r="A204" s="6"/>
      <c r="B204" s="6"/>
      <c r="C204" s="6"/>
      <c r="D204" s="6"/>
      <c r="E204" s="6"/>
      <c r="F204" s="7"/>
      <c r="G204" s="6"/>
      <c r="H204" s="6"/>
      <c r="I204" s="7"/>
      <c r="J204" s="6"/>
      <c r="K204" s="7"/>
      <c r="L204" s="6"/>
      <c r="M204" s="6"/>
      <c r="N204" s="7"/>
      <c r="O204" s="6"/>
      <c r="P204" s="6"/>
      <c r="Q204" s="7"/>
      <c r="R204" s="6" t="str">
        <f aca="false">IF(AND($A204="",$B204=""),"",IF(Q204="Complete","Onboarded",IF(OR(M204="Member",M204="Ambassador"),"Sponsored",IF(K204&lt;&gt;"","Follow-Up",IF(I204&lt;&gt;"","Presented",IF(F204&lt;&gt;"","Contacted","New Lead"))))))</f>
        <v/>
      </c>
      <c r="S204" s="6"/>
      <c r="T204" s="6" t="str">
        <f aca="true">IF(MAX(F204,I204,K204)=0,"",TODAY()-MAX(F204,I204,K204))</f>
        <v/>
      </c>
      <c r="U204" s="6"/>
      <c r="V204" s="6"/>
      <c r="W204" s="6" t="str">
        <f aca="false">IF(AND($A204="",$B204=""),"",IF(M204="Ambassador","1 - Ambassador",IF(M204="Member","2 - Member",IF(J204="Completed","3 - Presented",IF(H204&lt;&gt;"","4 - Sent",IF(F204&lt;&gt;"","5 - Contacted","6 - No Activity"))))))</f>
        <v/>
      </c>
      <c r="X204" s="6" t="n">
        <f aca="false">IF(AND($A204="",$B204=""),9999999+(ROW()-4),VALUE(LEFT($W204,1))*10000+(ROW()-4))</f>
        <v>10000199</v>
      </c>
    </row>
    <row r="205" customFormat="false" ht="15" hidden="false" customHeight="true" outlineLevel="0" collapsed="false">
      <c r="A205" s="6"/>
      <c r="B205" s="6"/>
      <c r="C205" s="6"/>
      <c r="D205" s="6"/>
      <c r="E205" s="6"/>
      <c r="F205" s="7"/>
      <c r="G205" s="6"/>
      <c r="H205" s="6"/>
      <c r="I205" s="7"/>
      <c r="J205" s="6"/>
      <c r="K205" s="7"/>
      <c r="L205" s="6"/>
      <c r="M205" s="6"/>
      <c r="N205" s="7"/>
      <c r="O205" s="6"/>
      <c r="P205" s="6"/>
      <c r="Q205" s="7"/>
      <c r="R205" s="6" t="str">
        <f aca="false">IF(AND($A205="",$B205=""),"",IF(Q205="Complete","Onboarded",IF(OR(M205="Member",M205="Ambassador"),"Sponsored",IF(K205&lt;&gt;"","Follow-Up",IF(I205&lt;&gt;"","Presented",IF(F205&lt;&gt;"","Contacted","New Lead"))))))</f>
        <v/>
      </c>
      <c r="S205" s="6"/>
      <c r="T205" s="6" t="str">
        <f aca="true">IF(MAX(F205,I205,K205)=0,"",TODAY()-MAX(F205,I205,K205))</f>
        <v/>
      </c>
      <c r="U205" s="6"/>
      <c r="V205" s="6"/>
      <c r="W205" s="6" t="str">
        <f aca="false">IF(AND($A205="",$B205=""),"",IF(M205="Ambassador","1 - Ambassador",IF(M205="Member","2 - Member",IF(J205="Completed","3 - Presented",IF(H205&lt;&gt;"","4 - Sent",IF(F205&lt;&gt;"","5 - Contacted","6 - No Activity"))))))</f>
        <v/>
      </c>
      <c r="X205" s="6" t="n">
        <f aca="false">IF(AND($A205="",$B205=""),9999999+(ROW()-4),VALUE(LEFT($W205,1))*10000+(ROW()-4))</f>
        <v>10000200</v>
      </c>
    </row>
    <row r="206" customFormat="false" ht="15" hidden="false" customHeight="true" outlineLevel="0" collapsed="false">
      <c r="A206" s="6"/>
      <c r="B206" s="6"/>
      <c r="C206" s="6"/>
      <c r="D206" s="6"/>
      <c r="E206" s="6"/>
      <c r="F206" s="7"/>
      <c r="G206" s="6"/>
      <c r="H206" s="6"/>
      <c r="I206" s="7"/>
      <c r="J206" s="6"/>
      <c r="K206" s="7"/>
      <c r="L206" s="6"/>
      <c r="M206" s="6"/>
      <c r="N206" s="7"/>
      <c r="O206" s="6"/>
      <c r="P206" s="6"/>
      <c r="Q206" s="7"/>
      <c r="R206" s="6" t="str">
        <f aca="false">IF(AND($A206="",$B206=""),"",IF(Q206="Complete","Onboarded",IF(OR(M206="Member",M206="Ambassador"),"Sponsored",IF(K206&lt;&gt;"","Follow-Up",IF(I206&lt;&gt;"","Presented",IF(F206&lt;&gt;"","Contacted","New Lead"))))))</f>
        <v/>
      </c>
      <c r="S206" s="6"/>
      <c r="T206" s="6" t="str">
        <f aca="true">IF(MAX(F206,I206,K206)=0,"",TODAY()-MAX(F206,I206,K206))</f>
        <v/>
      </c>
      <c r="U206" s="6"/>
      <c r="V206" s="6"/>
      <c r="W206" s="6" t="str">
        <f aca="false">IF(AND($A206="",$B206=""),"",IF(M206="Ambassador","1 - Ambassador",IF(M206="Member","2 - Member",IF(J206="Completed","3 - Presented",IF(H206&lt;&gt;"","4 - Sent",IF(F206&lt;&gt;"","5 - Contacted","6 - No Activity"))))))</f>
        <v/>
      </c>
      <c r="X206" s="6" t="n">
        <f aca="false">IF(AND($A206="",$B206=""),9999999+(ROW()-4),VALUE(LEFT($W206,1))*10000+(ROW()-4))</f>
        <v>10000201</v>
      </c>
    </row>
    <row r="207" customFormat="false" ht="15" hidden="false" customHeight="true" outlineLevel="0" collapsed="false">
      <c r="A207" s="6"/>
      <c r="B207" s="6"/>
      <c r="C207" s="6"/>
      <c r="D207" s="6"/>
      <c r="E207" s="6"/>
      <c r="F207" s="7"/>
      <c r="G207" s="6"/>
      <c r="H207" s="6"/>
      <c r="I207" s="7"/>
      <c r="J207" s="6"/>
      <c r="K207" s="7"/>
      <c r="L207" s="6"/>
      <c r="M207" s="6"/>
      <c r="N207" s="7"/>
      <c r="O207" s="6"/>
      <c r="P207" s="6"/>
      <c r="Q207" s="7"/>
      <c r="R207" s="6" t="str">
        <f aca="false">IF(AND($A207="",$B207=""),"",IF(Q207="Complete","Onboarded",IF(OR(M207="Member",M207="Ambassador"),"Sponsored",IF(K207&lt;&gt;"","Follow-Up",IF(I207&lt;&gt;"","Presented",IF(F207&lt;&gt;"","Contacted","New Lead"))))))</f>
        <v/>
      </c>
      <c r="S207" s="6"/>
      <c r="T207" s="6" t="str">
        <f aca="true">IF(MAX(F207,I207,K207)=0,"",TODAY()-MAX(F207,I207,K207))</f>
        <v/>
      </c>
      <c r="U207" s="6"/>
      <c r="V207" s="6"/>
      <c r="W207" s="6" t="str">
        <f aca="false">IF(AND($A207="",$B207=""),"",IF(M207="Ambassador","1 - Ambassador",IF(M207="Member","2 - Member",IF(J207="Completed","3 - Presented",IF(H207&lt;&gt;"","4 - Sent",IF(F207&lt;&gt;"","5 - Contacted","6 - No Activity"))))))</f>
        <v/>
      </c>
      <c r="X207" s="6" t="n">
        <f aca="false">IF(AND($A207="",$B207=""),9999999+(ROW()-4),VALUE(LEFT($W207,1))*10000+(ROW()-4))</f>
        <v>10000202</v>
      </c>
    </row>
    <row r="208" customFormat="false" ht="15" hidden="false" customHeight="true" outlineLevel="0" collapsed="false">
      <c r="A208" s="6"/>
      <c r="B208" s="6"/>
      <c r="C208" s="6"/>
      <c r="D208" s="6"/>
      <c r="E208" s="6"/>
      <c r="F208" s="7"/>
      <c r="G208" s="6"/>
      <c r="H208" s="6"/>
      <c r="I208" s="7"/>
      <c r="J208" s="6"/>
      <c r="K208" s="7"/>
      <c r="L208" s="6"/>
      <c r="M208" s="6"/>
      <c r="N208" s="7"/>
      <c r="O208" s="6"/>
      <c r="P208" s="6"/>
      <c r="Q208" s="7"/>
      <c r="R208" s="6" t="str">
        <f aca="false">IF(AND($A208="",$B208=""),"",IF(Q208="Complete","Onboarded",IF(OR(M208="Member",M208="Ambassador"),"Sponsored",IF(K208&lt;&gt;"","Follow-Up",IF(I208&lt;&gt;"","Presented",IF(F208&lt;&gt;"","Contacted","New Lead"))))))</f>
        <v/>
      </c>
      <c r="S208" s="6"/>
      <c r="T208" s="6" t="str">
        <f aca="true">IF(MAX(F208,I208,K208)=0,"",TODAY()-MAX(F208,I208,K208))</f>
        <v/>
      </c>
      <c r="U208" s="6"/>
      <c r="V208" s="6"/>
      <c r="W208" s="6" t="str">
        <f aca="false">IF(AND($A208="",$B208=""),"",IF(M208="Ambassador","1 - Ambassador",IF(M208="Member","2 - Member",IF(J208="Completed","3 - Presented",IF(H208&lt;&gt;"","4 - Sent",IF(F208&lt;&gt;"","5 - Contacted","6 - No Activity"))))))</f>
        <v/>
      </c>
      <c r="X208" s="6" t="n">
        <f aca="false">IF(AND($A208="",$B208=""),9999999+(ROW()-4),VALUE(LEFT($W208,1))*10000+(ROW()-4))</f>
        <v>10000203</v>
      </c>
    </row>
    <row r="209" customFormat="false" ht="15" hidden="false" customHeight="true" outlineLevel="0" collapsed="false">
      <c r="A209" s="6"/>
      <c r="B209" s="6"/>
      <c r="C209" s="6"/>
      <c r="D209" s="6"/>
      <c r="E209" s="6"/>
      <c r="F209" s="7"/>
      <c r="G209" s="6"/>
      <c r="H209" s="6"/>
      <c r="I209" s="7"/>
      <c r="J209" s="6"/>
      <c r="K209" s="7"/>
      <c r="L209" s="6"/>
      <c r="M209" s="6"/>
      <c r="N209" s="7"/>
      <c r="O209" s="6"/>
      <c r="P209" s="6"/>
      <c r="Q209" s="7"/>
      <c r="R209" s="6" t="str">
        <f aca="false">IF(AND($A209="",$B209=""),"",IF(Q209="Complete","Onboarded",IF(OR(M209="Member",M209="Ambassador"),"Sponsored",IF(K209&lt;&gt;"","Follow-Up",IF(I209&lt;&gt;"","Presented",IF(F209&lt;&gt;"","Contacted","New Lead"))))))</f>
        <v/>
      </c>
      <c r="S209" s="6"/>
      <c r="T209" s="6" t="str">
        <f aca="true">IF(MAX(F209,I209,K209)=0,"",TODAY()-MAX(F209,I209,K209))</f>
        <v/>
      </c>
      <c r="U209" s="6"/>
      <c r="V209" s="6"/>
      <c r="W209" s="6" t="str">
        <f aca="false">IF(AND($A209="",$B209=""),"",IF(M209="Ambassador","1 - Ambassador",IF(M209="Member","2 - Member",IF(J209="Completed","3 - Presented",IF(H209&lt;&gt;"","4 - Sent",IF(F209&lt;&gt;"","5 - Contacted","6 - No Activity"))))))</f>
        <v/>
      </c>
      <c r="X209" s="6" t="n">
        <f aca="false">IF(AND($A209="",$B209=""),9999999+(ROW()-4),VALUE(LEFT($W209,1))*10000+(ROW()-4))</f>
        <v>10000204</v>
      </c>
    </row>
    <row r="210" customFormat="false" ht="15" hidden="false" customHeight="true" outlineLevel="0" collapsed="false">
      <c r="A210" s="6"/>
      <c r="B210" s="6"/>
      <c r="C210" s="6"/>
      <c r="D210" s="6"/>
      <c r="E210" s="6"/>
      <c r="F210" s="7"/>
      <c r="G210" s="6"/>
      <c r="H210" s="6"/>
      <c r="I210" s="7"/>
      <c r="J210" s="6"/>
      <c r="K210" s="7"/>
      <c r="L210" s="6"/>
      <c r="M210" s="6"/>
      <c r="N210" s="7"/>
      <c r="O210" s="6"/>
      <c r="P210" s="6"/>
      <c r="Q210" s="7"/>
      <c r="R210" s="6" t="str">
        <f aca="false">IF(AND($A210="",$B210=""),"",IF(Q210="Complete","Onboarded",IF(OR(M210="Member",M210="Ambassador"),"Sponsored",IF(K210&lt;&gt;"","Follow-Up",IF(I210&lt;&gt;"","Presented",IF(F210&lt;&gt;"","Contacted","New Lead"))))))</f>
        <v/>
      </c>
      <c r="S210" s="6"/>
      <c r="T210" s="6" t="str">
        <f aca="true">IF(MAX(F210,I210,K210)=0,"",TODAY()-MAX(F210,I210,K210))</f>
        <v/>
      </c>
      <c r="U210" s="6"/>
      <c r="V210" s="6"/>
      <c r="W210" s="6" t="str">
        <f aca="false">IF(AND($A210="",$B210=""),"",IF(M210="Ambassador","1 - Ambassador",IF(M210="Member","2 - Member",IF(J210="Completed","3 - Presented",IF(H210&lt;&gt;"","4 - Sent",IF(F210&lt;&gt;"","5 - Contacted","6 - No Activity"))))))</f>
        <v/>
      </c>
      <c r="X210" s="6" t="n">
        <f aca="false">IF(AND($A210="",$B210=""),9999999+(ROW()-4),VALUE(LEFT($W210,1))*10000+(ROW()-4))</f>
        <v>10000205</v>
      </c>
    </row>
    <row r="211" customFormat="false" ht="15" hidden="false" customHeight="true" outlineLevel="0" collapsed="false">
      <c r="A211" s="6"/>
      <c r="B211" s="6"/>
      <c r="C211" s="6"/>
      <c r="D211" s="6"/>
      <c r="E211" s="6"/>
      <c r="F211" s="7"/>
      <c r="G211" s="6"/>
      <c r="H211" s="6"/>
      <c r="I211" s="7"/>
      <c r="J211" s="6"/>
      <c r="K211" s="7"/>
      <c r="L211" s="6"/>
      <c r="M211" s="6"/>
      <c r="N211" s="7"/>
      <c r="O211" s="6"/>
      <c r="P211" s="6"/>
      <c r="Q211" s="7"/>
      <c r="R211" s="6" t="str">
        <f aca="false">IF(AND($A211="",$B211=""),"",IF(Q211="Complete","Onboarded",IF(OR(M211="Member",M211="Ambassador"),"Sponsored",IF(K211&lt;&gt;"","Follow-Up",IF(I211&lt;&gt;"","Presented",IF(F211&lt;&gt;"","Contacted","New Lead"))))))</f>
        <v/>
      </c>
      <c r="S211" s="6"/>
      <c r="T211" s="6" t="str">
        <f aca="true">IF(MAX(F211,I211,K211)=0,"",TODAY()-MAX(F211,I211,K211))</f>
        <v/>
      </c>
      <c r="U211" s="6"/>
      <c r="V211" s="6"/>
      <c r="W211" s="6" t="str">
        <f aca="false">IF(AND($A211="",$B211=""),"",IF(M211="Ambassador","1 - Ambassador",IF(M211="Member","2 - Member",IF(J211="Completed","3 - Presented",IF(H211&lt;&gt;"","4 - Sent",IF(F211&lt;&gt;"","5 - Contacted","6 - No Activity"))))))</f>
        <v/>
      </c>
      <c r="X211" s="6" t="n">
        <f aca="false">IF(AND($A211="",$B211=""),9999999+(ROW()-4),VALUE(LEFT($W211,1))*10000+(ROW()-4))</f>
        <v>10000206</v>
      </c>
    </row>
    <row r="212" customFormat="false" ht="15" hidden="false" customHeight="true" outlineLevel="0" collapsed="false">
      <c r="A212" s="6"/>
      <c r="B212" s="6"/>
      <c r="C212" s="6"/>
      <c r="D212" s="6"/>
      <c r="E212" s="6"/>
      <c r="F212" s="7"/>
      <c r="G212" s="6"/>
      <c r="H212" s="6"/>
      <c r="I212" s="7"/>
      <c r="J212" s="6"/>
      <c r="K212" s="7"/>
      <c r="L212" s="6"/>
      <c r="M212" s="6"/>
      <c r="N212" s="7"/>
      <c r="O212" s="6"/>
      <c r="P212" s="6"/>
      <c r="Q212" s="7"/>
      <c r="R212" s="6" t="str">
        <f aca="false">IF(AND($A212="",$B212=""),"",IF(Q212="Complete","Onboarded",IF(OR(M212="Member",M212="Ambassador"),"Sponsored",IF(K212&lt;&gt;"","Follow-Up",IF(I212&lt;&gt;"","Presented",IF(F212&lt;&gt;"","Contacted","New Lead"))))))</f>
        <v/>
      </c>
      <c r="S212" s="6"/>
      <c r="T212" s="6" t="str">
        <f aca="true">IF(MAX(F212,I212,K212)=0,"",TODAY()-MAX(F212,I212,K212))</f>
        <v/>
      </c>
      <c r="U212" s="6"/>
      <c r="V212" s="6"/>
      <c r="W212" s="6" t="str">
        <f aca="false">IF(AND($A212="",$B212=""),"",IF(M212="Ambassador","1 - Ambassador",IF(M212="Member","2 - Member",IF(J212="Completed","3 - Presented",IF(H212&lt;&gt;"","4 - Sent",IF(F212&lt;&gt;"","5 - Contacted","6 - No Activity"))))))</f>
        <v/>
      </c>
      <c r="X212" s="6" t="n">
        <f aca="false">IF(AND($A212="",$B212=""),9999999+(ROW()-4),VALUE(LEFT($W212,1))*10000+(ROW()-4))</f>
        <v>10000207</v>
      </c>
    </row>
    <row r="213" customFormat="false" ht="15" hidden="false" customHeight="true" outlineLevel="0" collapsed="false">
      <c r="A213" s="6"/>
      <c r="B213" s="6"/>
      <c r="C213" s="6"/>
      <c r="D213" s="6"/>
      <c r="E213" s="6"/>
      <c r="F213" s="7"/>
      <c r="G213" s="6"/>
      <c r="H213" s="6"/>
      <c r="I213" s="7"/>
      <c r="J213" s="6"/>
      <c r="K213" s="7"/>
      <c r="L213" s="6"/>
      <c r="M213" s="6"/>
      <c r="N213" s="7"/>
      <c r="O213" s="6"/>
      <c r="P213" s="6"/>
      <c r="Q213" s="7"/>
      <c r="R213" s="6" t="str">
        <f aca="false">IF(AND($A213="",$B213=""),"",IF(Q213="Complete","Onboarded",IF(OR(M213="Member",M213="Ambassador"),"Sponsored",IF(K213&lt;&gt;"","Follow-Up",IF(I213&lt;&gt;"","Presented",IF(F213&lt;&gt;"","Contacted","New Lead"))))))</f>
        <v/>
      </c>
      <c r="S213" s="6"/>
      <c r="T213" s="6" t="str">
        <f aca="true">IF(MAX(F213,I213,K213)=0,"",TODAY()-MAX(F213,I213,K213))</f>
        <v/>
      </c>
      <c r="U213" s="6"/>
      <c r="V213" s="6"/>
      <c r="W213" s="6" t="str">
        <f aca="false">IF(AND($A213="",$B213=""),"",IF(M213="Ambassador","1 - Ambassador",IF(M213="Member","2 - Member",IF(J213="Completed","3 - Presented",IF(H213&lt;&gt;"","4 - Sent",IF(F213&lt;&gt;"","5 - Contacted","6 - No Activity"))))))</f>
        <v/>
      </c>
      <c r="X213" s="6" t="n">
        <f aca="false">IF(AND($A213="",$B213=""),9999999+(ROW()-4),VALUE(LEFT($W213,1))*10000+(ROW()-4))</f>
        <v>10000208</v>
      </c>
    </row>
    <row r="214" customFormat="false" ht="15" hidden="false" customHeight="true" outlineLevel="0" collapsed="false">
      <c r="A214" s="6"/>
      <c r="B214" s="6"/>
      <c r="C214" s="6"/>
      <c r="D214" s="6"/>
      <c r="E214" s="6"/>
      <c r="F214" s="7"/>
      <c r="G214" s="6"/>
      <c r="H214" s="6"/>
      <c r="I214" s="7"/>
      <c r="J214" s="6"/>
      <c r="K214" s="7"/>
      <c r="L214" s="6"/>
      <c r="M214" s="6"/>
      <c r="N214" s="7"/>
      <c r="O214" s="6"/>
      <c r="P214" s="6"/>
      <c r="Q214" s="7"/>
      <c r="R214" s="6" t="str">
        <f aca="false">IF(AND($A214="",$B214=""),"",IF(Q214="Complete","Onboarded",IF(OR(M214="Member",M214="Ambassador"),"Sponsored",IF(K214&lt;&gt;"","Follow-Up",IF(I214&lt;&gt;"","Presented",IF(F214&lt;&gt;"","Contacted","New Lead"))))))</f>
        <v/>
      </c>
      <c r="S214" s="6"/>
      <c r="T214" s="6" t="str">
        <f aca="true">IF(MAX(F214,I214,K214)=0,"",TODAY()-MAX(F214,I214,K214))</f>
        <v/>
      </c>
      <c r="U214" s="6"/>
      <c r="V214" s="6"/>
      <c r="W214" s="6" t="str">
        <f aca="false">IF(AND($A214="",$B214=""),"",IF(M214="Ambassador","1 - Ambassador",IF(M214="Member","2 - Member",IF(J214="Completed","3 - Presented",IF(H214&lt;&gt;"","4 - Sent",IF(F214&lt;&gt;"","5 - Contacted","6 - No Activity"))))))</f>
        <v/>
      </c>
      <c r="X214" s="6" t="n">
        <f aca="false">IF(AND($A214="",$B214=""),9999999+(ROW()-4),VALUE(LEFT($W214,1))*10000+(ROW()-4))</f>
        <v>10000209</v>
      </c>
    </row>
    <row r="215" customFormat="false" ht="15" hidden="false" customHeight="true" outlineLevel="0" collapsed="false">
      <c r="A215" s="6"/>
      <c r="B215" s="6"/>
      <c r="C215" s="6"/>
      <c r="D215" s="6"/>
      <c r="E215" s="6"/>
      <c r="F215" s="7"/>
      <c r="G215" s="6"/>
      <c r="H215" s="6"/>
      <c r="I215" s="7"/>
      <c r="J215" s="6"/>
      <c r="K215" s="7"/>
      <c r="L215" s="6"/>
      <c r="M215" s="6"/>
      <c r="N215" s="7"/>
      <c r="O215" s="6"/>
      <c r="P215" s="6"/>
      <c r="Q215" s="7"/>
      <c r="R215" s="6" t="str">
        <f aca="false">IF(AND($A215="",$B215=""),"",IF(Q215="Complete","Onboarded",IF(OR(M215="Member",M215="Ambassador"),"Sponsored",IF(K215&lt;&gt;"","Follow-Up",IF(I215&lt;&gt;"","Presented",IF(F215&lt;&gt;"","Contacted","New Lead"))))))</f>
        <v/>
      </c>
      <c r="S215" s="6"/>
      <c r="T215" s="6" t="str">
        <f aca="true">IF(MAX(F215,I215,K215)=0,"",TODAY()-MAX(F215,I215,K215))</f>
        <v/>
      </c>
      <c r="U215" s="6"/>
      <c r="V215" s="6"/>
      <c r="W215" s="6" t="str">
        <f aca="false">IF(AND($A215="",$B215=""),"",IF(M215="Ambassador","1 - Ambassador",IF(M215="Member","2 - Member",IF(J215="Completed","3 - Presented",IF(H215&lt;&gt;"","4 - Sent",IF(F215&lt;&gt;"","5 - Contacted","6 - No Activity"))))))</f>
        <v/>
      </c>
      <c r="X215" s="6" t="n">
        <f aca="false">IF(AND($A215="",$B215=""),9999999+(ROW()-4),VALUE(LEFT($W215,1))*10000+(ROW()-4))</f>
        <v>10000210</v>
      </c>
    </row>
    <row r="216" customFormat="false" ht="15" hidden="false" customHeight="true" outlineLevel="0" collapsed="false">
      <c r="A216" s="6"/>
      <c r="B216" s="6"/>
      <c r="C216" s="6"/>
      <c r="D216" s="6"/>
      <c r="E216" s="6"/>
      <c r="F216" s="7"/>
      <c r="G216" s="6"/>
      <c r="H216" s="6"/>
      <c r="I216" s="7"/>
      <c r="J216" s="6"/>
      <c r="K216" s="7"/>
      <c r="L216" s="6"/>
      <c r="M216" s="6"/>
      <c r="N216" s="7"/>
      <c r="O216" s="6"/>
      <c r="P216" s="6"/>
      <c r="Q216" s="7"/>
      <c r="R216" s="6" t="str">
        <f aca="false">IF(AND($A216="",$B216=""),"",IF(Q216="Complete","Onboarded",IF(OR(M216="Member",M216="Ambassador"),"Sponsored",IF(K216&lt;&gt;"","Follow-Up",IF(I216&lt;&gt;"","Presented",IF(F216&lt;&gt;"","Contacted","New Lead"))))))</f>
        <v/>
      </c>
      <c r="S216" s="6"/>
      <c r="T216" s="6" t="str">
        <f aca="true">IF(MAX(F216,I216,K216)=0,"",TODAY()-MAX(F216,I216,K216))</f>
        <v/>
      </c>
      <c r="U216" s="6"/>
      <c r="V216" s="6"/>
      <c r="W216" s="6" t="str">
        <f aca="false">IF(AND($A216="",$B216=""),"",IF(M216="Ambassador","1 - Ambassador",IF(M216="Member","2 - Member",IF(J216="Completed","3 - Presented",IF(H216&lt;&gt;"","4 - Sent",IF(F216&lt;&gt;"","5 - Contacted","6 - No Activity"))))))</f>
        <v/>
      </c>
      <c r="X216" s="6" t="n">
        <f aca="false">IF(AND($A216="",$B216=""),9999999+(ROW()-4),VALUE(LEFT($W216,1))*10000+(ROW()-4))</f>
        <v>10000211</v>
      </c>
    </row>
    <row r="217" customFormat="false" ht="15" hidden="false" customHeight="true" outlineLevel="0" collapsed="false">
      <c r="A217" s="6"/>
      <c r="B217" s="6"/>
      <c r="C217" s="6"/>
      <c r="D217" s="6"/>
      <c r="E217" s="6"/>
      <c r="F217" s="7"/>
      <c r="G217" s="6"/>
      <c r="H217" s="6"/>
      <c r="I217" s="7"/>
      <c r="J217" s="6"/>
      <c r="K217" s="7"/>
      <c r="L217" s="6"/>
      <c r="M217" s="6"/>
      <c r="N217" s="7"/>
      <c r="O217" s="6"/>
      <c r="P217" s="6"/>
      <c r="Q217" s="7"/>
      <c r="R217" s="6" t="str">
        <f aca="false">IF(AND($A217="",$B217=""),"",IF(Q217="Complete","Onboarded",IF(OR(M217="Member",M217="Ambassador"),"Sponsored",IF(K217&lt;&gt;"","Follow-Up",IF(I217&lt;&gt;"","Presented",IF(F217&lt;&gt;"","Contacted","New Lead"))))))</f>
        <v/>
      </c>
      <c r="S217" s="6"/>
      <c r="T217" s="6" t="str">
        <f aca="true">IF(MAX(F217,I217,K217)=0,"",TODAY()-MAX(F217,I217,K217))</f>
        <v/>
      </c>
      <c r="U217" s="6"/>
      <c r="V217" s="6"/>
      <c r="W217" s="6" t="str">
        <f aca="false">IF(AND($A217="",$B217=""),"",IF(M217="Ambassador","1 - Ambassador",IF(M217="Member","2 - Member",IF(J217="Completed","3 - Presented",IF(H217&lt;&gt;"","4 - Sent",IF(F217&lt;&gt;"","5 - Contacted","6 - No Activity"))))))</f>
        <v/>
      </c>
      <c r="X217" s="6" t="n">
        <f aca="false">IF(AND($A217="",$B217=""),9999999+(ROW()-4),VALUE(LEFT($W217,1))*10000+(ROW()-4))</f>
        <v>10000212</v>
      </c>
    </row>
    <row r="218" customFormat="false" ht="15" hidden="false" customHeight="true" outlineLevel="0" collapsed="false">
      <c r="A218" s="6"/>
      <c r="B218" s="6"/>
      <c r="C218" s="6"/>
      <c r="D218" s="6"/>
      <c r="E218" s="6"/>
      <c r="F218" s="7"/>
      <c r="G218" s="6"/>
      <c r="H218" s="6"/>
      <c r="I218" s="7"/>
      <c r="J218" s="6"/>
      <c r="K218" s="7"/>
      <c r="L218" s="6"/>
      <c r="M218" s="6"/>
      <c r="N218" s="7"/>
      <c r="O218" s="6"/>
      <c r="P218" s="6"/>
      <c r="Q218" s="7"/>
      <c r="R218" s="6" t="str">
        <f aca="false">IF(AND($A218="",$B218=""),"",IF(Q218="Complete","Onboarded",IF(OR(M218="Member",M218="Ambassador"),"Sponsored",IF(K218&lt;&gt;"","Follow-Up",IF(I218&lt;&gt;"","Presented",IF(F218&lt;&gt;"","Contacted","New Lead"))))))</f>
        <v/>
      </c>
      <c r="S218" s="6"/>
      <c r="T218" s="6" t="str">
        <f aca="true">IF(MAX(F218,I218,K218)=0,"",TODAY()-MAX(F218,I218,K218))</f>
        <v/>
      </c>
      <c r="U218" s="6"/>
      <c r="V218" s="6"/>
      <c r="W218" s="6" t="str">
        <f aca="false">IF(AND($A218="",$B218=""),"",IF(M218="Ambassador","1 - Ambassador",IF(M218="Member","2 - Member",IF(J218="Completed","3 - Presented",IF(H218&lt;&gt;"","4 - Sent",IF(F218&lt;&gt;"","5 - Contacted","6 - No Activity"))))))</f>
        <v/>
      </c>
      <c r="X218" s="6" t="n">
        <f aca="false">IF(AND($A218="",$B218=""),9999999+(ROW()-4),VALUE(LEFT($W218,1))*10000+(ROW()-4))</f>
        <v>10000213</v>
      </c>
    </row>
    <row r="219" customFormat="false" ht="15" hidden="false" customHeight="true" outlineLevel="0" collapsed="false">
      <c r="A219" s="6"/>
      <c r="B219" s="6"/>
      <c r="C219" s="6"/>
      <c r="D219" s="6"/>
      <c r="E219" s="6"/>
      <c r="F219" s="7"/>
      <c r="G219" s="6"/>
      <c r="H219" s="6"/>
      <c r="I219" s="7"/>
      <c r="J219" s="6"/>
      <c r="K219" s="7"/>
      <c r="L219" s="6"/>
      <c r="M219" s="6"/>
      <c r="N219" s="7"/>
      <c r="O219" s="6"/>
      <c r="P219" s="6"/>
      <c r="Q219" s="7"/>
      <c r="R219" s="6" t="str">
        <f aca="false">IF(AND($A219="",$B219=""),"",IF(Q219="Complete","Onboarded",IF(OR(M219="Member",M219="Ambassador"),"Sponsored",IF(K219&lt;&gt;"","Follow-Up",IF(I219&lt;&gt;"","Presented",IF(F219&lt;&gt;"","Contacted","New Lead"))))))</f>
        <v/>
      </c>
      <c r="S219" s="6"/>
      <c r="T219" s="6" t="str">
        <f aca="true">IF(MAX(F219,I219,K219)=0,"",TODAY()-MAX(F219,I219,K219))</f>
        <v/>
      </c>
      <c r="U219" s="6"/>
      <c r="V219" s="6"/>
      <c r="W219" s="6" t="str">
        <f aca="false">IF(AND($A219="",$B219=""),"",IF(M219="Ambassador","1 - Ambassador",IF(M219="Member","2 - Member",IF(J219="Completed","3 - Presented",IF(H219&lt;&gt;"","4 - Sent",IF(F219&lt;&gt;"","5 - Contacted","6 - No Activity"))))))</f>
        <v/>
      </c>
      <c r="X219" s="6" t="n">
        <f aca="false">IF(AND($A219="",$B219=""),9999999+(ROW()-4),VALUE(LEFT($W219,1))*10000+(ROW()-4))</f>
        <v>10000214</v>
      </c>
    </row>
    <row r="220" customFormat="false" ht="15" hidden="false" customHeight="true" outlineLevel="0" collapsed="false">
      <c r="A220" s="6"/>
      <c r="B220" s="6"/>
      <c r="C220" s="6"/>
      <c r="D220" s="6"/>
      <c r="E220" s="6"/>
      <c r="F220" s="7"/>
      <c r="G220" s="6"/>
      <c r="H220" s="6"/>
      <c r="I220" s="7"/>
      <c r="J220" s="6"/>
      <c r="K220" s="7"/>
      <c r="L220" s="6"/>
      <c r="M220" s="6"/>
      <c r="N220" s="7"/>
      <c r="O220" s="6"/>
      <c r="P220" s="6"/>
      <c r="Q220" s="7"/>
      <c r="R220" s="6" t="str">
        <f aca="false">IF(AND($A220="",$B220=""),"",IF(Q220="Complete","Onboarded",IF(OR(M220="Member",M220="Ambassador"),"Sponsored",IF(K220&lt;&gt;"","Follow-Up",IF(I220&lt;&gt;"","Presented",IF(F220&lt;&gt;"","Contacted","New Lead"))))))</f>
        <v/>
      </c>
      <c r="S220" s="6"/>
      <c r="T220" s="6" t="str">
        <f aca="true">IF(MAX(F220,I220,K220)=0,"",TODAY()-MAX(F220,I220,K220))</f>
        <v/>
      </c>
      <c r="U220" s="6"/>
      <c r="V220" s="6"/>
      <c r="W220" s="6" t="str">
        <f aca="false">IF(AND($A220="",$B220=""),"",IF(M220="Ambassador","1 - Ambassador",IF(M220="Member","2 - Member",IF(J220="Completed","3 - Presented",IF(H220&lt;&gt;"","4 - Sent",IF(F220&lt;&gt;"","5 - Contacted","6 - No Activity"))))))</f>
        <v/>
      </c>
      <c r="X220" s="6" t="n">
        <f aca="false">IF(AND($A220="",$B220=""),9999999+(ROW()-4),VALUE(LEFT($W220,1))*10000+(ROW()-4))</f>
        <v>10000215</v>
      </c>
    </row>
    <row r="221" customFormat="false" ht="15" hidden="false" customHeight="true" outlineLevel="0" collapsed="false">
      <c r="A221" s="6"/>
      <c r="B221" s="6"/>
      <c r="C221" s="6"/>
      <c r="D221" s="6"/>
      <c r="E221" s="6"/>
      <c r="F221" s="7"/>
      <c r="G221" s="6"/>
      <c r="H221" s="6"/>
      <c r="I221" s="7"/>
      <c r="J221" s="6"/>
      <c r="K221" s="7"/>
      <c r="L221" s="6"/>
      <c r="M221" s="6"/>
      <c r="N221" s="7"/>
      <c r="O221" s="6"/>
      <c r="P221" s="6"/>
      <c r="Q221" s="7"/>
      <c r="R221" s="6" t="str">
        <f aca="false">IF(AND($A221="",$B221=""),"",IF(Q221="Complete","Onboarded",IF(OR(M221="Member",M221="Ambassador"),"Sponsored",IF(K221&lt;&gt;"","Follow-Up",IF(I221&lt;&gt;"","Presented",IF(F221&lt;&gt;"","Contacted","New Lead"))))))</f>
        <v/>
      </c>
      <c r="S221" s="6"/>
      <c r="T221" s="6" t="str">
        <f aca="true">IF(MAX(F221,I221,K221)=0,"",TODAY()-MAX(F221,I221,K221))</f>
        <v/>
      </c>
      <c r="U221" s="6"/>
      <c r="V221" s="6"/>
      <c r="W221" s="6" t="str">
        <f aca="false">IF(AND($A221="",$B221=""),"",IF(M221="Ambassador","1 - Ambassador",IF(M221="Member","2 - Member",IF(J221="Completed","3 - Presented",IF(H221&lt;&gt;"","4 - Sent",IF(F221&lt;&gt;"","5 - Contacted","6 - No Activity"))))))</f>
        <v/>
      </c>
      <c r="X221" s="6" t="n">
        <f aca="false">IF(AND($A221="",$B221=""),9999999+(ROW()-4),VALUE(LEFT($W221,1))*10000+(ROW()-4))</f>
        <v>10000216</v>
      </c>
    </row>
    <row r="222" customFormat="false" ht="15" hidden="false" customHeight="true" outlineLevel="0" collapsed="false">
      <c r="A222" s="6"/>
      <c r="B222" s="6"/>
      <c r="C222" s="6"/>
      <c r="D222" s="6"/>
      <c r="E222" s="6"/>
      <c r="F222" s="7"/>
      <c r="G222" s="6"/>
      <c r="H222" s="6"/>
      <c r="I222" s="7"/>
      <c r="J222" s="6"/>
      <c r="K222" s="7"/>
      <c r="L222" s="6"/>
      <c r="M222" s="6"/>
      <c r="N222" s="7"/>
      <c r="O222" s="6"/>
      <c r="P222" s="6"/>
      <c r="Q222" s="7"/>
      <c r="R222" s="6" t="str">
        <f aca="false">IF(AND($A222="",$B222=""),"",IF(Q222="Complete","Onboarded",IF(OR(M222="Member",M222="Ambassador"),"Sponsored",IF(K222&lt;&gt;"","Follow-Up",IF(I222&lt;&gt;"","Presented",IF(F222&lt;&gt;"","Contacted","New Lead"))))))</f>
        <v/>
      </c>
      <c r="S222" s="6"/>
      <c r="T222" s="6" t="str">
        <f aca="true">IF(MAX(F222,I222,K222)=0,"",TODAY()-MAX(F222,I222,K222))</f>
        <v/>
      </c>
      <c r="U222" s="6"/>
      <c r="V222" s="6"/>
      <c r="W222" s="6" t="str">
        <f aca="false">IF(AND($A222="",$B222=""),"",IF(M222="Ambassador","1 - Ambassador",IF(M222="Member","2 - Member",IF(J222="Completed","3 - Presented",IF(H222&lt;&gt;"","4 - Sent",IF(F222&lt;&gt;"","5 - Contacted","6 - No Activity"))))))</f>
        <v/>
      </c>
      <c r="X222" s="6" t="n">
        <f aca="false">IF(AND($A222="",$B222=""),9999999+(ROW()-4),VALUE(LEFT($W222,1))*10000+(ROW()-4))</f>
        <v>10000217</v>
      </c>
    </row>
    <row r="223" customFormat="false" ht="15" hidden="false" customHeight="true" outlineLevel="0" collapsed="false">
      <c r="A223" s="6"/>
      <c r="B223" s="6"/>
      <c r="C223" s="6"/>
      <c r="D223" s="6"/>
      <c r="E223" s="6"/>
      <c r="F223" s="7"/>
      <c r="G223" s="6"/>
      <c r="H223" s="6"/>
      <c r="I223" s="7"/>
      <c r="J223" s="6"/>
      <c r="K223" s="7"/>
      <c r="L223" s="6"/>
      <c r="M223" s="6"/>
      <c r="N223" s="7"/>
      <c r="O223" s="6"/>
      <c r="P223" s="6"/>
      <c r="Q223" s="7"/>
      <c r="R223" s="6" t="str">
        <f aca="false">IF(AND($A223="",$B223=""),"",IF(Q223="Complete","Onboarded",IF(OR(M223="Member",M223="Ambassador"),"Sponsored",IF(K223&lt;&gt;"","Follow-Up",IF(I223&lt;&gt;"","Presented",IF(F223&lt;&gt;"","Contacted","New Lead"))))))</f>
        <v/>
      </c>
      <c r="S223" s="6"/>
      <c r="T223" s="6" t="str">
        <f aca="true">IF(MAX(F223,I223,K223)=0,"",TODAY()-MAX(F223,I223,K223))</f>
        <v/>
      </c>
      <c r="U223" s="6"/>
      <c r="V223" s="6"/>
      <c r="W223" s="6" t="str">
        <f aca="false">IF(AND($A223="",$B223=""),"",IF(M223="Ambassador","1 - Ambassador",IF(M223="Member","2 - Member",IF(J223="Completed","3 - Presented",IF(H223&lt;&gt;"","4 - Sent",IF(F223&lt;&gt;"","5 - Contacted","6 - No Activity"))))))</f>
        <v/>
      </c>
      <c r="X223" s="6" t="n">
        <f aca="false">IF(AND($A223="",$B223=""),9999999+(ROW()-4),VALUE(LEFT($W223,1))*10000+(ROW()-4))</f>
        <v>10000218</v>
      </c>
    </row>
    <row r="224" customFormat="false" ht="15" hidden="false" customHeight="true" outlineLevel="0" collapsed="false">
      <c r="A224" s="6"/>
      <c r="B224" s="6"/>
      <c r="C224" s="6"/>
      <c r="D224" s="6"/>
      <c r="E224" s="6"/>
      <c r="F224" s="7"/>
      <c r="G224" s="6"/>
      <c r="H224" s="6"/>
      <c r="I224" s="7"/>
      <c r="J224" s="6"/>
      <c r="K224" s="7"/>
      <c r="L224" s="6"/>
      <c r="M224" s="6"/>
      <c r="N224" s="7"/>
      <c r="O224" s="6"/>
      <c r="P224" s="6"/>
      <c r="Q224" s="7"/>
      <c r="R224" s="6" t="str">
        <f aca="false">IF(AND($A224="",$B224=""),"",IF(Q224="Complete","Onboarded",IF(OR(M224="Member",M224="Ambassador"),"Sponsored",IF(K224&lt;&gt;"","Follow-Up",IF(I224&lt;&gt;"","Presented",IF(F224&lt;&gt;"","Contacted","New Lead"))))))</f>
        <v/>
      </c>
      <c r="S224" s="6"/>
      <c r="T224" s="6" t="str">
        <f aca="true">IF(MAX(F224,I224,K224)=0,"",TODAY()-MAX(F224,I224,K224))</f>
        <v/>
      </c>
      <c r="U224" s="6"/>
      <c r="V224" s="6"/>
      <c r="W224" s="6" t="str">
        <f aca="false">IF(AND($A224="",$B224=""),"",IF(M224="Ambassador","1 - Ambassador",IF(M224="Member","2 - Member",IF(J224="Completed","3 - Presented",IF(H224&lt;&gt;"","4 - Sent",IF(F224&lt;&gt;"","5 - Contacted","6 - No Activity"))))))</f>
        <v/>
      </c>
      <c r="X224" s="6" t="n">
        <f aca="false">IF(AND($A224="",$B224=""),9999999+(ROW()-4),VALUE(LEFT($W224,1))*10000+(ROW()-4))</f>
        <v>10000219</v>
      </c>
    </row>
    <row r="225" customFormat="false" ht="15" hidden="false" customHeight="true" outlineLevel="0" collapsed="false">
      <c r="A225" s="6"/>
      <c r="B225" s="6"/>
      <c r="C225" s="6"/>
      <c r="D225" s="6"/>
      <c r="E225" s="6"/>
      <c r="F225" s="7"/>
      <c r="G225" s="6"/>
      <c r="H225" s="6"/>
      <c r="I225" s="7"/>
      <c r="J225" s="6"/>
      <c r="K225" s="7"/>
      <c r="L225" s="6"/>
      <c r="M225" s="6"/>
      <c r="N225" s="7"/>
      <c r="O225" s="6"/>
      <c r="P225" s="6"/>
      <c r="Q225" s="7"/>
      <c r="R225" s="6" t="str">
        <f aca="false">IF(AND($A225="",$B225=""),"",IF(Q225="Complete","Onboarded",IF(OR(M225="Member",M225="Ambassador"),"Sponsored",IF(K225&lt;&gt;"","Follow-Up",IF(I225&lt;&gt;"","Presented",IF(F225&lt;&gt;"","Contacted","New Lead"))))))</f>
        <v/>
      </c>
      <c r="S225" s="6"/>
      <c r="T225" s="6" t="str">
        <f aca="true">IF(MAX(F225,I225,K225)=0,"",TODAY()-MAX(F225,I225,K225))</f>
        <v/>
      </c>
      <c r="U225" s="6"/>
      <c r="V225" s="6"/>
      <c r="W225" s="6" t="str">
        <f aca="false">IF(AND($A225="",$B225=""),"",IF(M225="Ambassador","1 - Ambassador",IF(M225="Member","2 - Member",IF(J225="Completed","3 - Presented",IF(H225&lt;&gt;"","4 - Sent",IF(F225&lt;&gt;"","5 - Contacted","6 - No Activity"))))))</f>
        <v/>
      </c>
      <c r="X225" s="6" t="n">
        <f aca="false">IF(AND($A225="",$B225=""),9999999+(ROW()-4),VALUE(LEFT($W225,1))*10000+(ROW()-4))</f>
        <v>10000220</v>
      </c>
    </row>
    <row r="226" customFormat="false" ht="15" hidden="false" customHeight="true" outlineLevel="0" collapsed="false">
      <c r="A226" s="6"/>
      <c r="B226" s="6"/>
      <c r="C226" s="6"/>
      <c r="D226" s="6"/>
      <c r="E226" s="6"/>
      <c r="F226" s="7"/>
      <c r="G226" s="6"/>
      <c r="H226" s="6"/>
      <c r="I226" s="7"/>
      <c r="J226" s="6"/>
      <c r="K226" s="7"/>
      <c r="L226" s="6"/>
      <c r="M226" s="6"/>
      <c r="N226" s="7"/>
      <c r="O226" s="6"/>
      <c r="P226" s="6"/>
      <c r="Q226" s="7"/>
      <c r="R226" s="6" t="str">
        <f aca="false">IF(AND($A226="",$B226=""),"",IF(Q226="Complete","Onboarded",IF(OR(M226="Member",M226="Ambassador"),"Sponsored",IF(K226&lt;&gt;"","Follow-Up",IF(I226&lt;&gt;"","Presented",IF(F226&lt;&gt;"","Contacted","New Lead"))))))</f>
        <v/>
      </c>
      <c r="S226" s="6"/>
      <c r="T226" s="6" t="str">
        <f aca="true">IF(MAX(F226,I226,K226)=0,"",TODAY()-MAX(F226,I226,K226))</f>
        <v/>
      </c>
      <c r="U226" s="6"/>
      <c r="V226" s="6"/>
      <c r="W226" s="6" t="str">
        <f aca="false">IF(AND($A226="",$B226=""),"",IF(M226="Ambassador","1 - Ambassador",IF(M226="Member","2 - Member",IF(J226="Completed","3 - Presented",IF(H226&lt;&gt;"","4 - Sent",IF(F226&lt;&gt;"","5 - Contacted","6 - No Activity"))))))</f>
        <v/>
      </c>
      <c r="X226" s="6" t="n">
        <f aca="false">IF(AND($A226="",$B226=""),9999999+(ROW()-4),VALUE(LEFT($W226,1))*10000+(ROW()-4))</f>
        <v>10000221</v>
      </c>
    </row>
    <row r="227" customFormat="false" ht="15" hidden="false" customHeight="true" outlineLevel="0" collapsed="false">
      <c r="A227" s="6"/>
      <c r="B227" s="6"/>
      <c r="C227" s="6"/>
      <c r="D227" s="6"/>
      <c r="E227" s="6"/>
      <c r="F227" s="7"/>
      <c r="G227" s="6"/>
      <c r="H227" s="6"/>
      <c r="I227" s="7"/>
      <c r="J227" s="6"/>
      <c r="K227" s="7"/>
      <c r="L227" s="6"/>
      <c r="M227" s="6"/>
      <c r="N227" s="7"/>
      <c r="O227" s="6"/>
      <c r="P227" s="6"/>
      <c r="Q227" s="7"/>
      <c r="R227" s="6" t="str">
        <f aca="false">IF(AND($A227="",$B227=""),"",IF(Q227="Complete","Onboarded",IF(OR(M227="Member",M227="Ambassador"),"Sponsored",IF(K227&lt;&gt;"","Follow-Up",IF(I227&lt;&gt;"","Presented",IF(F227&lt;&gt;"","Contacted","New Lead"))))))</f>
        <v/>
      </c>
      <c r="S227" s="6"/>
      <c r="T227" s="6" t="str">
        <f aca="true">IF(MAX(F227,I227,K227)=0,"",TODAY()-MAX(F227,I227,K227))</f>
        <v/>
      </c>
      <c r="U227" s="6"/>
      <c r="V227" s="6"/>
      <c r="W227" s="6" t="str">
        <f aca="false">IF(AND($A227="",$B227=""),"",IF(M227="Ambassador","1 - Ambassador",IF(M227="Member","2 - Member",IF(J227="Completed","3 - Presented",IF(H227&lt;&gt;"","4 - Sent",IF(F227&lt;&gt;"","5 - Contacted","6 - No Activity"))))))</f>
        <v/>
      </c>
      <c r="X227" s="6" t="n">
        <f aca="false">IF(AND($A227="",$B227=""),9999999+(ROW()-4),VALUE(LEFT($W227,1))*10000+(ROW()-4))</f>
        <v>10000222</v>
      </c>
    </row>
    <row r="228" customFormat="false" ht="15" hidden="false" customHeight="true" outlineLevel="0" collapsed="false">
      <c r="A228" s="6"/>
      <c r="B228" s="6"/>
      <c r="C228" s="6"/>
      <c r="D228" s="6"/>
      <c r="E228" s="6"/>
      <c r="F228" s="7"/>
      <c r="G228" s="6"/>
      <c r="H228" s="6"/>
      <c r="I228" s="7"/>
      <c r="J228" s="6"/>
      <c r="K228" s="7"/>
      <c r="L228" s="6"/>
      <c r="M228" s="6"/>
      <c r="N228" s="7"/>
      <c r="O228" s="6"/>
      <c r="P228" s="6"/>
      <c r="Q228" s="7"/>
      <c r="R228" s="6" t="str">
        <f aca="false">IF(AND($A228="",$B228=""),"",IF(Q228="Complete","Onboarded",IF(OR(M228="Member",M228="Ambassador"),"Sponsored",IF(K228&lt;&gt;"","Follow-Up",IF(I228&lt;&gt;"","Presented",IF(F228&lt;&gt;"","Contacted","New Lead"))))))</f>
        <v/>
      </c>
      <c r="S228" s="6"/>
      <c r="T228" s="6" t="str">
        <f aca="true">IF(MAX(F228,I228,K228)=0,"",TODAY()-MAX(F228,I228,K228))</f>
        <v/>
      </c>
      <c r="U228" s="6"/>
      <c r="V228" s="6"/>
      <c r="W228" s="6" t="str">
        <f aca="false">IF(AND($A228="",$B228=""),"",IF(M228="Ambassador","1 - Ambassador",IF(M228="Member","2 - Member",IF(J228="Completed","3 - Presented",IF(H228&lt;&gt;"","4 - Sent",IF(F228&lt;&gt;"","5 - Contacted","6 - No Activity"))))))</f>
        <v/>
      </c>
      <c r="X228" s="6" t="n">
        <f aca="false">IF(AND($A228="",$B228=""),9999999+(ROW()-4),VALUE(LEFT($W228,1))*10000+(ROW()-4))</f>
        <v>10000223</v>
      </c>
    </row>
    <row r="229" customFormat="false" ht="15" hidden="false" customHeight="true" outlineLevel="0" collapsed="false">
      <c r="A229" s="6"/>
      <c r="B229" s="6"/>
      <c r="C229" s="6"/>
      <c r="D229" s="6"/>
      <c r="E229" s="6"/>
      <c r="F229" s="7"/>
      <c r="G229" s="6"/>
      <c r="H229" s="6"/>
      <c r="I229" s="7"/>
      <c r="J229" s="6"/>
      <c r="K229" s="7"/>
      <c r="L229" s="6"/>
      <c r="M229" s="6"/>
      <c r="N229" s="7"/>
      <c r="O229" s="6"/>
      <c r="P229" s="6"/>
      <c r="Q229" s="7"/>
      <c r="R229" s="6" t="str">
        <f aca="false">IF(AND($A229="",$B229=""),"",IF(Q229="Complete","Onboarded",IF(OR(M229="Member",M229="Ambassador"),"Sponsored",IF(K229&lt;&gt;"","Follow-Up",IF(I229&lt;&gt;"","Presented",IF(F229&lt;&gt;"","Contacted","New Lead"))))))</f>
        <v/>
      </c>
      <c r="S229" s="6"/>
      <c r="T229" s="6" t="str">
        <f aca="true">IF(MAX(F229,I229,K229)=0,"",TODAY()-MAX(F229,I229,K229))</f>
        <v/>
      </c>
      <c r="U229" s="6"/>
      <c r="V229" s="6"/>
      <c r="W229" s="6" t="str">
        <f aca="false">IF(AND($A229="",$B229=""),"",IF(M229="Ambassador","1 - Ambassador",IF(M229="Member","2 - Member",IF(J229="Completed","3 - Presented",IF(H229&lt;&gt;"","4 - Sent",IF(F229&lt;&gt;"","5 - Contacted","6 - No Activity"))))))</f>
        <v/>
      </c>
      <c r="X229" s="6" t="n">
        <f aca="false">IF(AND($A229="",$B229=""),9999999+(ROW()-4),VALUE(LEFT($W229,1))*10000+(ROW()-4))</f>
        <v>10000224</v>
      </c>
    </row>
    <row r="230" customFormat="false" ht="15" hidden="false" customHeight="true" outlineLevel="0" collapsed="false">
      <c r="A230" s="6"/>
      <c r="B230" s="6"/>
      <c r="C230" s="6"/>
      <c r="D230" s="6"/>
      <c r="E230" s="6"/>
      <c r="F230" s="7"/>
      <c r="G230" s="6"/>
      <c r="H230" s="6"/>
      <c r="I230" s="7"/>
      <c r="J230" s="6"/>
      <c r="K230" s="7"/>
      <c r="L230" s="6"/>
      <c r="M230" s="6"/>
      <c r="N230" s="7"/>
      <c r="O230" s="6"/>
      <c r="P230" s="6"/>
      <c r="Q230" s="7"/>
      <c r="R230" s="6" t="str">
        <f aca="false">IF(AND($A230="",$B230=""),"",IF(Q230="Complete","Onboarded",IF(OR(M230="Member",M230="Ambassador"),"Sponsored",IF(K230&lt;&gt;"","Follow-Up",IF(I230&lt;&gt;"","Presented",IF(F230&lt;&gt;"","Contacted","New Lead"))))))</f>
        <v/>
      </c>
      <c r="S230" s="6"/>
      <c r="T230" s="6" t="str">
        <f aca="true">IF(MAX(F230,I230,K230)=0,"",TODAY()-MAX(F230,I230,K230))</f>
        <v/>
      </c>
      <c r="U230" s="6"/>
      <c r="V230" s="6"/>
      <c r="W230" s="6" t="str">
        <f aca="false">IF(AND($A230="",$B230=""),"",IF(M230="Ambassador","1 - Ambassador",IF(M230="Member","2 - Member",IF(J230="Completed","3 - Presented",IF(H230&lt;&gt;"","4 - Sent",IF(F230&lt;&gt;"","5 - Contacted","6 - No Activity"))))))</f>
        <v/>
      </c>
      <c r="X230" s="6" t="n">
        <f aca="false">IF(AND($A230="",$B230=""),9999999+(ROW()-4),VALUE(LEFT($W230,1))*10000+(ROW()-4))</f>
        <v>10000225</v>
      </c>
    </row>
    <row r="231" customFormat="false" ht="15" hidden="false" customHeight="true" outlineLevel="0" collapsed="false">
      <c r="A231" s="6"/>
      <c r="B231" s="6"/>
      <c r="C231" s="6"/>
      <c r="D231" s="6"/>
      <c r="E231" s="6"/>
      <c r="F231" s="7"/>
      <c r="G231" s="6"/>
      <c r="H231" s="6"/>
      <c r="I231" s="7"/>
      <c r="J231" s="6"/>
      <c r="K231" s="7"/>
      <c r="L231" s="6"/>
      <c r="M231" s="6"/>
      <c r="N231" s="7"/>
      <c r="O231" s="6"/>
      <c r="P231" s="6"/>
      <c r="Q231" s="7"/>
      <c r="R231" s="6" t="str">
        <f aca="false">IF(AND($A231="",$B231=""),"",IF(Q231="Complete","Onboarded",IF(OR(M231="Member",M231="Ambassador"),"Sponsored",IF(K231&lt;&gt;"","Follow-Up",IF(I231&lt;&gt;"","Presented",IF(F231&lt;&gt;"","Contacted","New Lead"))))))</f>
        <v/>
      </c>
      <c r="S231" s="6"/>
      <c r="T231" s="6" t="str">
        <f aca="true">IF(MAX(F231,I231,K231)=0,"",TODAY()-MAX(F231,I231,K231))</f>
        <v/>
      </c>
      <c r="U231" s="6"/>
      <c r="V231" s="6"/>
      <c r="W231" s="6" t="str">
        <f aca="false">IF(AND($A231="",$B231=""),"",IF(M231="Ambassador","1 - Ambassador",IF(M231="Member","2 - Member",IF(J231="Completed","3 - Presented",IF(H231&lt;&gt;"","4 - Sent",IF(F231&lt;&gt;"","5 - Contacted","6 - No Activity"))))))</f>
        <v/>
      </c>
      <c r="X231" s="6" t="n">
        <f aca="false">IF(AND($A231="",$B231=""),9999999+(ROW()-4),VALUE(LEFT($W231,1))*10000+(ROW()-4))</f>
        <v>10000226</v>
      </c>
    </row>
    <row r="232" customFormat="false" ht="15" hidden="false" customHeight="true" outlineLevel="0" collapsed="false">
      <c r="A232" s="6"/>
      <c r="B232" s="6"/>
      <c r="C232" s="6"/>
      <c r="D232" s="6"/>
      <c r="E232" s="6"/>
      <c r="F232" s="7"/>
      <c r="G232" s="6"/>
      <c r="H232" s="6"/>
      <c r="I232" s="7"/>
      <c r="J232" s="6"/>
      <c r="K232" s="7"/>
      <c r="L232" s="6"/>
      <c r="M232" s="6"/>
      <c r="N232" s="7"/>
      <c r="O232" s="6"/>
      <c r="P232" s="6"/>
      <c r="Q232" s="7"/>
      <c r="R232" s="6" t="str">
        <f aca="false">IF(AND($A232="",$B232=""),"",IF(Q232="Complete","Onboarded",IF(OR(M232="Member",M232="Ambassador"),"Sponsored",IF(K232&lt;&gt;"","Follow-Up",IF(I232&lt;&gt;"","Presented",IF(F232&lt;&gt;"","Contacted","New Lead"))))))</f>
        <v/>
      </c>
      <c r="S232" s="6"/>
      <c r="T232" s="6" t="str">
        <f aca="true">IF(MAX(F232,I232,K232)=0,"",TODAY()-MAX(F232,I232,K232))</f>
        <v/>
      </c>
      <c r="U232" s="6"/>
      <c r="V232" s="6"/>
      <c r="W232" s="6" t="str">
        <f aca="false">IF(AND($A232="",$B232=""),"",IF(M232="Ambassador","1 - Ambassador",IF(M232="Member","2 - Member",IF(J232="Completed","3 - Presented",IF(H232&lt;&gt;"","4 - Sent",IF(F232&lt;&gt;"","5 - Contacted","6 - No Activity"))))))</f>
        <v/>
      </c>
      <c r="X232" s="6" t="n">
        <f aca="false">IF(AND($A232="",$B232=""),9999999+(ROW()-4),VALUE(LEFT($W232,1))*10000+(ROW()-4))</f>
        <v>10000227</v>
      </c>
    </row>
    <row r="233" customFormat="false" ht="15" hidden="false" customHeight="true" outlineLevel="0" collapsed="false">
      <c r="A233" s="6"/>
      <c r="B233" s="6"/>
      <c r="C233" s="6"/>
      <c r="D233" s="6"/>
      <c r="E233" s="6"/>
      <c r="F233" s="7"/>
      <c r="G233" s="6"/>
      <c r="H233" s="6"/>
      <c r="I233" s="7"/>
      <c r="J233" s="6"/>
      <c r="K233" s="7"/>
      <c r="L233" s="6"/>
      <c r="M233" s="6"/>
      <c r="N233" s="7"/>
      <c r="O233" s="6"/>
      <c r="P233" s="6"/>
      <c r="Q233" s="7"/>
      <c r="R233" s="6" t="str">
        <f aca="false">IF(AND($A233="",$B233=""),"",IF(Q233="Complete","Onboarded",IF(OR(M233="Member",M233="Ambassador"),"Sponsored",IF(K233&lt;&gt;"","Follow-Up",IF(I233&lt;&gt;"","Presented",IF(F233&lt;&gt;"","Contacted","New Lead"))))))</f>
        <v/>
      </c>
      <c r="S233" s="6"/>
      <c r="T233" s="6" t="str">
        <f aca="true">IF(MAX(F233,I233,K233)=0,"",TODAY()-MAX(F233,I233,K233))</f>
        <v/>
      </c>
      <c r="U233" s="6"/>
      <c r="V233" s="6"/>
      <c r="W233" s="6" t="str">
        <f aca="false">IF(AND($A233="",$B233=""),"",IF(M233="Ambassador","1 - Ambassador",IF(M233="Member","2 - Member",IF(J233="Completed","3 - Presented",IF(H233&lt;&gt;"","4 - Sent",IF(F233&lt;&gt;"","5 - Contacted","6 - No Activity"))))))</f>
        <v/>
      </c>
      <c r="X233" s="6" t="n">
        <f aca="false">IF(AND($A233="",$B233=""),9999999+(ROW()-4),VALUE(LEFT($W233,1))*10000+(ROW()-4))</f>
        <v>10000228</v>
      </c>
    </row>
    <row r="234" customFormat="false" ht="15" hidden="false" customHeight="true" outlineLevel="0" collapsed="false">
      <c r="A234" s="6"/>
      <c r="B234" s="6"/>
      <c r="C234" s="6"/>
      <c r="D234" s="6"/>
      <c r="E234" s="6"/>
      <c r="F234" s="7"/>
      <c r="G234" s="6"/>
      <c r="H234" s="6"/>
      <c r="I234" s="7"/>
      <c r="J234" s="6"/>
      <c r="K234" s="7"/>
      <c r="L234" s="6"/>
      <c r="M234" s="6"/>
      <c r="N234" s="7"/>
      <c r="O234" s="6"/>
      <c r="P234" s="6"/>
      <c r="Q234" s="7"/>
      <c r="R234" s="6" t="str">
        <f aca="false">IF(AND($A234="",$B234=""),"",IF(Q234="Complete","Onboarded",IF(OR(M234="Member",M234="Ambassador"),"Sponsored",IF(K234&lt;&gt;"","Follow-Up",IF(I234&lt;&gt;"","Presented",IF(F234&lt;&gt;"","Contacted","New Lead"))))))</f>
        <v/>
      </c>
      <c r="S234" s="6"/>
      <c r="T234" s="6" t="str">
        <f aca="true">IF(MAX(F234,I234,K234)=0,"",TODAY()-MAX(F234,I234,K234))</f>
        <v/>
      </c>
      <c r="U234" s="6"/>
      <c r="V234" s="6"/>
      <c r="W234" s="6" t="str">
        <f aca="false">IF(AND($A234="",$B234=""),"",IF(M234="Ambassador","1 - Ambassador",IF(M234="Member","2 - Member",IF(J234="Completed","3 - Presented",IF(H234&lt;&gt;"","4 - Sent",IF(F234&lt;&gt;"","5 - Contacted","6 - No Activity"))))))</f>
        <v/>
      </c>
      <c r="X234" s="6" t="n">
        <f aca="false">IF(AND($A234="",$B234=""),9999999+(ROW()-4),VALUE(LEFT($W234,1))*10000+(ROW()-4))</f>
        <v>10000229</v>
      </c>
    </row>
    <row r="235" customFormat="false" ht="15" hidden="false" customHeight="true" outlineLevel="0" collapsed="false">
      <c r="A235" s="6"/>
      <c r="B235" s="6"/>
      <c r="C235" s="6"/>
      <c r="D235" s="6"/>
      <c r="E235" s="6"/>
      <c r="F235" s="7"/>
      <c r="G235" s="6"/>
      <c r="H235" s="6"/>
      <c r="I235" s="7"/>
      <c r="J235" s="6"/>
      <c r="K235" s="7"/>
      <c r="L235" s="6"/>
      <c r="M235" s="6"/>
      <c r="N235" s="7"/>
      <c r="O235" s="6"/>
      <c r="P235" s="6"/>
      <c r="Q235" s="7"/>
      <c r="R235" s="6" t="str">
        <f aca="false">IF(AND($A235="",$B235=""),"",IF(Q235="Complete","Onboarded",IF(OR(M235="Member",M235="Ambassador"),"Sponsored",IF(K235&lt;&gt;"","Follow-Up",IF(I235&lt;&gt;"","Presented",IF(F235&lt;&gt;"","Contacted","New Lead"))))))</f>
        <v/>
      </c>
      <c r="S235" s="6"/>
      <c r="T235" s="6" t="str">
        <f aca="true">IF(MAX(F235,I235,K235)=0,"",TODAY()-MAX(F235,I235,K235))</f>
        <v/>
      </c>
      <c r="U235" s="6"/>
      <c r="V235" s="6"/>
      <c r="W235" s="6" t="str">
        <f aca="false">IF(AND($A235="",$B235=""),"",IF(M235="Ambassador","1 - Ambassador",IF(M235="Member","2 - Member",IF(J235="Completed","3 - Presented",IF(H235&lt;&gt;"","4 - Sent",IF(F235&lt;&gt;"","5 - Contacted","6 - No Activity"))))))</f>
        <v/>
      </c>
      <c r="X235" s="6" t="n">
        <f aca="false">IF(AND($A235="",$B235=""),9999999+(ROW()-4),VALUE(LEFT($W235,1))*10000+(ROW()-4))</f>
        <v>10000230</v>
      </c>
    </row>
    <row r="236" customFormat="false" ht="15" hidden="false" customHeight="true" outlineLevel="0" collapsed="false">
      <c r="A236" s="6"/>
      <c r="B236" s="6"/>
      <c r="C236" s="6"/>
      <c r="D236" s="6"/>
      <c r="E236" s="6"/>
      <c r="F236" s="7"/>
      <c r="G236" s="6"/>
      <c r="H236" s="6"/>
      <c r="I236" s="7"/>
      <c r="J236" s="6"/>
      <c r="K236" s="7"/>
      <c r="L236" s="6"/>
      <c r="M236" s="6"/>
      <c r="N236" s="7"/>
      <c r="O236" s="6"/>
      <c r="P236" s="6"/>
      <c r="Q236" s="7"/>
      <c r="R236" s="6" t="str">
        <f aca="false">IF(AND($A236="",$B236=""),"",IF(Q236="Complete","Onboarded",IF(OR(M236="Member",M236="Ambassador"),"Sponsored",IF(K236&lt;&gt;"","Follow-Up",IF(I236&lt;&gt;"","Presented",IF(F236&lt;&gt;"","Contacted","New Lead"))))))</f>
        <v/>
      </c>
      <c r="S236" s="6"/>
      <c r="T236" s="6" t="str">
        <f aca="true">IF(MAX(F236,I236,K236)=0,"",TODAY()-MAX(F236,I236,K236))</f>
        <v/>
      </c>
      <c r="U236" s="6"/>
      <c r="V236" s="6"/>
      <c r="W236" s="6" t="str">
        <f aca="false">IF(AND($A236="",$B236=""),"",IF(M236="Ambassador","1 - Ambassador",IF(M236="Member","2 - Member",IF(J236="Completed","3 - Presented",IF(H236&lt;&gt;"","4 - Sent",IF(F236&lt;&gt;"","5 - Contacted","6 - No Activity"))))))</f>
        <v/>
      </c>
      <c r="X236" s="6" t="n">
        <f aca="false">IF(AND($A236="",$B236=""),9999999+(ROW()-4),VALUE(LEFT($W236,1))*10000+(ROW()-4))</f>
        <v>10000231</v>
      </c>
    </row>
    <row r="237" customFormat="false" ht="15" hidden="false" customHeight="true" outlineLevel="0" collapsed="false">
      <c r="A237" s="6"/>
      <c r="B237" s="6"/>
      <c r="C237" s="6"/>
      <c r="D237" s="6"/>
      <c r="E237" s="6"/>
      <c r="F237" s="7"/>
      <c r="G237" s="6"/>
      <c r="H237" s="6"/>
      <c r="I237" s="7"/>
      <c r="J237" s="6"/>
      <c r="K237" s="7"/>
      <c r="L237" s="6"/>
      <c r="M237" s="6"/>
      <c r="N237" s="7"/>
      <c r="O237" s="6"/>
      <c r="P237" s="6"/>
      <c r="Q237" s="7"/>
      <c r="R237" s="6" t="str">
        <f aca="false">IF(AND($A237="",$B237=""),"",IF(Q237="Complete","Onboarded",IF(OR(M237="Member",M237="Ambassador"),"Sponsored",IF(K237&lt;&gt;"","Follow-Up",IF(I237&lt;&gt;"","Presented",IF(F237&lt;&gt;"","Contacted","New Lead"))))))</f>
        <v/>
      </c>
      <c r="S237" s="6"/>
      <c r="T237" s="6" t="str">
        <f aca="true">IF(MAX(F237,I237,K237)=0,"",TODAY()-MAX(F237,I237,K237))</f>
        <v/>
      </c>
      <c r="U237" s="6"/>
      <c r="V237" s="6"/>
      <c r="W237" s="6" t="str">
        <f aca="false">IF(AND($A237="",$B237=""),"",IF(M237="Ambassador","1 - Ambassador",IF(M237="Member","2 - Member",IF(J237="Completed","3 - Presented",IF(H237&lt;&gt;"","4 - Sent",IF(F237&lt;&gt;"","5 - Contacted","6 - No Activity"))))))</f>
        <v/>
      </c>
      <c r="X237" s="6" t="n">
        <f aca="false">IF(AND($A237="",$B237=""),9999999+(ROW()-4),VALUE(LEFT($W237,1))*10000+(ROW()-4))</f>
        <v>10000232</v>
      </c>
    </row>
    <row r="238" customFormat="false" ht="15" hidden="false" customHeight="true" outlineLevel="0" collapsed="false">
      <c r="A238" s="6"/>
      <c r="B238" s="6"/>
      <c r="C238" s="6"/>
      <c r="D238" s="6"/>
      <c r="E238" s="6"/>
      <c r="F238" s="7"/>
      <c r="G238" s="6"/>
      <c r="H238" s="6"/>
      <c r="I238" s="7"/>
      <c r="J238" s="6"/>
      <c r="K238" s="7"/>
      <c r="L238" s="6"/>
      <c r="M238" s="6"/>
      <c r="N238" s="7"/>
      <c r="O238" s="6"/>
      <c r="P238" s="6"/>
      <c r="Q238" s="7"/>
      <c r="R238" s="6" t="str">
        <f aca="false">IF(AND($A238="",$B238=""),"",IF(Q238="Complete","Onboarded",IF(OR(M238="Member",M238="Ambassador"),"Sponsored",IF(K238&lt;&gt;"","Follow-Up",IF(I238&lt;&gt;"","Presented",IF(F238&lt;&gt;"","Contacted","New Lead"))))))</f>
        <v/>
      </c>
      <c r="S238" s="6"/>
      <c r="T238" s="6" t="str">
        <f aca="true">IF(MAX(F238,I238,K238)=0,"",TODAY()-MAX(F238,I238,K238))</f>
        <v/>
      </c>
      <c r="U238" s="6"/>
      <c r="V238" s="6"/>
      <c r="W238" s="6" t="str">
        <f aca="false">IF(AND($A238="",$B238=""),"",IF(M238="Ambassador","1 - Ambassador",IF(M238="Member","2 - Member",IF(J238="Completed","3 - Presented",IF(H238&lt;&gt;"","4 - Sent",IF(F238&lt;&gt;"","5 - Contacted","6 - No Activity"))))))</f>
        <v/>
      </c>
      <c r="X238" s="6" t="n">
        <f aca="false">IF(AND($A238="",$B238=""),9999999+(ROW()-4),VALUE(LEFT($W238,1))*10000+(ROW()-4))</f>
        <v>10000233</v>
      </c>
    </row>
    <row r="239" customFormat="false" ht="15" hidden="false" customHeight="true" outlineLevel="0" collapsed="false">
      <c r="A239" s="6"/>
      <c r="B239" s="6"/>
      <c r="C239" s="6"/>
      <c r="D239" s="6"/>
      <c r="E239" s="6"/>
      <c r="F239" s="7"/>
      <c r="G239" s="6"/>
      <c r="H239" s="6"/>
      <c r="I239" s="7"/>
      <c r="J239" s="6"/>
      <c r="K239" s="7"/>
      <c r="L239" s="6"/>
      <c r="M239" s="6"/>
      <c r="N239" s="7"/>
      <c r="O239" s="6"/>
      <c r="P239" s="6"/>
      <c r="Q239" s="7"/>
      <c r="R239" s="6" t="str">
        <f aca="false">IF(AND($A239="",$B239=""),"",IF(Q239="Complete","Onboarded",IF(OR(M239="Member",M239="Ambassador"),"Sponsored",IF(K239&lt;&gt;"","Follow-Up",IF(I239&lt;&gt;"","Presented",IF(F239&lt;&gt;"","Contacted","New Lead"))))))</f>
        <v/>
      </c>
      <c r="S239" s="6"/>
      <c r="T239" s="6" t="str">
        <f aca="true">IF(MAX(F239,I239,K239)=0,"",TODAY()-MAX(F239,I239,K239))</f>
        <v/>
      </c>
      <c r="U239" s="6"/>
      <c r="V239" s="6"/>
      <c r="W239" s="6" t="str">
        <f aca="false">IF(AND($A239="",$B239=""),"",IF(M239="Ambassador","1 - Ambassador",IF(M239="Member","2 - Member",IF(J239="Completed","3 - Presented",IF(H239&lt;&gt;"","4 - Sent",IF(F239&lt;&gt;"","5 - Contacted","6 - No Activity"))))))</f>
        <v/>
      </c>
      <c r="X239" s="6" t="n">
        <f aca="false">IF(AND($A239="",$B239=""),9999999+(ROW()-4),VALUE(LEFT($W239,1))*10000+(ROW()-4))</f>
        <v>10000234</v>
      </c>
    </row>
    <row r="240" customFormat="false" ht="15" hidden="false" customHeight="true" outlineLevel="0" collapsed="false">
      <c r="A240" s="6"/>
      <c r="B240" s="6"/>
      <c r="C240" s="6"/>
      <c r="D240" s="6"/>
      <c r="E240" s="6"/>
      <c r="F240" s="7"/>
      <c r="G240" s="6"/>
      <c r="H240" s="6"/>
      <c r="I240" s="7"/>
      <c r="J240" s="6"/>
      <c r="K240" s="7"/>
      <c r="L240" s="6"/>
      <c r="M240" s="6"/>
      <c r="N240" s="7"/>
      <c r="O240" s="6"/>
      <c r="P240" s="6"/>
      <c r="Q240" s="7"/>
      <c r="R240" s="6" t="str">
        <f aca="false">IF(AND($A240="",$B240=""),"",IF(Q240="Complete","Onboarded",IF(OR(M240="Member",M240="Ambassador"),"Sponsored",IF(K240&lt;&gt;"","Follow-Up",IF(I240&lt;&gt;"","Presented",IF(F240&lt;&gt;"","Contacted","New Lead"))))))</f>
        <v/>
      </c>
      <c r="S240" s="6"/>
      <c r="T240" s="6" t="str">
        <f aca="true">IF(MAX(F240,I240,K240)=0,"",TODAY()-MAX(F240,I240,K240))</f>
        <v/>
      </c>
      <c r="U240" s="6"/>
      <c r="V240" s="6"/>
      <c r="W240" s="6" t="str">
        <f aca="false">IF(AND($A240="",$B240=""),"",IF(M240="Ambassador","1 - Ambassador",IF(M240="Member","2 - Member",IF(J240="Completed","3 - Presented",IF(H240&lt;&gt;"","4 - Sent",IF(F240&lt;&gt;"","5 - Contacted","6 - No Activity"))))))</f>
        <v/>
      </c>
      <c r="X240" s="6" t="n">
        <f aca="false">IF(AND($A240="",$B240=""),9999999+(ROW()-4),VALUE(LEFT($W240,1))*10000+(ROW()-4))</f>
        <v>10000235</v>
      </c>
    </row>
    <row r="241" customFormat="false" ht="15" hidden="false" customHeight="true" outlineLevel="0" collapsed="false">
      <c r="A241" s="6"/>
      <c r="B241" s="6"/>
      <c r="C241" s="6"/>
      <c r="D241" s="6"/>
      <c r="E241" s="6"/>
      <c r="F241" s="7"/>
      <c r="G241" s="6"/>
      <c r="H241" s="6"/>
      <c r="I241" s="7"/>
      <c r="J241" s="6"/>
      <c r="K241" s="7"/>
      <c r="L241" s="6"/>
      <c r="M241" s="6"/>
      <c r="N241" s="7"/>
      <c r="O241" s="6"/>
      <c r="P241" s="6"/>
      <c r="Q241" s="7"/>
      <c r="R241" s="6" t="str">
        <f aca="false">IF(AND($A241="",$B241=""),"",IF(Q241="Complete","Onboarded",IF(OR(M241="Member",M241="Ambassador"),"Sponsored",IF(K241&lt;&gt;"","Follow-Up",IF(I241&lt;&gt;"","Presented",IF(F241&lt;&gt;"","Contacted","New Lead"))))))</f>
        <v/>
      </c>
      <c r="S241" s="6"/>
      <c r="T241" s="6" t="str">
        <f aca="true">IF(MAX(F241,I241,K241)=0,"",TODAY()-MAX(F241,I241,K241))</f>
        <v/>
      </c>
      <c r="U241" s="6"/>
      <c r="V241" s="6"/>
      <c r="W241" s="6" t="str">
        <f aca="false">IF(AND($A241="",$B241=""),"",IF(M241="Ambassador","1 - Ambassador",IF(M241="Member","2 - Member",IF(J241="Completed","3 - Presented",IF(H241&lt;&gt;"","4 - Sent",IF(F241&lt;&gt;"","5 - Contacted","6 - No Activity"))))))</f>
        <v/>
      </c>
      <c r="X241" s="6" t="n">
        <f aca="false">IF(AND($A241="",$B241=""),9999999+(ROW()-4),VALUE(LEFT($W241,1))*10000+(ROW()-4))</f>
        <v>10000236</v>
      </c>
    </row>
    <row r="242" customFormat="false" ht="15" hidden="false" customHeight="true" outlineLevel="0" collapsed="false">
      <c r="A242" s="6"/>
      <c r="B242" s="6"/>
      <c r="C242" s="6"/>
      <c r="D242" s="6"/>
      <c r="E242" s="6"/>
      <c r="F242" s="7"/>
      <c r="G242" s="6"/>
      <c r="H242" s="6"/>
      <c r="I242" s="7"/>
      <c r="J242" s="6"/>
      <c r="K242" s="7"/>
      <c r="L242" s="6"/>
      <c r="M242" s="6"/>
      <c r="N242" s="7"/>
      <c r="O242" s="6"/>
      <c r="P242" s="6"/>
      <c r="Q242" s="7"/>
      <c r="R242" s="6" t="str">
        <f aca="false">IF(AND($A242="",$B242=""),"",IF(Q242="Complete","Onboarded",IF(OR(M242="Member",M242="Ambassador"),"Sponsored",IF(K242&lt;&gt;"","Follow-Up",IF(I242&lt;&gt;"","Presented",IF(F242&lt;&gt;"","Contacted","New Lead"))))))</f>
        <v/>
      </c>
      <c r="S242" s="6"/>
      <c r="T242" s="6" t="str">
        <f aca="true">IF(MAX(F242,I242,K242)=0,"",TODAY()-MAX(F242,I242,K242))</f>
        <v/>
      </c>
      <c r="U242" s="6"/>
      <c r="V242" s="6"/>
      <c r="W242" s="6" t="str">
        <f aca="false">IF(AND($A242="",$B242=""),"",IF(M242="Ambassador","1 - Ambassador",IF(M242="Member","2 - Member",IF(J242="Completed","3 - Presented",IF(H242&lt;&gt;"","4 - Sent",IF(F242&lt;&gt;"","5 - Contacted","6 - No Activity"))))))</f>
        <v/>
      </c>
      <c r="X242" s="6" t="n">
        <f aca="false">IF(AND($A242="",$B242=""),9999999+(ROW()-4),VALUE(LEFT($W242,1))*10000+(ROW()-4))</f>
        <v>10000237</v>
      </c>
    </row>
    <row r="243" customFormat="false" ht="15" hidden="false" customHeight="true" outlineLevel="0" collapsed="false">
      <c r="A243" s="6"/>
      <c r="B243" s="6"/>
      <c r="C243" s="6"/>
      <c r="D243" s="6"/>
      <c r="E243" s="6"/>
      <c r="F243" s="7"/>
      <c r="G243" s="6"/>
      <c r="H243" s="6"/>
      <c r="I243" s="7"/>
      <c r="J243" s="6"/>
      <c r="K243" s="7"/>
      <c r="L243" s="6"/>
      <c r="M243" s="6"/>
      <c r="N243" s="7"/>
      <c r="O243" s="6"/>
      <c r="P243" s="6"/>
      <c r="Q243" s="7"/>
      <c r="R243" s="6" t="str">
        <f aca="false">IF(AND($A243="",$B243=""),"",IF(Q243="Complete","Onboarded",IF(OR(M243="Member",M243="Ambassador"),"Sponsored",IF(K243&lt;&gt;"","Follow-Up",IF(I243&lt;&gt;"","Presented",IF(F243&lt;&gt;"","Contacted","New Lead"))))))</f>
        <v/>
      </c>
      <c r="S243" s="6"/>
      <c r="T243" s="6" t="str">
        <f aca="true">IF(MAX(F243,I243,K243)=0,"",TODAY()-MAX(F243,I243,K243))</f>
        <v/>
      </c>
      <c r="U243" s="6"/>
      <c r="V243" s="6"/>
      <c r="W243" s="6" t="str">
        <f aca="false">IF(AND($A243="",$B243=""),"",IF(M243="Ambassador","1 - Ambassador",IF(M243="Member","2 - Member",IF(J243="Completed","3 - Presented",IF(H243&lt;&gt;"","4 - Sent",IF(F243&lt;&gt;"","5 - Contacted","6 - No Activity"))))))</f>
        <v/>
      </c>
      <c r="X243" s="6" t="n">
        <f aca="false">IF(AND($A243="",$B243=""),9999999+(ROW()-4),VALUE(LEFT($W243,1))*10000+(ROW()-4))</f>
        <v>10000238</v>
      </c>
    </row>
    <row r="244" customFormat="false" ht="15" hidden="false" customHeight="true" outlineLevel="0" collapsed="false">
      <c r="A244" s="6"/>
      <c r="B244" s="6"/>
      <c r="C244" s="6"/>
      <c r="D244" s="6"/>
      <c r="E244" s="6"/>
      <c r="F244" s="7"/>
      <c r="G244" s="6"/>
      <c r="H244" s="6"/>
      <c r="I244" s="7"/>
      <c r="J244" s="6"/>
      <c r="K244" s="7"/>
      <c r="L244" s="6"/>
      <c r="M244" s="6"/>
      <c r="N244" s="7"/>
      <c r="O244" s="6"/>
      <c r="P244" s="6"/>
      <c r="Q244" s="7"/>
      <c r="R244" s="6" t="str">
        <f aca="false">IF(AND($A244="",$B244=""),"",IF(Q244="Complete","Onboarded",IF(OR(M244="Member",M244="Ambassador"),"Sponsored",IF(K244&lt;&gt;"","Follow-Up",IF(I244&lt;&gt;"","Presented",IF(F244&lt;&gt;"","Contacted","New Lead"))))))</f>
        <v/>
      </c>
      <c r="S244" s="6"/>
      <c r="T244" s="6" t="str">
        <f aca="true">IF(MAX(F244,I244,K244)=0,"",TODAY()-MAX(F244,I244,K244))</f>
        <v/>
      </c>
      <c r="U244" s="6"/>
      <c r="V244" s="6"/>
      <c r="W244" s="6" t="str">
        <f aca="false">IF(AND($A244="",$B244=""),"",IF(M244="Ambassador","1 - Ambassador",IF(M244="Member","2 - Member",IF(J244="Completed","3 - Presented",IF(H244&lt;&gt;"","4 - Sent",IF(F244&lt;&gt;"","5 - Contacted","6 - No Activity"))))))</f>
        <v/>
      </c>
      <c r="X244" s="6" t="n">
        <f aca="false">IF(AND($A244="",$B244=""),9999999+(ROW()-4),VALUE(LEFT($W244,1))*10000+(ROW()-4))</f>
        <v>10000239</v>
      </c>
    </row>
    <row r="245" customFormat="false" ht="15" hidden="false" customHeight="true" outlineLevel="0" collapsed="false">
      <c r="A245" s="6"/>
      <c r="B245" s="6"/>
      <c r="C245" s="6"/>
      <c r="D245" s="6"/>
      <c r="E245" s="6"/>
      <c r="F245" s="7"/>
      <c r="G245" s="6"/>
      <c r="H245" s="6"/>
      <c r="I245" s="7"/>
      <c r="J245" s="6"/>
      <c r="K245" s="7"/>
      <c r="L245" s="6"/>
      <c r="M245" s="6"/>
      <c r="N245" s="7"/>
      <c r="O245" s="6"/>
      <c r="P245" s="6"/>
      <c r="Q245" s="7"/>
      <c r="R245" s="6" t="str">
        <f aca="false">IF(AND($A245="",$B245=""),"",IF(Q245="Complete","Onboarded",IF(OR(M245="Member",M245="Ambassador"),"Sponsored",IF(K245&lt;&gt;"","Follow-Up",IF(I245&lt;&gt;"","Presented",IF(F245&lt;&gt;"","Contacted","New Lead"))))))</f>
        <v/>
      </c>
      <c r="S245" s="6"/>
      <c r="T245" s="6" t="str">
        <f aca="true">IF(MAX(F245,I245,K245)=0,"",TODAY()-MAX(F245,I245,K245))</f>
        <v/>
      </c>
      <c r="U245" s="6"/>
      <c r="V245" s="6"/>
      <c r="W245" s="6" t="str">
        <f aca="false">IF(AND($A245="",$B245=""),"",IF(M245="Ambassador","1 - Ambassador",IF(M245="Member","2 - Member",IF(J245="Completed","3 - Presented",IF(H245&lt;&gt;"","4 - Sent",IF(F245&lt;&gt;"","5 - Contacted","6 - No Activity"))))))</f>
        <v/>
      </c>
      <c r="X245" s="6" t="n">
        <f aca="false">IF(AND($A245="",$B245=""),9999999+(ROW()-4),VALUE(LEFT($W245,1))*10000+(ROW()-4))</f>
        <v>10000240</v>
      </c>
    </row>
    <row r="246" customFormat="false" ht="15" hidden="false" customHeight="true" outlineLevel="0" collapsed="false">
      <c r="A246" s="6"/>
      <c r="B246" s="6"/>
      <c r="C246" s="6"/>
      <c r="D246" s="6"/>
      <c r="E246" s="6"/>
      <c r="F246" s="7"/>
      <c r="G246" s="6"/>
      <c r="H246" s="6"/>
      <c r="I246" s="7"/>
      <c r="J246" s="6"/>
      <c r="K246" s="7"/>
      <c r="L246" s="6"/>
      <c r="M246" s="6"/>
      <c r="N246" s="7"/>
      <c r="O246" s="6"/>
      <c r="P246" s="6"/>
      <c r="Q246" s="7"/>
      <c r="R246" s="6" t="str">
        <f aca="false">IF(AND($A246="",$B246=""),"",IF(Q246="Complete","Onboarded",IF(OR(M246="Member",M246="Ambassador"),"Sponsored",IF(K246&lt;&gt;"","Follow-Up",IF(I246&lt;&gt;"","Presented",IF(F246&lt;&gt;"","Contacted","New Lead"))))))</f>
        <v/>
      </c>
      <c r="S246" s="6"/>
      <c r="T246" s="6" t="str">
        <f aca="true">IF(MAX(F246,I246,K246)=0,"",TODAY()-MAX(F246,I246,K246))</f>
        <v/>
      </c>
      <c r="U246" s="6"/>
      <c r="V246" s="6"/>
      <c r="W246" s="6" t="str">
        <f aca="false">IF(AND($A246="",$B246=""),"",IF(M246="Ambassador","1 - Ambassador",IF(M246="Member","2 - Member",IF(J246="Completed","3 - Presented",IF(H246&lt;&gt;"","4 - Sent",IF(F246&lt;&gt;"","5 - Contacted","6 - No Activity"))))))</f>
        <v/>
      </c>
      <c r="X246" s="6" t="n">
        <f aca="false">IF(AND($A246="",$B246=""),9999999+(ROW()-4),VALUE(LEFT($W246,1))*10000+(ROW()-4))</f>
        <v>10000241</v>
      </c>
    </row>
    <row r="247" customFormat="false" ht="15" hidden="false" customHeight="true" outlineLevel="0" collapsed="false">
      <c r="A247" s="6"/>
      <c r="B247" s="6"/>
      <c r="C247" s="6"/>
      <c r="D247" s="6"/>
      <c r="E247" s="6"/>
      <c r="F247" s="7"/>
      <c r="G247" s="6"/>
      <c r="H247" s="6"/>
      <c r="I247" s="7"/>
      <c r="J247" s="6"/>
      <c r="K247" s="7"/>
      <c r="L247" s="6"/>
      <c r="M247" s="6"/>
      <c r="N247" s="7"/>
      <c r="O247" s="6"/>
      <c r="P247" s="6"/>
      <c r="Q247" s="7"/>
      <c r="R247" s="6" t="str">
        <f aca="false">IF(AND($A247="",$B247=""),"",IF(Q247="Complete","Onboarded",IF(OR(M247="Member",M247="Ambassador"),"Sponsored",IF(K247&lt;&gt;"","Follow-Up",IF(I247&lt;&gt;"","Presented",IF(F247&lt;&gt;"","Contacted","New Lead"))))))</f>
        <v/>
      </c>
      <c r="S247" s="6"/>
      <c r="T247" s="6" t="str">
        <f aca="true">IF(MAX(F247,I247,K247)=0,"",TODAY()-MAX(F247,I247,K247))</f>
        <v/>
      </c>
      <c r="U247" s="6"/>
      <c r="V247" s="6"/>
      <c r="W247" s="6" t="str">
        <f aca="false">IF(AND($A247="",$B247=""),"",IF(M247="Ambassador","1 - Ambassador",IF(M247="Member","2 - Member",IF(J247="Completed","3 - Presented",IF(H247&lt;&gt;"","4 - Sent",IF(F247&lt;&gt;"","5 - Contacted","6 - No Activity"))))))</f>
        <v/>
      </c>
      <c r="X247" s="6" t="n">
        <f aca="false">IF(AND($A247="",$B247=""),9999999+(ROW()-4),VALUE(LEFT($W247,1))*10000+(ROW()-4))</f>
        <v>10000242</v>
      </c>
    </row>
    <row r="248" customFormat="false" ht="15" hidden="false" customHeight="true" outlineLevel="0" collapsed="false">
      <c r="A248" s="6"/>
      <c r="B248" s="6"/>
      <c r="C248" s="6"/>
      <c r="D248" s="6"/>
      <c r="E248" s="6"/>
      <c r="F248" s="7"/>
      <c r="G248" s="6"/>
      <c r="H248" s="6"/>
      <c r="I248" s="7"/>
      <c r="J248" s="6"/>
      <c r="K248" s="7"/>
      <c r="L248" s="6"/>
      <c r="M248" s="6"/>
      <c r="N248" s="7"/>
      <c r="O248" s="6"/>
      <c r="P248" s="6"/>
      <c r="Q248" s="7"/>
      <c r="R248" s="6" t="str">
        <f aca="false">IF(AND($A248="",$B248=""),"",IF(Q248="Complete","Onboarded",IF(OR(M248="Member",M248="Ambassador"),"Sponsored",IF(K248&lt;&gt;"","Follow-Up",IF(I248&lt;&gt;"","Presented",IF(F248&lt;&gt;"","Contacted","New Lead"))))))</f>
        <v/>
      </c>
      <c r="S248" s="6"/>
      <c r="T248" s="6" t="str">
        <f aca="true">IF(MAX(F248,I248,K248)=0,"",TODAY()-MAX(F248,I248,K248))</f>
        <v/>
      </c>
      <c r="U248" s="6"/>
      <c r="V248" s="6"/>
      <c r="W248" s="6" t="str">
        <f aca="false">IF(AND($A248="",$B248=""),"",IF(M248="Ambassador","1 - Ambassador",IF(M248="Member","2 - Member",IF(J248="Completed","3 - Presented",IF(H248&lt;&gt;"","4 - Sent",IF(F248&lt;&gt;"","5 - Contacted","6 - No Activity"))))))</f>
        <v/>
      </c>
      <c r="X248" s="6" t="n">
        <f aca="false">IF(AND($A248="",$B248=""),9999999+(ROW()-4),VALUE(LEFT($W248,1))*10000+(ROW()-4))</f>
        <v>10000243</v>
      </c>
    </row>
    <row r="249" customFormat="false" ht="15" hidden="false" customHeight="true" outlineLevel="0" collapsed="false">
      <c r="A249" s="6"/>
      <c r="B249" s="6"/>
      <c r="C249" s="6"/>
      <c r="D249" s="6"/>
      <c r="E249" s="6"/>
      <c r="F249" s="7"/>
      <c r="G249" s="6"/>
      <c r="H249" s="6"/>
      <c r="I249" s="7"/>
      <c r="J249" s="6"/>
      <c r="K249" s="7"/>
      <c r="L249" s="6"/>
      <c r="M249" s="6"/>
      <c r="N249" s="7"/>
      <c r="O249" s="6"/>
      <c r="P249" s="6"/>
      <c r="Q249" s="7"/>
      <c r="R249" s="6" t="str">
        <f aca="false">IF(AND($A249="",$B249=""),"",IF(Q249="Complete","Onboarded",IF(OR(M249="Member",M249="Ambassador"),"Sponsored",IF(K249&lt;&gt;"","Follow-Up",IF(I249&lt;&gt;"","Presented",IF(F249&lt;&gt;"","Contacted","New Lead"))))))</f>
        <v/>
      </c>
      <c r="S249" s="6"/>
      <c r="T249" s="6" t="str">
        <f aca="true">IF(MAX(F249,I249,K249)=0,"",TODAY()-MAX(F249,I249,K249))</f>
        <v/>
      </c>
      <c r="U249" s="6"/>
      <c r="V249" s="6"/>
      <c r="W249" s="6" t="str">
        <f aca="false">IF(AND($A249="",$B249=""),"",IF(M249="Ambassador","1 - Ambassador",IF(M249="Member","2 - Member",IF(J249="Completed","3 - Presented",IF(H249&lt;&gt;"","4 - Sent",IF(F249&lt;&gt;"","5 - Contacted","6 - No Activity"))))))</f>
        <v/>
      </c>
      <c r="X249" s="6" t="n">
        <f aca="false">IF(AND($A249="",$B249=""),9999999+(ROW()-4),VALUE(LEFT($W249,1))*10000+(ROW()-4))</f>
        <v>10000244</v>
      </c>
    </row>
    <row r="250" customFormat="false" ht="15" hidden="false" customHeight="true" outlineLevel="0" collapsed="false">
      <c r="A250" s="6"/>
      <c r="B250" s="6"/>
      <c r="C250" s="6"/>
      <c r="D250" s="6"/>
      <c r="E250" s="6"/>
      <c r="F250" s="7"/>
      <c r="G250" s="6"/>
      <c r="H250" s="6"/>
      <c r="I250" s="7"/>
      <c r="J250" s="6"/>
      <c r="K250" s="7"/>
      <c r="L250" s="6"/>
      <c r="M250" s="6"/>
      <c r="N250" s="7"/>
      <c r="O250" s="6"/>
      <c r="P250" s="6"/>
      <c r="Q250" s="7"/>
      <c r="R250" s="6" t="str">
        <f aca="false">IF(AND($A250="",$B250=""),"",IF(Q250="Complete","Onboarded",IF(OR(M250="Member",M250="Ambassador"),"Sponsored",IF(K250&lt;&gt;"","Follow-Up",IF(I250&lt;&gt;"","Presented",IF(F250&lt;&gt;"","Contacted","New Lead"))))))</f>
        <v/>
      </c>
      <c r="S250" s="6"/>
      <c r="T250" s="6" t="str">
        <f aca="true">IF(MAX(F250,I250,K250)=0,"",TODAY()-MAX(F250,I250,K250))</f>
        <v/>
      </c>
      <c r="U250" s="6"/>
      <c r="V250" s="6"/>
      <c r="W250" s="6" t="str">
        <f aca="false">IF(AND($A250="",$B250=""),"",IF(M250="Ambassador","1 - Ambassador",IF(M250="Member","2 - Member",IF(J250="Completed","3 - Presented",IF(H250&lt;&gt;"","4 - Sent",IF(F250&lt;&gt;"","5 - Contacted","6 - No Activity"))))))</f>
        <v/>
      </c>
      <c r="X250" s="6" t="n">
        <f aca="false">IF(AND($A250="",$B250=""),9999999+(ROW()-4),VALUE(LEFT($W250,1))*10000+(ROW()-4))</f>
        <v>10000245</v>
      </c>
    </row>
    <row r="251" customFormat="false" ht="15" hidden="false" customHeight="true" outlineLevel="0" collapsed="false">
      <c r="A251" s="6"/>
      <c r="B251" s="6"/>
      <c r="C251" s="6"/>
      <c r="D251" s="6"/>
      <c r="E251" s="6"/>
      <c r="F251" s="7"/>
      <c r="G251" s="6"/>
      <c r="H251" s="6"/>
      <c r="I251" s="7"/>
      <c r="J251" s="6"/>
      <c r="K251" s="7"/>
      <c r="L251" s="6"/>
      <c r="M251" s="6"/>
      <c r="N251" s="7"/>
      <c r="O251" s="6"/>
      <c r="P251" s="6"/>
      <c r="Q251" s="7"/>
      <c r="R251" s="6" t="str">
        <f aca="false">IF(AND($A251="",$B251=""),"",IF(Q251="Complete","Onboarded",IF(OR(M251="Member",M251="Ambassador"),"Sponsored",IF(K251&lt;&gt;"","Follow-Up",IF(I251&lt;&gt;"","Presented",IF(F251&lt;&gt;"","Contacted","New Lead"))))))</f>
        <v/>
      </c>
      <c r="S251" s="6"/>
      <c r="T251" s="6" t="str">
        <f aca="true">IF(MAX(F251,I251,K251)=0,"",TODAY()-MAX(F251,I251,K251))</f>
        <v/>
      </c>
      <c r="U251" s="6"/>
      <c r="V251" s="6"/>
      <c r="W251" s="6" t="str">
        <f aca="false">IF(AND($A251="",$B251=""),"",IF(M251="Ambassador","1 - Ambassador",IF(M251="Member","2 - Member",IF(J251="Completed","3 - Presented",IF(H251&lt;&gt;"","4 - Sent",IF(F251&lt;&gt;"","5 - Contacted","6 - No Activity"))))))</f>
        <v/>
      </c>
      <c r="X251" s="6" t="n">
        <f aca="false">IF(AND($A251="",$B251=""),9999999+(ROW()-4),VALUE(LEFT($W251,1))*10000+(ROW()-4))</f>
        <v>10000246</v>
      </c>
    </row>
    <row r="252" customFormat="false" ht="15" hidden="false" customHeight="true" outlineLevel="0" collapsed="false">
      <c r="A252" s="6"/>
      <c r="B252" s="6"/>
      <c r="C252" s="6"/>
      <c r="D252" s="6"/>
      <c r="E252" s="6"/>
      <c r="F252" s="7"/>
      <c r="G252" s="6"/>
      <c r="H252" s="6"/>
      <c r="I252" s="7"/>
      <c r="J252" s="6"/>
      <c r="K252" s="7"/>
      <c r="L252" s="6"/>
      <c r="M252" s="6"/>
      <c r="N252" s="7"/>
      <c r="O252" s="6"/>
      <c r="P252" s="6"/>
      <c r="Q252" s="7"/>
      <c r="R252" s="6" t="str">
        <f aca="false">IF(AND($A252="",$B252=""),"",IF(Q252="Complete","Onboarded",IF(OR(M252="Member",M252="Ambassador"),"Sponsored",IF(K252&lt;&gt;"","Follow-Up",IF(I252&lt;&gt;"","Presented",IF(F252&lt;&gt;"","Contacted","New Lead"))))))</f>
        <v/>
      </c>
      <c r="S252" s="6"/>
      <c r="T252" s="6" t="str">
        <f aca="true">IF(MAX(F252,I252,K252)=0,"",TODAY()-MAX(F252,I252,K252))</f>
        <v/>
      </c>
      <c r="U252" s="6"/>
      <c r="V252" s="6"/>
      <c r="W252" s="6" t="str">
        <f aca="false">IF(AND($A252="",$B252=""),"",IF(M252="Ambassador","1 - Ambassador",IF(M252="Member","2 - Member",IF(J252="Completed","3 - Presented",IF(H252&lt;&gt;"","4 - Sent",IF(F252&lt;&gt;"","5 - Contacted","6 - No Activity"))))))</f>
        <v/>
      </c>
      <c r="X252" s="6" t="n">
        <f aca="false">IF(AND($A252="",$B252=""),9999999+(ROW()-4),VALUE(LEFT($W252,1))*10000+(ROW()-4))</f>
        <v>10000247</v>
      </c>
    </row>
    <row r="253" customFormat="false" ht="15" hidden="false" customHeight="true" outlineLevel="0" collapsed="false">
      <c r="A253" s="6"/>
      <c r="B253" s="6"/>
      <c r="C253" s="6"/>
      <c r="D253" s="6"/>
      <c r="E253" s="6"/>
      <c r="F253" s="7"/>
      <c r="G253" s="6"/>
      <c r="H253" s="6"/>
      <c r="I253" s="7"/>
      <c r="J253" s="6"/>
      <c r="K253" s="7"/>
      <c r="L253" s="6"/>
      <c r="M253" s="6"/>
      <c r="N253" s="7"/>
      <c r="O253" s="6"/>
      <c r="P253" s="6"/>
      <c r="Q253" s="7"/>
      <c r="R253" s="6" t="str">
        <f aca="false">IF(AND($A253="",$B253=""),"",IF(Q253="Complete","Onboarded",IF(OR(M253="Member",M253="Ambassador"),"Sponsored",IF(K253&lt;&gt;"","Follow-Up",IF(I253&lt;&gt;"","Presented",IF(F253&lt;&gt;"","Contacted","New Lead"))))))</f>
        <v/>
      </c>
      <c r="S253" s="6"/>
      <c r="T253" s="6" t="str">
        <f aca="true">IF(MAX(F253,I253,K253)=0,"",TODAY()-MAX(F253,I253,K253))</f>
        <v/>
      </c>
      <c r="U253" s="6"/>
      <c r="V253" s="6"/>
      <c r="W253" s="6" t="str">
        <f aca="false">IF(AND($A253="",$B253=""),"",IF(M253="Ambassador","1 - Ambassador",IF(M253="Member","2 - Member",IF(J253="Completed","3 - Presented",IF(H253&lt;&gt;"","4 - Sent",IF(F253&lt;&gt;"","5 - Contacted","6 - No Activity"))))))</f>
        <v/>
      </c>
      <c r="X253" s="6" t="n">
        <f aca="false">IF(AND($A253="",$B253=""),9999999+(ROW()-4),VALUE(LEFT($W253,1))*10000+(ROW()-4))</f>
        <v>10000248</v>
      </c>
    </row>
    <row r="254" customFormat="false" ht="15" hidden="false" customHeight="true" outlineLevel="0" collapsed="false">
      <c r="A254" s="6"/>
      <c r="B254" s="6"/>
      <c r="C254" s="6"/>
      <c r="D254" s="6"/>
      <c r="E254" s="6"/>
      <c r="F254" s="7"/>
      <c r="G254" s="6"/>
      <c r="H254" s="6"/>
      <c r="I254" s="7"/>
      <c r="J254" s="6"/>
      <c r="K254" s="7"/>
      <c r="L254" s="6"/>
      <c r="M254" s="6"/>
      <c r="N254" s="7"/>
      <c r="O254" s="6"/>
      <c r="P254" s="6"/>
      <c r="Q254" s="7"/>
      <c r="R254" s="6" t="str">
        <f aca="false">IF(AND($A254="",$B254=""),"",IF(Q254="Complete","Onboarded",IF(OR(M254="Member",M254="Ambassador"),"Sponsored",IF(K254&lt;&gt;"","Follow-Up",IF(I254&lt;&gt;"","Presented",IF(F254&lt;&gt;"","Contacted","New Lead"))))))</f>
        <v/>
      </c>
      <c r="S254" s="6"/>
      <c r="T254" s="6" t="str">
        <f aca="true">IF(MAX(F254,I254,K254)=0,"",TODAY()-MAX(F254,I254,K254))</f>
        <v/>
      </c>
      <c r="U254" s="6"/>
      <c r="V254" s="6"/>
      <c r="W254" s="6" t="str">
        <f aca="false">IF(AND($A254="",$B254=""),"",IF(M254="Ambassador","1 - Ambassador",IF(M254="Member","2 - Member",IF(J254="Completed","3 - Presented",IF(H254&lt;&gt;"","4 - Sent",IF(F254&lt;&gt;"","5 - Contacted","6 - No Activity"))))))</f>
        <v/>
      </c>
      <c r="X254" s="6" t="n">
        <f aca="false">IF(AND($A254="",$B254=""),9999999+(ROW()-4),VALUE(LEFT($W254,1))*10000+(ROW()-4))</f>
        <v>10000249</v>
      </c>
    </row>
    <row r="255" customFormat="false" ht="15" hidden="false" customHeight="true" outlineLevel="0" collapsed="false">
      <c r="A255" s="6"/>
      <c r="B255" s="6"/>
      <c r="C255" s="6"/>
      <c r="D255" s="6"/>
      <c r="E255" s="6"/>
      <c r="F255" s="7"/>
      <c r="G255" s="6"/>
      <c r="H255" s="6"/>
      <c r="I255" s="7"/>
      <c r="J255" s="6"/>
      <c r="K255" s="7"/>
      <c r="L255" s="6"/>
      <c r="M255" s="6"/>
      <c r="N255" s="7"/>
      <c r="O255" s="6"/>
      <c r="P255" s="6"/>
      <c r="Q255" s="7"/>
      <c r="R255" s="6" t="str">
        <f aca="false">IF(AND($A255="",$B255=""),"",IF(Q255="Complete","Onboarded",IF(OR(M255="Member",M255="Ambassador"),"Sponsored",IF(K255&lt;&gt;"","Follow-Up",IF(I255&lt;&gt;"","Presented",IF(F255&lt;&gt;"","Contacted","New Lead"))))))</f>
        <v/>
      </c>
      <c r="S255" s="6"/>
      <c r="T255" s="6" t="str">
        <f aca="true">IF(MAX(F255,I255,K255)=0,"",TODAY()-MAX(F255,I255,K255))</f>
        <v/>
      </c>
      <c r="U255" s="6"/>
      <c r="V255" s="6"/>
      <c r="W255" s="6" t="str">
        <f aca="false">IF(AND($A255="",$B255=""),"",IF(M255="Ambassador","1 - Ambassador",IF(M255="Member","2 - Member",IF(J255="Completed","3 - Presented",IF(H255&lt;&gt;"","4 - Sent",IF(F255&lt;&gt;"","5 - Contacted","6 - No Activity"))))))</f>
        <v/>
      </c>
      <c r="X255" s="6" t="n">
        <f aca="false">IF(AND($A255="",$B255=""),9999999+(ROW()-4),VALUE(LEFT($W255,1))*10000+(ROW()-4))</f>
        <v>10000250</v>
      </c>
    </row>
    <row r="256" customFormat="false" ht="15" hidden="false" customHeight="true" outlineLevel="0" collapsed="false">
      <c r="A256" s="6"/>
      <c r="B256" s="6"/>
      <c r="C256" s="6"/>
      <c r="D256" s="6"/>
      <c r="E256" s="6"/>
      <c r="F256" s="7"/>
      <c r="G256" s="6"/>
      <c r="H256" s="6"/>
      <c r="I256" s="7"/>
      <c r="J256" s="6"/>
      <c r="K256" s="7"/>
      <c r="L256" s="6"/>
      <c r="M256" s="6"/>
      <c r="N256" s="7"/>
      <c r="O256" s="6"/>
      <c r="P256" s="6"/>
      <c r="Q256" s="7"/>
      <c r="R256" s="6" t="str">
        <f aca="false">IF(AND($A256="",$B256=""),"",IF(Q256="Complete","Onboarded",IF(OR(M256="Member",M256="Ambassador"),"Sponsored",IF(K256&lt;&gt;"","Follow-Up",IF(I256&lt;&gt;"","Presented",IF(F256&lt;&gt;"","Contacted","New Lead"))))))</f>
        <v/>
      </c>
      <c r="S256" s="6"/>
      <c r="T256" s="6" t="str">
        <f aca="true">IF(MAX(F256,I256,K256)=0,"",TODAY()-MAX(F256,I256,K256))</f>
        <v/>
      </c>
      <c r="U256" s="6"/>
      <c r="V256" s="6"/>
      <c r="W256" s="6" t="str">
        <f aca="false">IF(AND($A256="",$B256=""),"",IF(M256="Ambassador","1 - Ambassador",IF(M256="Member","2 - Member",IF(J256="Completed","3 - Presented",IF(H256&lt;&gt;"","4 - Sent",IF(F256&lt;&gt;"","5 - Contacted","6 - No Activity"))))))</f>
        <v/>
      </c>
      <c r="X256" s="6" t="n">
        <f aca="false">IF(AND($A256="",$B256=""),9999999+(ROW()-4),VALUE(LEFT($W256,1))*10000+(ROW()-4))</f>
        <v>10000251</v>
      </c>
    </row>
    <row r="257" customFormat="false" ht="15" hidden="false" customHeight="true" outlineLevel="0" collapsed="false">
      <c r="A257" s="6"/>
      <c r="B257" s="6"/>
      <c r="C257" s="6"/>
      <c r="D257" s="6"/>
      <c r="E257" s="6"/>
      <c r="F257" s="7"/>
      <c r="G257" s="6"/>
      <c r="H257" s="6"/>
      <c r="I257" s="7"/>
      <c r="J257" s="6"/>
      <c r="K257" s="7"/>
      <c r="L257" s="6"/>
      <c r="M257" s="6"/>
      <c r="N257" s="7"/>
      <c r="O257" s="6"/>
      <c r="P257" s="6"/>
      <c r="Q257" s="7"/>
      <c r="R257" s="6" t="str">
        <f aca="false">IF(AND($A257="",$B257=""),"",IF(Q257="Complete","Onboarded",IF(OR(M257="Member",M257="Ambassador"),"Sponsored",IF(K257&lt;&gt;"","Follow-Up",IF(I257&lt;&gt;"","Presented",IF(F257&lt;&gt;"","Contacted","New Lead"))))))</f>
        <v/>
      </c>
      <c r="S257" s="6"/>
      <c r="T257" s="6" t="str">
        <f aca="true">IF(MAX(F257,I257,K257)=0,"",TODAY()-MAX(F257,I257,K257))</f>
        <v/>
      </c>
      <c r="U257" s="6"/>
      <c r="V257" s="6"/>
      <c r="W257" s="6" t="str">
        <f aca="false">IF(AND($A257="",$B257=""),"",IF(M257="Ambassador","1 - Ambassador",IF(M257="Member","2 - Member",IF(J257="Completed","3 - Presented",IF(H257&lt;&gt;"","4 - Sent",IF(F257&lt;&gt;"","5 - Contacted","6 - No Activity"))))))</f>
        <v/>
      </c>
      <c r="X257" s="6" t="n">
        <f aca="false">IF(AND($A257="",$B257=""),9999999+(ROW()-4),VALUE(LEFT($W257,1))*10000+(ROW()-4))</f>
        <v>10000252</v>
      </c>
    </row>
    <row r="258" customFormat="false" ht="15" hidden="false" customHeight="true" outlineLevel="0" collapsed="false">
      <c r="A258" s="6"/>
      <c r="B258" s="6"/>
      <c r="C258" s="6"/>
      <c r="D258" s="6"/>
      <c r="E258" s="6"/>
      <c r="F258" s="7"/>
      <c r="G258" s="6"/>
      <c r="H258" s="6"/>
      <c r="I258" s="7"/>
      <c r="J258" s="6"/>
      <c r="K258" s="7"/>
      <c r="L258" s="6"/>
      <c r="M258" s="6"/>
      <c r="N258" s="7"/>
      <c r="O258" s="6"/>
      <c r="P258" s="6"/>
      <c r="Q258" s="7"/>
      <c r="R258" s="6" t="str">
        <f aca="false">IF(AND($A258="",$B258=""),"",IF(Q258="Complete","Onboarded",IF(OR(M258="Member",M258="Ambassador"),"Sponsored",IF(K258&lt;&gt;"","Follow-Up",IF(I258&lt;&gt;"","Presented",IF(F258&lt;&gt;"","Contacted","New Lead"))))))</f>
        <v/>
      </c>
      <c r="S258" s="6"/>
      <c r="T258" s="6" t="str">
        <f aca="true">IF(MAX(F258,I258,K258)=0,"",TODAY()-MAX(F258,I258,K258))</f>
        <v/>
      </c>
      <c r="U258" s="6"/>
      <c r="V258" s="6"/>
      <c r="W258" s="6" t="str">
        <f aca="false">IF(AND($A258="",$B258=""),"",IF(M258="Ambassador","1 - Ambassador",IF(M258="Member","2 - Member",IF(J258="Completed","3 - Presented",IF(H258&lt;&gt;"","4 - Sent",IF(F258&lt;&gt;"","5 - Contacted","6 - No Activity"))))))</f>
        <v/>
      </c>
      <c r="X258" s="6" t="n">
        <f aca="false">IF(AND($A258="",$B258=""),9999999+(ROW()-4),VALUE(LEFT($W258,1))*10000+(ROW()-4))</f>
        <v>10000253</v>
      </c>
    </row>
    <row r="259" customFormat="false" ht="15" hidden="false" customHeight="true" outlineLevel="0" collapsed="false">
      <c r="A259" s="6"/>
      <c r="B259" s="6"/>
      <c r="C259" s="6"/>
      <c r="D259" s="6"/>
      <c r="E259" s="6"/>
      <c r="F259" s="7"/>
      <c r="G259" s="6"/>
      <c r="H259" s="6"/>
      <c r="I259" s="7"/>
      <c r="J259" s="6"/>
      <c r="K259" s="7"/>
      <c r="L259" s="6"/>
      <c r="M259" s="6"/>
      <c r="N259" s="7"/>
      <c r="O259" s="6"/>
      <c r="P259" s="6"/>
      <c r="Q259" s="7"/>
      <c r="R259" s="6" t="str">
        <f aca="false">IF(AND($A259="",$B259=""),"",IF(Q259="Complete","Onboarded",IF(OR(M259="Member",M259="Ambassador"),"Sponsored",IF(K259&lt;&gt;"","Follow-Up",IF(I259&lt;&gt;"","Presented",IF(F259&lt;&gt;"","Contacted","New Lead"))))))</f>
        <v/>
      </c>
      <c r="S259" s="6"/>
      <c r="T259" s="6" t="str">
        <f aca="true">IF(MAX(F259,I259,K259)=0,"",TODAY()-MAX(F259,I259,K259))</f>
        <v/>
      </c>
      <c r="U259" s="6"/>
      <c r="V259" s="6"/>
      <c r="W259" s="6" t="str">
        <f aca="false">IF(AND($A259="",$B259=""),"",IF(M259="Ambassador","1 - Ambassador",IF(M259="Member","2 - Member",IF(J259="Completed","3 - Presented",IF(H259&lt;&gt;"","4 - Sent",IF(F259&lt;&gt;"","5 - Contacted","6 - No Activity"))))))</f>
        <v/>
      </c>
      <c r="X259" s="6" t="n">
        <f aca="false">IF(AND($A259="",$B259=""),9999999+(ROW()-4),VALUE(LEFT($W259,1))*10000+(ROW()-4))</f>
        <v>10000254</v>
      </c>
    </row>
    <row r="260" customFormat="false" ht="15" hidden="false" customHeight="true" outlineLevel="0" collapsed="false">
      <c r="A260" s="6"/>
      <c r="B260" s="6"/>
      <c r="C260" s="6"/>
      <c r="D260" s="6"/>
      <c r="E260" s="6"/>
      <c r="F260" s="7"/>
      <c r="G260" s="6"/>
      <c r="H260" s="6"/>
      <c r="I260" s="7"/>
      <c r="J260" s="6"/>
      <c r="K260" s="7"/>
      <c r="L260" s="6"/>
      <c r="M260" s="6"/>
      <c r="N260" s="7"/>
      <c r="O260" s="6"/>
      <c r="P260" s="6"/>
      <c r="Q260" s="7"/>
      <c r="R260" s="6" t="str">
        <f aca="false">IF(AND($A260="",$B260=""),"",IF(Q260="Complete","Onboarded",IF(OR(M260="Member",M260="Ambassador"),"Sponsored",IF(K260&lt;&gt;"","Follow-Up",IF(I260&lt;&gt;"","Presented",IF(F260&lt;&gt;"","Contacted","New Lead"))))))</f>
        <v/>
      </c>
      <c r="S260" s="6"/>
      <c r="T260" s="6" t="str">
        <f aca="true">IF(MAX(F260,I260,K260)=0,"",TODAY()-MAX(F260,I260,K260))</f>
        <v/>
      </c>
      <c r="U260" s="6"/>
      <c r="V260" s="6"/>
      <c r="W260" s="6" t="str">
        <f aca="false">IF(AND($A260="",$B260=""),"",IF(M260="Ambassador","1 - Ambassador",IF(M260="Member","2 - Member",IF(J260="Completed","3 - Presented",IF(H260&lt;&gt;"","4 - Sent",IF(F260&lt;&gt;"","5 - Contacted","6 - No Activity"))))))</f>
        <v/>
      </c>
      <c r="X260" s="6" t="n">
        <f aca="false">IF(AND($A260="",$B260=""),9999999+(ROW()-4),VALUE(LEFT($W260,1))*10000+(ROW()-4))</f>
        <v>10000255</v>
      </c>
    </row>
    <row r="261" customFormat="false" ht="15" hidden="false" customHeight="true" outlineLevel="0" collapsed="false">
      <c r="A261" s="6"/>
      <c r="B261" s="6"/>
      <c r="C261" s="6"/>
      <c r="D261" s="6"/>
      <c r="E261" s="6"/>
      <c r="F261" s="7"/>
      <c r="G261" s="6"/>
      <c r="H261" s="6"/>
      <c r="I261" s="7"/>
      <c r="J261" s="6"/>
      <c r="K261" s="7"/>
      <c r="L261" s="6"/>
      <c r="M261" s="6"/>
      <c r="N261" s="7"/>
      <c r="O261" s="6"/>
      <c r="P261" s="6"/>
      <c r="Q261" s="7"/>
      <c r="R261" s="6" t="str">
        <f aca="false">IF(AND($A261="",$B261=""),"",IF(Q261="Complete","Onboarded",IF(OR(M261="Member",M261="Ambassador"),"Sponsored",IF(K261&lt;&gt;"","Follow-Up",IF(I261&lt;&gt;"","Presented",IF(F261&lt;&gt;"","Contacted","New Lead"))))))</f>
        <v/>
      </c>
      <c r="S261" s="6"/>
      <c r="T261" s="6" t="str">
        <f aca="true">IF(MAX(F261,I261,K261)=0,"",TODAY()-MAX(F261,I261,K261))</f>
        <v/>
      </c>
      <c r="U261" s="6"/>
      <c r="V261" s="6"/>
      <c r="W261" s="6" t="str">
        <f aca="false">IF(AND($A261="",$B261=""),"",IF(M261="Ambassador","1 - Ambassador",IF(M261="Member","2 - Member",IF(J261="Completed","3 - Presented",IF(H261&lt;&gt;"","4 - Sent",IF(F261&lt;&gt;"","5 - Contacted","6 - No Activity"))))))</f>
        <v/>
      </c>
      <c r="X261" s="6" t="n">
        <f aca="false">IF(AND($A261="",$B261=""),9999999+(ROW()-4),VALUE(LEFT($W261,1))*10000+(ROW()-4))</f>
        <v>10000256</v>
      </c>
    </row>
    <row r="262" customFormat="false" ht="15" hidden="false" customHeight="true" outlineLevel="0" collapsed="false">
      <c r="A262" s="6"/>
      <c r="B262" s="6"/>
      <c r="C262" s="6"/>
      <c r="D262" s="6"/>
      <c r="E262" s="6"/>
      <c r="F262" s="7"/>
      <c r="G262" s="6"/>
      <c r="H262" s="6"/>
      <c r="I262" s="7"/>
      <c r="J262" s="6"/>
      <c r="K262" s="7"/>
      <c r="L262" s="6"/>
      <c r="M262" s="6"/>
      <c r="N262" s="7"/>
      <c r="O262" s="6"/>
      <c r="P262" s="6"/>
      <c r="Q262" s="7"/>
      <c r="R262" s="6" t="str">
        <f aca="false">IF(AND($A262="",$B262=""),"",IF(Q262="Complete","Onboarded",IF(OR(M262="Member",M262="Ambassador"),"Sponsored",IF(K262&lt;&gt;"","Follow-Up",IF(I262&lt;&gt;"","Presented",IF(F262&lt;&gt;"","Contacted","New Lead"))))))</f>
        <v/>
      </c>
      <c r="S262" s="6"/>
      <c r="T262" s="6" t="str">
        <f aca="true">IF(MAX(F262,I262,K262)=0,"",TODAY()-MAX(F262,I262,K262))</f>
        <v/>
      </c>
      <c r="U262" s="6"/>
      <c r="V262" s="6"/>
      <c r="W262" s="6" t="str">
        <f aca="false">IF(AND($A262="",$B262=""),"",IF(M262="Ambassador","1 - Ambassador",IF(M262="Member","2 - Member",IF(J262="Completed","3 - Presented",IF(H262&lt;&gt;"","4 - Sent",IF(F262&lt;&gt;"","5 - Contacted","6 - No Activity"))))))</f>
        <v/>
      </c>
      <c r="X262" s="6" t="n">
        <f aca="false">IF(AND($A262="",$B262=""),9999999+(ROW()-4),VALUE(LEFT($W262,1))*10000+(ROW()-4))</f>
        <v>10000257</v>
      </c>
    </row>
    <row r="263" customFormat="false" ht="15" hidden="false" customHeight="true" outlineLevel="0" collapsed="false">
      <c r="A263" s="6"/>
      <c r="B263" s="6"/>
      <c r="C263" s="6"/>
      <c r="D263" s="6"/>
      <c r="E263" s="6"/>
      <c r="F263" s="7"/>
      <c r="G263" s="6"/>
      <c r="H263" s="6"/>
      <c r="I263" s="7"/>
      <c r="J263" s="6"/>
      <c r="K263" s="7"/>
      <c r="L263" s="6"/>
      <c r="M263" s="6"/>
      <c r="N263" s="7"/>
      <c r="O263" s="6"/>
      <c r="P263" s="6"/>
      <c r="Q263" s="7"/>
      <c r="R263" s="6" t="str">
        <f aca="false">IF(AND($A263="",$B263=""),"",IF(Q263="Complete","Onboarded",IF(OR(M263="Member",M263="Ambassador"),"Sponsored",IF(K263&lt;&gt;"","Follow-Up",IF(I263&lt;&gt;"","Presented",IF(F263&lt;&gt;"","Contacted","New Lead"))))))</f>
        <v/>
      </c>
      <c r="S263" s="6"/>
      <c r="T263" s="6" t="str">
        <f aca="true">IF(MAX(F263,I263,K263)=0,"",TODAY()-MAX(F263,I263,K263))</f>
        <v/>
      </c>
      <c r="U263" s="6"/>
      <c r="V263" s="6"/>
      <c r="W263" s="6" t="str">
        <f aca="false">IF(AND($A263="",$B263=""),"",IF(M263="Ambassador","1 - Ambassador",IF(M263="Member","2 - Member",IF(J263="Completed","3 - Presented",IF(H263&lt;&gt;"","4 - Sent",IF(F263&lt;&gt;"","5 - Contacted","6 - No Activity"))))))</f>
        <v/>
      </c>
      <c r="X263" s="6" t="n">
        <f aca="false">IF(AND($A263="",$B263=""),9999999+(ROW()-4),VALUE(LEFT($W263,1))*10000+(ROW()-4))</f>
        <v>10000258</v>
      </c>
    </row>
    <row r="264" customFormat="false" ht="15" hidden="false" customHeight="true" outlineLevel="0" collapsed="false">
      <c r="A264" s="6"/>
      <c r="B264" s="6"/>
      <c r="C264" s="6"/>
      <c r="D264" s="6"/>
      <c r="E264" s="6"/>
      <c r="F264" s="7"/>
      <c r="G264" s="6"/>
      <c r="H264" s="6"/>
      <c r="I264" s="7"/>
      <c r="J264" s="6"/>
      <c r="K264" s="7"/>
      <c r="L264" s="6"/>
      <c r="M264" s="6"/>
      <c r="N264" s="7"/>
      <c r="O264" s="6"/>
      <c r="P264" s="6"/>
      <c r="Q264" s="7"/>
      <c r="R264" s="6" t="str">
        <f aca="false">IF(AND($A264="",$B264=""),"",IF(Q264="Complete","Onboarded",IF(OR(M264="Member",M264="Ambassador"),"Sponsored",IF(K264&lt;&gt;"","Follow-Up",IF(I264&lt;&gt;"","Presented",IF(F264&lt;&gt;"","Contacted","New Lead"))))))</f>
        <v/>
      </c>
      <c r="S264" s="6"/>
      <c r="T264" s="6" t="str">
        <f aca="true">IF(MAX(F264,I264,K264)=0,"",TODAY()-MAX(F264,I264,K264))</f>
        <v/>
      </c>
      <c r="U264" s="6"/>
      <c r="V264" s="6"/>
      <c r="W264" s="6" t="str">
        <f aca="false">IF(AND($A264="",$B264=""),"",IF(M264="Ambassador","1 - Ambassador",IF(M264="Member","2 - Member",IF(J264="Completed","3 - Presented",IF(H264&lt;&gt;"","4 - Sent",IF(F264&lt;&gt;"","5 - Contacted","6 - No Activity"))))))</f>
        <v/>
      </c>
      <c r="X264" s="6" t="n">
        <f aca="false">IF(AND($A264="",$B264=""),9999999+(ROW()-4),VALUE(LEFT($W264,1))*10000+(ROW()-4))</f>
        <v>10000259</v>
      </c>
    </row>
    <row r="265" customFormat="false" ht="15" hidden="false" customHeight="true" outlineLevel="0" collapsed="false">
      <c r="A265" s="6"/>
      <c r="B265" s="6"/>
      <c r="C265" s="6"/>
      <c r="D265" s="6"/>
      <c r="E265" s="6"/>
      <c r="F265" s="7"/>
      <c r="G265" s="6"/>
      <c r="H265" s="6"/>
      <c r="I265" s="7"/>
      <c r="J265" s="6"/>
      <c r="K265" s="7"/>
      <c r="L265" s="6"/>
      <c r="M265" s="6"/>
      <c r="N265" s="7"/>
      <c r="O265" s="6"/>
      <c r="P265" s="6"/>
      <c r="Q265" s="7"/>
      <c r="R265" s="6" t="str">
        <f aca="false">IF(AND($A265="",$B265=""),"",IF(Q265="Complete","Onboarded",IF(OR(M265="Member",M265="Ambassador"),"Sponsored",IF(K265&lt;&gt;"","Follow-Up",IF(I265&lt;&gt;"","Presented",IF(F265&lt;&gt;"","Contacted","New Lead"))))))</f>
        <v/>
      </c>
      <c r="S265" s="6"/>
      <c r="T265" s="6" t="str">
        <f aca="true">IF(MAX(F265,I265,K265)=0,"",TODAY()-MAX(F265,I265,K265))</f>
        <v/>
      </c>
      <c r="U265" s="6"/>
      <c r="V265" s="6"/>
      <c r="W265" s="6" t="str">
        <f aca="false">IF(AND($A265="",$B265=""),"",IF(M265="Ambassador","1 - Ambassador",IF(M265="Member","2 - Member",IF(J265="Completed","3 - Presented",IF(H265&lt;&gt;"","4 - Sent",IF(F265&lt;&gt;"","5 - Contacted","6 - No Activity"))))))</f>
        <v/>
      </c>
      <c r="X265" s="6" t="n">
        <f aca="false">IF(AND($A265="",$B265=""),9999999+(ROW()-4),VALUE(LEFT($W265,1))*10000+(ROW()-4))</f>
        <v>10000260</v>
      </c>
    </row>
    <row r="266" customFormat="false" ht="15" hidden="false" customHeight="true" outlineLevel="0" collapsed="false">
      <c r="A266" s="6"/>
      <c r="B266" s="6"/>
      <c r="C266" s="6"/>
      <c r="D266" s="6"/>
      <c r="E266" s="6"/>
      <c r="F266" s="7"/>
      <c r="G266" s="6"/>
      <c r="H266" s="6"/>
      <c r="I266" s="7"/>
      <c r="J266" s="6"/>
      <c r="K266" s="7"/>
      <c r="L266" s="6"/>
      <c r="M266" s="6"/>
      <c r="N266" s="7"/>
      <c r="O266" s="6"/>
      <c r="P266" s="6"/>
      <c r="Q266" s="7"/>
      <c r="R266" s="6" t="str">
        <f aca="false">IF(AND($A266="",$B266=""),"",IF(Q266="Complete","Onboarded",IF(OR(M266="Member",M266="Ambassador"),"Sponsored",IF(K266&lt;&gt;"","Follow-Up",IF(I266&lt;&gt;"","Presented",IF(F266&lt;&gt;"","Contacted","New Lead"))))))</f>
        <v/>
      </c>
      <c r="S266" s="6"/>
      <c r="T266" s="6" t="str">
        <f aca="true">IF(MAX(F266,I266,K266)=0,"",TODAY()-MAX(F266,I266,K266))</f>
        <v/>
      </c>
      <c r="U266" s="6"/>
      <c r="V266" s="6"/>
      <c r="W266" s="6" t="str">
        <f aca="false">IF(AND($A266="",$B266=""),"",IF(M266="Ambassador","1 - Ambassador",IF(M266="Member","2 - Member",IF(J266="Completed","3 - Presented",IF(H266&lt;&gt;"","4 - Sent",IF(F266&lt;&gt;"","5 - Contacted","6 - No Activity"))))))</f>
        <v/>
      </c>
      <c r="X266" s="6" t="n">
        <f aca="false">IF(AND($A266="",$B266=""),9999999+(ROW()-4),VALUE(LEFT($W266,1))*10000+(ROW()-4))</f>
        <v>10000261</v>
      </c>
    </row>
    <row r="267" customFormat="false" ht="15" hidden="false" customHeight="true" outlineLevel="0" collapsed="false">
      <c r="A267" s="6"/>
      <c r="B267" s="6"/>
      <c r="C267" s="6"/>
      <c r="D267" s="6"/>
      <c r="E267" s="6"/>
      <c r="F267" s="7"/>
      <c r="G267" s="6"/>
      <c r="H267" s="6"/>
      <c r="I267" s="7"/>
      <c r="J267" s="6"/>
      <c r="K267" s="7"/>
      <c r="L267" s="6"/>
      <c r="M267" s="6"/>
      <c r="N267" s="7"/>
      <c r="O267" s="6"/>
      <c r="P267" s="6"/>
      <c r="Q267" s="7"/>
      <c r="R267" s="6" t="str">
        <f aca="false">IF(AND($A267="",$B267=""),"",IF(Q267="Complete","Onboarded",IF(OR(M267="Member",M267="Ambassador"),"Sponsored",IF(K267&lt;&gt;"","Follow-Up",IF(I267&lt;&gt;"","Presented",IF(F267&lt;&gt;"","Contacted","New Lead"))))))</f>
        <v/>
      </c>
      <c r="S267" s="6"/>
      <c r="T267" s="6" t="str">
        <f aca="true">IF(MAX(F267,I267,K267)=0,"",TODAY()-MAX(F267,I267,K267))</f>
        <v/>
      </c>
      <c r="U267" s="6"/>
      <c r="V267" s="6"/>
      <c r="W267" s="6" t="str">
        <f aca="false">IF(AND($A267="",$B267=""),"",IF(M267="Ambassador","1 - Ambassador",IF(M267="Member","2 - Member",IF(J267="Completed","3 - Presented",IF(H267&lt;&gt;"","4 - Sent",IF(F267&lt;&gt;"","5 - Contacted","6 - No Activity"))))))</f>
        <v/>
      </c>
      <c r="X267" s="6" t="n">
        <f aca="false">IF(AND($A267="",$B267=""),9999999+(ROW()-4),VALUE(LEFT($W267,1))*10000+(ROW()-4))</f>
        <v>10000262</v>
      </c>
    </row>
    <row r="268" customFormat="false" ht="15" hidden="false" customHeight="true" outlineLevel="0" collapsed="false">
      <c r="A268" s="6"/>
      <c r="B268" s="6"/>
      <c r="C268" s="6"/>
      <c r="D268" s="6"/>
      <c r="E268" s="6"/>
      <c r="F268" s="7"/>
      <c r="G268" s="6"/>
      <c r="H268" s="6"/>
      <c r="I268" s="7"/>
      <c r="J268" s="6"/>
      <c r="K268" s="7"/>
      <c r="L268" s="6"/>
      <c r="M268" s="6"/>
      <c r="N268" s="7"/>
      <c r="O268" s="6"/>
      <c r="P268" s="6"/>
      <c r="Q268" s="7"/>
      <c r="R268" s="6" t="str">
        <f aca="false">IF(AND($A268="",$B268=""),"",IF(Q268="Complete","Onboarded",IF(OR(M268="Member",M268="Ambassador"),"Sponsored",IF(K268&lt;&gt;"","Follow-Up",IF(I268&lt;&gt;"","Presented",IF(F268&lt;&gt;"","Contacted","New Lead"))))))</f>
        <v/>
      </c>
      <c r="S268" s="6"/>
      <c r="T268" s="6" t="str">
        <f aca="true">IF(MAX(F268,I268,K268)=0,"",TODAY()-MAX(F268,I268,K268))</f>
        <v/>
      </c>
      <c r="U268" s="6"/>
      <c r="V268" s="6"/>
      <c r="W268" s="6" t="str">
        <f aca="false">IF(AND($A268="",$B268=""),"",IF(M268="Ambassador","1 - Ambassador",IF(M268="Member","2 - Member",IF(J268="Completed","3 - Presented",IF(H268&lt;&gt;"","4 - Sent",IF(F268&lt;&gt;"","5 - Contacted","6 - No Activity"))))))</f>
        <v/>
      </c>
      <c r="X268" s="6" t="n">
        <f aca="false">IF(AND($A268="",$B268=""),9999999+(ROW()-4),VALUE(LEFT($W268,1))*10000+(ROW()-4))</f>
        <v>10000263</v>
      </c>
    </row>
    <row r="269" customFormat="false" ht="15" hidden="false" customHeight="true" outlineLevel="0" collapsed="false">
      <c r="A269" s="6"/>
      <c r="B269" s="6"/>
      <c r="C269" s="6"/>
      <c r="D269" s="6"/>
      <c r="E269" s="6"/>
      <c r="F269" s="7"/>
      <c r="G269" s="6"/>
      <c r="H269" s="6"/>
      <c r="I269" s="7"/>
      <c r="J269" s="6"/>
      <c r="K269" s="7"/>
      <c r="L269" s="6"/>
      <c r="M269" s="6"/>
      <c r="N269" s="7"/>
      <c r="O269" s="6"/>
      <c r="P269" s="6"/>
      <c r="Q269" s="7"/>
      <c r="R269" s="6" t="str">
        <f aca="false">IF(AND($A269="",$B269=""),"",IF(Q269="Complete","Onboarded",IF(OR(M269="Member",M269="Ambassador"),"Sponsored",IF(K269&lt;&gt;"","Follow-Up",IF(I269&lt;&gt;"","Presented",IF(F269&lt;&gt;"","Contacted","New Lead"))))))</f>
        <v/>
      </c>
      <c r="S269" s="6"/>
      <c r="T269" s="6" t="str">
        <f aca="true">IF(MAX(F269,I269,K269)=0,"",TODAY()-MAX(F269,I269,K269))</f>
        <v/>
      </c>
      <c r="U269" s="6"/>
      <c r="V269" s="6"/>
      <c r="W269" s="6" t="str">
        <f aca="false">IF(AND($A269="",$B269=""),"",IF(M269="Ambassador","1 - Ambassador",IF(M269="Member","2 - Member",IF(J269="Completed","3 - Presented",IF(H269&lt;&gt;"","4 - Sent",IF(F269&lt;&gt;"","5 - Contacted","6 - No Activity"))))))</f>
        <v/>
      </c>
      <c r="X269" s="6" t="n">
        <f aca="false">IF(AND($A269="",$B269=""),9999999+(ROW()-4),VALUE(LEFT($W269,1))*10000+(ROW()-4))</f>
        <v>10000264</v>
      </c>
    </row>
    <row r="270" customFormat="false" ht="15" hidden="false" customHeight="true" outlineLevel="0" collapsed="false">
      <c r="A270" s="6"/>
      <c r="B270" s="6"/>
      <c r="C270" s="6"/>
      <c r="D270" s="6"/>
      <c r="E270" s="6"/>
      <c r="F270" s="7"/>
      <c r="G270" s="6"/>
      <c r="H270" s="6"/>
      <c r="I270" s="7"/>
      <c r="J270" s="6"/>
      <c r="K270" s="7"/>
      <c r="L270" s="6"/>
      <c r="M270" s="6"/>
      <c r="N270" s="7"/>
      <c r="O270" s="6"/>
      <c r="P270" s="6"/>
      <c r="Q270" s="7"/>
      <c r="R270" s="6" t="str">
        <f aca="false">IF(AND($A270="",$B270=""),"",IF(Q270="Complete","Onboarded",IF(OR(M270="Member",M270="Ambassador"),"Sponsored",IF(K270&lt;&gt;"","Follow-Up",IF(I270&lt;&gt;"","Presented",IF(F270&lt;&gt;"","Contacted","New Lead"))))))</f>
        <v/>
      </c>
      <c r="S270" s="6"/>
      <c r="T270" s="6" t="str">
        <f aca="true">IF(MAX(F270,I270,K270)=0,"",TODAY()-MAX(F270,I270,K270))</f>
        <v/>
      </c>
      <c r="U270" s="6"/>
      <c r="V270" s="6"/>
      <c r="W270" s="6" t="str">
        <f aca="false">IF(AND($A270="",$B270=""),"",IF(M270="Ambassador","1 - Ambassador",IF(M270="Member","2 - Member",IF(J270="Completed","3 - Presented",IF(H270&lt;&gt;"","4 - Sent",IF(F270&lt;&gt;"","5 - Contacted","6 - No Activity"))))))</f>
        <v/>
      </c>
      <c r="X270" s="6" t="n">
        <f aca="false">IF(AND($A270="",$B270=""),9999999+(ROW()-4),VALUE(LEFT($W270,1))*10000+(ROW()-4))</f>
        <v>10000265</v>
      </c>
    </row>
    <row r="271" customFormat="false" ht="15" hidden="false" customHeight="true" outlineLevel="0" collapsed="false">
      <c r="A271" s="6"/>
      <c r="B271" s="6"/>
      <c r="C271" s="6"/>
      <c r="D271" s="6"/>
      <c r="E271" s="6"/>
      <c r="F271" s="7"/>
      <c r="G271" s="6"/>
      <c r="H271" s="6"/>
      <c r="I271" s="7"/>
      <c r="J271" s="6"/>
      <c r="K271" s="7"/>
      <c r="L271" s="6"/>
      <c r="M271" s="6"/>
      <c r="N271" s="7"/>
      <c r="O271" s="6"/>
      <c r="P271" s="6"/>
      <c r="Q271" s="7"/>
      <c r="R271" s="6" t="str">
        <f aca="false">IF(AND($A271="",$B271=""),"",IF(Q271="Complete","Onboarded",IF(OR(M271="Member",M271="Ambassador"),"Sponsored",IF(K271&lt;&gt;"","Follow-Up",IF(I271&lt;&gt;"","Presented",IF(F271&lt;&gt;"","Contacted","New Lead"))))))</f>
        <v/>
      </c>
      <c r="S271" s="6"/>
      <c r="T271" s="6" t="str">
        <f aca="true">IF(MAX(F271,I271,K271)=0,"",TODAY()-MAX(F271,I271,K271))</f>
        <v/>
      </c>
      <c r="U271" s="6"/>
      <c r="V271" s="6"/>
      <c r="W271" s="6" t="str">
        <f aca="false">IF(AND($A271="",$B271=""),"",IF(M271="Ambassador","1 - Ambassador",IF(M271="Member","2 - Member",IF(J271="Completed","3 - Presented",IF(H271&lt;&gt;"","4 - Sent",IF(F271&lt;&gt;"","5 - Contacted","6 - No Activity"))))))</f>
        <v/>
      </c>
      <c r="X271" s="6" t="n">
        <f aca="false">IF(AND($A271="",$B271=""),9999999+(ROW()-4),VALUE(LEFT($W271,1))*10000+(ROW()-4))</f>
        <v>10000266</v>
      </c>
    </row>
    <row r="272" customFormat="false" ht="15" hidden="false" customHeight="true" outlineLevel="0" collapsed="false">
      <c r="A272" s="6"/>
      <c r="B272" s="6"/>
      <c r="C272" s="6"/>
      <c r="D272" s="6"/>
      <c r="E272" s="6"/>
      <c r="F272" s="7"/>
      <c r="G272" s="6"/>
      <c r="H272" s="6"/>
      <c r="I272" s="7"/>
      <c r="J272" s="6"/>
      <c r="K272" s="7"/>
      <c r="L272" s="6"/>
      <c r="M272" s="6"/>
      <c r="N272" s="7"/>
      <c r="O272" s="6"/>
      <c r="P272" s="6"/>
      <c r="Q272" s="7"/>
      <c r="R272" s="6" t="str">
        <f aca="false">IF(AND($A272="",$B272=""),"",IF(Q272="Complete","Onboarded",IF(OR(M272="Member",M272="Ambassador"),"Sponsored",IF(K272&lt;&gt;"","Follow-Up",IF(I272&lt;&gt;"","Presented",IF(F272&lt;&gt;"","Contacted","New Lead"))))))</f>
        <v/>
      </c>
      <c r="S272" s="6"/>
      <c r="T272" s="6" t="str">
        <f aca="true">IF(MAX(F272,I272,K272)=0,"",TODAY()-MAX(F272,I272,K272))</f>
        <v/>
      </c>
      <c r="U272" s="6"/>
      <c r="V272" s="6"/>
      <c r="W272" s="6" t="str">
        <f aca="false">IF(AND($A272="",$B272=""),"",IF(M272="Ambassador","1 - Ambassador",IF(M272="Member","2 - Member",IF(J272="Completed","3 - Presented",IF(H272&lt;&gt;"","4 - Sent",IF(F272&lt;&gt;"","5 - Contacted","6 - No Activity"))))))</f>
        <v/>
      </c>
      <c r="X272" s="6" t="n">
        <f aca="false">IF(AND($A272="",$B272=""),9999999+(ROW()-4),VALUE(LEFT($W272,1))*10000+(ROW()-4))</f>
        <v>10000267</v>
      </c>
    </row>
    <row r="273" customFormat="false" ht="15" hidden="false" customHeight="true" outlineLevel="0" collapsed="false">
      <c r="A273" s="6"/>
      <c r="B273" s="6"/>
      <c r="C273" s="6"/>
      <c r="D273" s="6"/>
      <c r="E273" s="6"/>
      <c r="F273" s="7"/>
      <c r="G273" s="6"/>
      <c r="H273" s="6"/>
      <c r="I273" s="7"/>
      <c r="J273" s="6"/>
      <c r="K273" s="7"/>
      <c r="L273" s="6"/>
      <c r="M273" s="6"/>
      <c r="N273" s="7"/>
      <c r="O273" s="6"/>
      <c r="P273" s="6"/>
      <c r="Q273" s="7"/>
      <c r="R273" s="6" t="str">
        <f aca="false">IF(AND($A273="",$B273=""),"",IF(Q273="Complete","Onboarded",IF(OR(M273="Member",M273="Ambassador"),"Sponsored",IF(K273&lt;&gt;"","Follow-Up",IF(I273&lt;&gt;"","Presented",IF(F273&lt;&gt;"","Contacted","New Lead"))))))</f>
        <v/>
      </c>
      <c r="S273" s="6"/>
      <c r="T273" s="6" t="str">
        <f aca="true">IF(MAX(F273,I273,K273)=0,"",TODAY()-MAX(F273,I273,K273))</f>
        <v/>
      </c>
      <c r="U273" s="6"/>
      <c r="V273" s="6"/>
      <c r="W273" s="6" t="str">
        <f aca="false">IF(AND($A273="",$B273=""),"",IF(M273="Ambassador","1 - Ambassador",IF(M273="Member","2 - Member",IF(J273="Completed","3 - Presented",IF(H273&lt;&gt;"","4 - Sent",IF(F273&lt;&gt;"","5 - Contacted","6 - No Activity"))))))</f>
        <v/>
      </c>
      <c r="X273" s="6" t="n">
        <f aca="false">IF(AND($A273="",$B273=""),9999999+(ROW()-4),VALUE(LEFT($W273,1))*10000+(ROW()-4))</f>
        <v>10000268</v>
      </c>
    </row>
    <row r="274" customFormat="false" ht="15" hidden="false" customHeight="true" outlineLevel="0" collapsed="false">
      <c r="A274" s="6"/>
      <c r="B274" s="6"/>
      <c r="C274" s="6"/>
      <c r="D274" s="6"/>
      <c r="E274" s="6"/>
      <c r="F274" s="7"/>
      <c r="G274" s="6"/>
      <c r="H274" s="6"/>
      <c r="I274" s="7"/>
      <c r="J274" s="6"/>
      <c r="K274" s="7"/>
      <c r="L274" s="6"/>
      <c r="M274" s="6"/>
      <c r="N274" s="7"/>
      <c r="O274" s="6"/>
      <c r="P274" s="6"/>
      <c r="Q274" s="7"/>
      <c r="R274" s="6" t="str">
        <f aca="false">IF(AND($A274="",$B274=""),"",IF(Q274="Complete","Onboarded",IF(OR(M274="Member",M274="Ambassador"),"Sponsored",IF(K274&lt;&gt;"","Follow-Up",IF(I274&lt;&gt;"","Presented",IF(F274&lt;&gt;"","Contacted","New Lead"))))))</f>
        <v/>
      </c>
      <c r="S274" s="6"/>
      <c r="T274" s="6" t="str">
        <f aca="true">IF(MAX(F274,I274,K274)=0,"",TODAY()-MAX(F274,I274,K274))</f>
        <v/>
      </c>
      <c r="U274" s="6"/>
      <c r="V274" s="6"/>
      <c r="W274" s="6" t="str">
        <f aca="false">IF(AND($A274="",$B274=""),"",IF(M274="Ambassador","1 - Ambassador",IF(M274="Member","2 - Member",IF(J274="Completed","3 - Presented",IF(H274&lt;&gt;"","4 - Sent",IF(F274&lt;&gt;"","5 - Contacted","6 - No Activity"))))))</f>
        <v/>
      </c>
      <c r="X274" s="6" t="n">
        <f aca="false">IF(AND($A274="",$B274=""),9999999+(ROW()-4),VALUE(LEFT($W274,1))*10000+(ROW()-4))</f>
        <v>10000269</v>
      </c>
    </row>
    <row r="275" customFormat="false" ht="15" hidden="false" customHeight="true" outlineLevel="0" collapsed="false">
      <c r="A275" s="6"/>
      <c r="B275" s="6"/>
      <c r="C275" s="6"/>
      <c r="D275" s="6"/>
      <c r="E275" s="6"/>
      <c r="F275" s="7"/>
      <c r="G275" s="6"/>
      <c r="H275" s="6"/>
      <c r="I275" s="7"/>
      <c r="J275" s="6"/>
      <c r="K275" s="7"/>
      <c r="L275" s="6"/>
      <c r="M275" s="6"/>
      <c r="N275" s="7"/>
      <c r="O275" s="6"/>
      <c r="P275" s="6"/>
      <c r="Q275" s="7"/>
      <c r="R275" s="6" t="str">
        <f aca="false">IF(AND($A275="",$B275=""),"",IF(Q275="Complete","Onboarded",IF(OR(M275="Member",M275="Ambassador"),"Sponsored",IF(K275&lt;&gt;"","Follow-Up",IF(I275&lt;&gt;"","Presented",IF(F275&lt;&gt;"","Contacted","New Lead"))))))</f>
        <v/>
      </c>
      <c r="S275" s="6"/>
      <c r="T275" s="6" t="str">
        <f aca="true">IF(MAX(F275,I275,K275)=0,"",TODAY()-MAX(F275,I275,K275))</f>
        <v/>
      </c>
      <c r="U275" s="6"/>
      <c r="V275" s="6"/>
      <c r="W275" s="6" t="str">
        <f aca="false">IF(AND($A275="",$B275=""),"",IF(M275="Ambassador","1 - Ambassador",IF(M275="Member","2 - Member",IF(J275="Completed","3 - Presented",IF(H275&lt;&gt;"","4 - Sent",IF(F275&lt;&gt;"","5 - Contacted","6 - No Activity"))))))</f>
        <v/>
      </c>
      <c r="X275" s="6" t="n">
        <f aca="false">IF(AND($A275="",$B275=""),9999999+(ROW()-4),VALUE(LEFT($W275,1))*10000+(ROW()-4))</f>
        <v>10000270</v>
      </c>
    </row>
    <row r="276" customFormat="false" ht="15" hidden="false" customHeight="true" outlineLevel="0" collapsed="false">
      <c r="A276" s="6"/>
      <c r="B276" s="6"/>
      <c r="C276" s="6"/>
      <c r="D276" s="6"/>
      <c r="E276" s="6"/>
      <c r="F276" s="7"/>
      <c r="G276" s="6"/>
      <c r="H276" s="6"/>
      <c r="I276" s="7"/>
      <c r="J276" s="6"/>
      <c r="K276" s="7"/>
      <c r="L276" s="6"/>
      <c r="M276" s="6"/>
      <c r="N276" s="7"/>
      <c r="O276" s="6"/>
      <c r="P276" s="6"/>
      <c r="Q276" s="7"/>
      <c r="R276" s="6" t="str">
        <f aca="false">IF(AND($A276="",$B276=""),"",IF(Q276="Complete","Onboarded",IF(OR(M276="Member",M276="Ambassador"),"Sponsored",IF(K276&lt;&gt;"","Follow-Up",IF(I276&lt;&gt;"","Presented",IF(F276&lt;&gt;"","Contacted","New Lead"))))))</f>
        <v/>
      </c>
      <c r="S276" s="6"/>
      <c r="T276" s="6" t="str">
        <f aca="true">IF(MAX(F276,I276,K276)=0,"",TODAY()-MAX(F276,I276,K276))</f>
        <v/>
      </c>
      <c r="U276" s="6"/>
      <c r="V276" s="6"/>
      <c r="W276" s="6" t="str">
        <f aca="false">IF(AND($A276="",$B276=""),"",IF(M276="Ambassador","1 - Ambassador",IF(M276="Member","2 - Member",IF(J276="Completed","3 - Presented",IF(H276&lt;&gt;"","4 - Sent",IF(F276&lt;&gt;"","5 - Contacted","6 - No Activity"))))))</f>
        <v/>
      </c>
      <c r="X276" s="6" t="n">
        <f aca="false">IF(AND($A276="",$B276=""),9999999+(ROW()-4),VALUE(LEFT($W276,1))*10000+(ROW()-4))</f>
        <v>10000271</v>
      </c>
    </row>
    <row r="277" customFormat="false" ht="15" hidden="false" customHeight="true" outlineLevel="0" collapsed="false">
      <c r="A277" s="6"/>
      <c r="B277" s="6"/>
      <c r="C277" s="6"/>
      <c r="D277" s="6"/>
      <c r="E277" s="6"/>
      <c r="F277" s="7"/>
      <c r="G277" s="6"/>
      <c r="H277" s="6"/>
      <c r="I277" s="7"/>
      <c r="J277" s="6"/>
      <c r="K277" s="7"/>
      <c r="L277" s="6"/>
      <c r="M277" s="6"/>
      <c r="N277" s="7"/>
      <c r="O277" s="6"/>
      <c r="P277" s="6"/>
      <c r="Q277" s="7"/>
      <c r="R277" s="6" t="str">
        <f aca="false">IF(AND($A277="",$B277=""),"",IF(Q277="Complete","Onboarded",IF(OR(M277="Member",M277="Ambassador"),"Sponsored",IF(K277&lt;&gt;"","Follow-Up",IF(I277&lt;&gt;"","Presented",IF(F277&lt;&gt;"","Contacted","New Lead"))))))</f>
        <v/>
      </c>
      <c r="S277" s="6"/>
      <c r="T277" s="6" t="str">
        <f aca="true">IF(MAX(F277,I277,K277)=0,"",TODAY()-MAX(F277,I277,K277))</f>
        <v/>
      </c>
      <c r="U277" s="6"/>
      <c r="V277" s="6"/>
      <c r="W277" s="6" t="str">
        <f aca="false">IF(AND($A277="",$B277=""),"",IF(M277="Ambassador","1 - Ambassador",IF(M277="Member","2 - Member",IF(J277="Completed","3 - Presented",IF(H277&lt;&gt;"","4 - Sent",IF(F277&lt;&gt;"","5 - Contacted","6 - No Activity"))))))</f>
        <v/>
      </c>
      <c r="X277" s="6" t="n">
        <f aca="false">IF(AND($A277="",$B277=""),9999999+(ROW()-4),VALUE(LEFT($W277,1))*10000+(ROW()-4))</f>
        <v>10000272</v>
      </c>
    </row>
    <row r="278" customFormat="false" ht="15" hidden="false" customHeight="true" outlineLevel="0" collapsed="false">
      <c r="A278" s="6"/>
      <c r="B278" s="6"/>
      <c r="C278" s="6"/>
      <c r="D278" s="6"/>
      <c r="E278" s="6"/>
      <c r="F278" s="7"/>
      <c r="G278" s="6"/>
      <c r="H278" s="6"/>
      <c r="I278" s="7"/>
      <c r="J278" s="6"/>
      <c r="K278" s="7"/>
      <c r="L278" s="6"/>
      <c r="M278" s="6"/>
      <c r="N278" s="7"/>
      <c r="O278" s="6"/>
      <c r="P278" s="6"/>
      <c r="Q278" s="7"/>
      <c r="R278" s="6" t="str">
        <f aca="false">IF(AND($A278="",$B278=""),"",IF(Q278="Complete","Onboarded",IF(OR(M278="Member",M278="Ambassador"),"Sponsored",IF(K278&lt;&gt;"","Follow-Up",IF(I278&lt;&gt;"","Presented",IF(F278&lt;&gt;"","Contacted","New Lead"))))))</f>
        <v/>
      </c>
      <c r="S278" s="6"/>
      <c r="T278" s="6" t="str">
        <f aca="true">IF(MAX(F278,I278,K278)=0,"",TODAY()-MAX(F278,I278,K278))</f>
        <v/>
      </c>
      <c r="U278" s="6"/>
      <c r="V278" s="6"/>
      <c r="W278" s="6" t="str">
        <f aca="false">IF(AND($A278="",$B278=""),"",IF(M278="Ambassador","1 - Ambassador",IF(M278="Member","2 - Member",IF(J278="Completed","3 - Presented",IF(H278&lt;&gt;"","4 - Sent",IF(F278&lt;&gt;"","5 - Contacted","6 - No Activity"))))))</f>
        <v/>
      </c>
      <c r="X278" s="6" t="n">
        <f aca="false">IF(AND($A278="",$B278=""),9999999+(ROW()-4),VALUE(LEFT($W278,1))*10000+(ROW()-4))</f>
        <v>10000273</v>
      </c>
    </row>
    <row r="279" customFormat="false" ht="15" hidden="false" customHeight="true" outlineLevel="0" collapsed="false">
      <c r="A279" s="6"/>
      <c r="B279" s="6"/>
      <c r="C279" s="6"/>
      <c r="D279" s="6"/>
      <c r="E279" s="6"/>
      <c r="F279" s="7"/>
      <c r="G279" s="6"/>
      <c r="H279" s="6"/>
      <c r="I279" s="7"/>
      <c r="J279" s="6"/>
      <c r="K279" s="7"/>
      <c r="L279" s="6"/>
      <c r="M279" s="6"/>
      <c r="N279" s="7"/>
      <c r="O279" s="6"/>
      <c r="P279" s="6"/>
      <c r="Q279" s="7"/>
      <c r="R279" s="6" t="str">
        <f aca="false">IF(AND($A279="",$B279=""),"",IF(Q279="Complete","Onboarded",IF(OR(M279="Member",M279="Ambassador"),"Sponsored",IF(K279&lt;&gt;"","Follow-Up",IF(I279&lt;&gt;"","Presented",IF(F279&lt;&gt;"","Contacted","New Lead"))))))</f>
        <v/>
      </c>
      <c r="S279" s="6"/>
      <c r="T279" s="6" t="str">
        <f aca="true">IF(MAX(F279,I279,K279)=0,"",TODAY()-MAX(F279,I279,K279))</f>
        <v/>
      </c>
      <c r="U279" s="6"/>
      <c r="V279" s="6"/>
      <c r="W279" s="6" t="str">
        <f aca="false">IF(AND($A279="",$B279=""),"",IF(M279="Ambassador","1 - Ambassador",IF(M279="Member","2 - Member",IF(J279="Completed","3 - Presented",IF(H279&lt;&gt;"","4 - Sent",IF(F279&lt;&gt;"","5 - Contacted","6 - No Activity"))))))</f>
        <v/>
      </c>
      <c r="X279" s="6" t="n">
        <f aca="false">IF(AND($A279="",$B279=""),9999999+(ROW()-4),VALUE(LEFT($W279,1))*10000+(ROW()-4))</f>
        <v>10000274</v>
      </c>
    </row>
    <row r="280" customFormat="false" ht="15" hidden="false" customHeight="true" outlineLevel="0" collapsed="false">
      <c r="A280" s="6"/>
      <c r="B280" s="6"/>
      <c r="C280" s="6"/>
      <c r="D280" s="6"/>
      <c r="E280" s="6"/>
      <c r="F280" s="7"/>
      <c r="G280" s="6"/>
      <c r="H280" s="6"/>
      <c r="I280" s="7"/>
      <c r="J280" s="6"/>
      <c r="K280" s="7"/>
      <c r="L280" s="6"/>
      <c r="M280" s="6"/>
      <c r="N280" s="7"/>
      <c r="O280" s="6"/>
      <c r="P280" s="6"/>
      <c r="Q280" s="7"/>
      <c r="R280" s="6" t="str">
        <f aca="false">IF(AND($A280="",$B280=""),"",IF(Q280="Complete","Onboarded",IF(OR(M280="Member",M280="Ambassador"),"Sponsored",IF(K280&lt;&gt;"","Follow-Up",IF(I280&lt;&gt;"","Presented",IF(F280&lt;&gt;"","Contacted","New Lead"))))))</f>
        <v/>
      </c>
      <c r="S280" s="6"/>
      <c r="T280" s="6" t="str">
        <f aca="true">IF(MAX(F280,I280,K280)=0,"",TODAY()-MAX(F280,I280,K280))</f>
        <v/>
      </c>
      <c r="U280" s="6"/>
      <c r="V280" s="6"/>
      <c r="W280" s="6" t="str">
        <f aca="false">IF(AND($A280="",$B280=""),"",IF(M280="Ambassador","1 - Ambassador",IF(M280="Member","2 - Member",IF(J280="Completed","3 - Presented",IF(H280&lt;&gt;"","4 - Sent",IF(F280&lt;&gt;"","5 - Contacted","6 - No Activity"))))))</f>
        <v/>
      </c>
      <c r="X280" s="6" t="n">
        <f aca="false">IF(AND($A280="",$B280=""),9999999+(ROW()-4),VALUE(LEFT($W280,1))*10000+(ROW()-4))</f>
        <v>10000275</v>
      </c>
    </row>
    <row r="281" customFormat="false" ht="15" hidden="false" customHeight="true" outlineLevel="0" collapsed="false">
      <c r="A281" s="6"/>
      <c r="B281" s="6"/>
      <c r="C281" s="6"/>
      <c r="D281" s="6"/>
      <c r="E281" s="6"/>
      <c r="F281" s="7"/>
      <c r="G281" s="6"/>
      <c r="H281" s="6"/>
      <c r="I281" s="7"/>
      <c r="J281" s="6"/>
      <c r="K281" s="7"/>
      <c r="L281" s="6"/>
      <c r="M281" s="6"/>
      <c r="N281" s="7"/>
      <c r="O281" s="6"/>
      <c r="P281" s="6"/>
      <c r="Q281" s="7"/>
      <c r="R281" s="6" t="str">
        <f aca="false">IF(AND($A281="",$B281=""),"",IF(Q281="Complete","Onboarded",IF(OR(M281="Member",M281="Ambassador"),"Sponsored",IF(K281&lt;&gt;"","Follow-Up",IF(I281&lt;&gt;"","Presented",IF(F281&lt;&gt;"","Contacted","New Lead"))))))</f>
        <v/>
      </c>
      <c r="S281" s="6"/>
      <c r="T281" s="6" t="str">
        <f aca="true">IF(MAX(F281,I281,K281)=0,"",TODAY()-MAX(F281,I281,K281))</f>
        <v/>
      </c>
      <c r="U281" s="6"/>
      <c r="V281" s="6"/>
      <c r="W281" s="6" t="str">
        <f aca="false">IF(AND($A281="",$B281=""),"",IF(M281="Ambassador","1 - Ambassador",IF(M281="Member","2 - Member",IF(J281="Completed","3 - Presented",IF(H281&lt;&gt;"","4 - Sent",IF(F281&lt;&gt;"","5 - Contacted","6 - No Activity"))))))</f>
        <v/>
      </c>
      <c r="X281" s="6" t="n">
        <f aca="false">IF(AND($A281="",$B281=""),9999999+(ROW()-4),VALUE(LEFT($W281,1))*10000+(ROW()-4))</f>
        <v>10000276</v>
      </c>
    </row>
    <row r="282" customFormat="false" ht="15" hidden="false" customHeight="true" outlineLevel="0" collapsed="false">
      <c r="A282" s="6"/>
      <c r="B282" s="6"/>
      <c r="C282" s="6"/>
      <c r="D282" s="6"/>
      <c r="E282" s="6"/>
      <c r="F282" s="7"/>
      <c r="G282" s="6"/>
      <c r="H282" s="6"/>
      <c r="I282" s="7"/>
      <c r="J282" s="6"/>
      <c r="K282" s="7"/>
      <c r="L282" s="6"/>
      <c r="M282" s="6"/>
      <c r="N282" s="7"/>
      <c r="O282" s="6"/>
      <c r="P282" s="6"/>
      <c r="Q282" s="7"/>
      <c r="R282" s="6" t="str">
        <f aca="false">IF(AND($A282="",$B282=""),"",IF(Q282="Complete","Onboarded",IF(OR(M282="Member",M282="Ambassador"),"Sponsored",IF(K282&lt;&gt;"","Follow-Up",IF(I282&lt;&gt;"","Presented",IF(F282&lt;&gt;"","Contacted","New Lead"))))))</f>
        <v/>
      </c>
      <c r="S282" s="6"/>
      <c r="T282" s="6" t="str">
        <f aca="true">IF(MAX(F282,I282,K282)=0,"",TODAY()-MAX(F282,I282,K282))</f>
        <v/>
      </c>
      <c r="U282" s="6"/>
      <c r="V282" s="6"/>
      <c r="W282" s="6" t="str">
        <f aca="false">IF(AND($A282="",$B282=""),"",IF(M282="Ambassador","1 - Ambassador",IF(M282="Member","2 - Member",IF(J282="Completed","3 - Presented",IF(H282&lt;&gt;"","4 - Sent",IF(F282&lt;&gt;"","5 - Contacted","6 - No Activity"))))))</f>
        <v/>
      </c>
      <c r="X282" s="6" t="n">
        <f aca="false">IF(AND($A282="",$B282=""),9999999+(ROW()-4),VALUE(LEFT($W282,1))*10000+(ROW()-4))</f>
        <v>10000277</v>
      </c>
    </row>
    <row r="283" customFormat="false" ht="15" hidden="false" customHeight="true" outlineLevel="0" collapsed="false">
      <c r="A283" s="6"/>
      <c r="B283" s="6"/>
      <c r="C283" s="6"/>
      <c r="D283" s="6"/>
      <c r="E283" s="6"/>
      <c r="F283" s="7"/>
      <c r="G283" s="6"/>
      <c r="H283" s="6"/>
      <c r="I283" s="7"/>
      <c r="J283" s="6"/>
      <c r="K283" s="7"/>
      <c r="L283" s="6"/>
      <c r="M283" s="6"/>
      <c r="N283" s="7"/>
      <c r="O283" s="6"/>
      <c r="P283" s="6"/>
      <c r="Q283" s="7"/>
      <c r="R283" s="6" t="str">
        <f aca="false">IF(AND($A283="",$B283=""),"",IF(Q283="Complete","Onboarded",IF(OR(M283="Member",M283="Ambassador"),"Sponsored",IF(K283&lt;&gt;"","Follow-Up",IF(I283&lt;&gt;"","Presented",IF(F283&lt;&gt;"","Contacted","New Lead"))))))</f>
        <v/>
      </c>
      <c r="S283" s="6"/>
      <c r="T283" s="6" t="str">
        <f aca="true">IF(MAX(F283,I283,K283)=0,"",TODAY()-MAX(F283,I283,K283))</f>
        <v/>
      </c>
      <c r="U283" s="6"/>
      <c r="V283" s="6"/>
      <c r="W283" s="6" t="str">
        <f aca="false">IF(AND($A283="",$B283=""),"",IF(M283="Ambassador","1 - Ambassador",IF(M283="Member","2 - Member",IF(J283="Completed","3 - Presented",IF(H283&lt;&gt;"","4 - Sent",IF(F283&lt;&gt;"","5 - Contacted","6 - No Activity"))))))</f>
        <v/>
      </c>
      <c r="X283" s="6" t="n">
        <f aca="false">IF(AND($A283="",$B283=""),9999999+(ROW()-4),VALUE(LEFT($W283,1))*10000+(ROW()-4))</f>
        <v>10000278</v>
      </c>
    </row>
    <row r="284" customFormat="false" ht="15" hidden="false" customHeight="true" outlineLevel="0" collapsed="false">
      <c r="A284" s="6"/>
      <c r="B284" s="6"/>
      <c r="C284" s="6"/>
      <c r="D284" s="6"/>
      <c r="E284" s="6"/>
      <c r="F284" s="7"/>
      <c r="G284" s="6"/>
      <c r="H284" s="6"/>
      <c r="I284" s="7"/>
      <c r="J284" s="6"/>
      <c r="K284" s="7"/>
      <c r="L284" s="6"/>
      <c r="M284" s="6"/>
      <c r="N284" s="7"/>
      <c r="O284" s="6"/>
      <c r="P284" s="6"/>
      <c r="Q284" s="7"/>
      <c r="R284" s="6" t="str">
        <f aca="false">IF(AND($A284="",$B284=""),"",IF(Q284="Complete","Onboarded",IF(OR(M284="Member",M284="Ambassador"),"Sponsored",IF(K284&lt;&gt;"","Follow-Up",IF(I284&lt;&gt;"","Presented",IF(F284&lt;&gt;"","Contacted","New Lead"))))))</f>
        <v/>
      </c>
      <c r="S284" s="6"/>
      <c r="T284" s="6" t="str">
        <f aca="true">IF(MAX(F284,I284,K284)=0,"",TODAY()-MAX(F284,I284,K284))</f>
        <v/>
      </c>
      <c r="U284" s="6"/>
      <c r="V284" s="6"/>
      <c r="W284" s="6" t="str">
        <f aca="false">IF(AND($A284="",$B284=""),"",IF(M284="Ambassador","1 - Ambassador",IF(M284="Member","2 - Member",IF(J284="Completed","3 - Presented",IF(H284&lt;&gt;"","4 - Sent",IF(F284&lt;&gt;"","5 - Contacted","6 - No Activity"))))))</f>
        <v/>
      </c>
      <c r="X284" s="6" t="n">
        <f aca="false">IF(AND($A284="",$B284=""),9999999+(ROW()-4),VALUE(LEFT($W284,1))*10000+(ROW()-4))</f>
        <v>10000279</v>
      </c>
    </row>
    <row r="285" customFormat="false" ht="15" hidden="false" customHeight="true" outlineLevel="0" collapsed="false">
      <c r="A285" s="6"/>
      <c r="B285" s="6"/>
      <c r="C285" s="6"/>
      <c r="D285" s="6"/>
      <c r="E285" s="6"/>
      <c r="F285" s="7"/>
      <c r="G285" s="6"/>
      <c r="H285" s="6"/>
      <c r="I285" s="7"/>
      <c r="J285" s="6"/>
      <c r="K285" s="7"/>
      <c r="L285" s="6"/>
      <c r="M285" s="6"/>
      <c r="N285" s="7"/>
      <c r="O285" s="6"/>
      <c r="P285" s="6"/>
      <c r="Q285" s="7"/>
      <c r="R285" s="6" t="str">
        <f aca="false">IF(AND($A285="",$B285=""),"",IF(Q285="Complete","Onboarded",IF(OR(M285="Member",M285="Ambassador"),"Sponsored",IF(K285&lt;&gt;"","Follow-Up",IF(I285&lt;&gt;"","Presented",IF(F285&lt;&gt;"","Contacted","New Lead"))))))</f>
        <v/>
      </c>
      <c r="S285" s="6"/>
      <c r="T285" s="6" t="str">
        <f aca="true">IF(MAX(F285,I285,K285)=0,"",TODAY()-MAX(F285,I285,K285))</f>
        <v/>
      </c>
      <c r="U285" s="6"/>
      <c r="V285" s="6"/>
      <c r="W285" s="6" t="str">
        <f aca="false">IF(AND($A285="",$B285=""),"",IF(M285="Ambassador","1 - Ambassador",IF(M285="Member","2 - Member",IF(J285="Completed","3 - Presented",IF(H285&lt;&gt;"","4 - Sent",IF(F285&lt;&gt;"","5 - Contacted","6 - No Activity"))))))</f>
        <v/>
      </c>
      <c r="X285" s="6" t="n">
        <f aca="false">IF(AND($A285="",$B285=""),9999999+(ROW()-4),VALUE(LEFT($W285,1))*10000+(ROW()-4))</f>
        <v>10000280</v>
      </c>
    </row>
    <row r="286" customFormat="false" ht="15" hidden="false" customHeight="true" outlineLevel="0" collapsed="false">
      <c r="A286" s="6"/>
      <c r="B286" s="6"/>
      <c r="C286" s="6"/>
      <c r="D286" s="6"/>
      <c r="E286" s="6"/>
      <c r="F286" s="7"/>
      <c r="G286" s="6"/>
      <c r="H286" s="6"/>
      <c r="I286" s="7"/>
      <c r="J286" s="6"/>
      <c r="K286" s="7"/>
      <c r="L286" s="6"/>
      <c r="M286" s="6"/>
      <c r="N286" s="7"/>
      <c r="O286" s="6"/>
      <c r="P286" s="6"/>
      <c r="Q286" s="7"/>
      <c r="R286" s="6" t="str">
        <f aca="false">IF(AND($A286="",$B286=""),"",IF(Q286="Complete","Onboarded",IF(OR(M286="Member",M286="Ambassador"),"Sponsored",IF(K286&lt;&gt;"","Follow-Up",IF(I286&lt;&gt;"","Presented",IF(F286&lt;&gt;"","Contacted","New Lead"))))))</f>
        <v/>
      </c>
      <c r="S286" s="6"/>
      <c r="T286" s="6" t="str">
        <f aca="true">IF(MAX(F286,I286,K286)=0,"",TODAY()-MAX(F286,I286,K286))</f>
        <v/>
      </c>
      <c r="U286" s="6"/>
      <c r="V286" s="6"/>
      <c r="W286" s="6" t="str">
        <f aca="false">IF(AND($A286="",$B286=""),"",IF(M286="Ambassador","1 - Ambassador",IF(M286="Member","2 - Member",IF(J286="Completed","3 - Presented",IF(H286&lt;&gt;"","4 - Sent",IF(F286&lt;&gt;"","5 - Contacted","6 - No Activity"))))))</f>
        <v/>
      </c>
      <c r="X286" s="6" t="n">
        <f aca="false">IF(AND($A286="",$B286=""),9999999+(ROW()-4),VALUE(LEFT($W286,1))*10000+(ROW()-4))</f>
        <v>10000281</v>
      </c>
    </row>
    <row r="287" customFormat="false" ht="15" hidden="false" customHeight="true" outlineLevel="0" collapsed="false">
      <c r="A287" s="6"/>
      <c r="B287" s="6"/>
      <c r="C287" s="6"/>
      <c r="D287" s="6"/>
      <c r="E287" s="6"/>
      <c r="F287" s="7"/>
      <c r="G287" s="6"/>
      <c r="H287" s="6"/>
      <c r="I287" s="7"/>
      <c r="J287" s="6"/>
      <c r="K287" s="7"/>
      <c r="L287" s="6"/>
      <c r="M287" s="6"/>
      <c r="N287" s="7"/>
      <c r="O287" s="6"/>
      <c r="P287" s="6"/>
      <c r="Q287" s="7"/>
      <c r="R287" s="6" t="str">
        <f aca="false">IF(AND($A287="",$B287=""),"",IF(Q287="Complete","Onboarded",IF(OR(M287="Member",M287="Ambassador"),"Sponsored",IF(K287&lt;&gt;"","Follow-Up",IF(I287&lt;&gt;"","Presented",IF(F287&lt;&gt;"","Contacted","New Lead"))))))</f>
        <v/>
      </c>
      <c r="S287" s="6"/>
      <c r="T287" s="6" t="str">
        <f aca="true">IF(MAX(F287,I287,K287)=0,"",TODAY()-MAX(F287,I287,K287))</f>
        <v/>
      </c>
      <c r="U287" s="6"/>
      <c r="V287" s="6"/>
      <c r="W287" s="6" t="str">
        <f aca="false">IF(AND($A287="",$B287=""),"",IF(M287="Ambassador","1 - Ambassador",IF(M287="Member","2 - Member",IF(J287="Completed","3 - Presented",IF(H287&lt;&gt;"","4 - Sent",IF(F287&lt;&gt;"","5 - Contacted","6 - No Activity"))))))</f>
        <v/>
      </c>
      <c r="X287" s="6" t="n">
        <f aca="false">IF(AND($A287="",$B287=""),9999999+(ROW()-4),VALUE(LEFT($W287,1))*10000+(ROW()-4))</f>
        <v>10000282</v>
      </c>
    </row>
    <row r="288" customFormat="false" ht="15" hidden="false" customHeight="true" outlineLevel="0" collapsed="false">
      <c r="A288" s="6"/>
      <c r="B288" s="6"/>
      <c r="C288" s="6"/>
      <c r="D288" s="6"/>
      <c r="E288" s="6"/>
      <c r="F288" s="7"/>
      <c r="G288" s="6"/>
      <c r="H288" s="6"/>
      <c r="I288" s="7"/>
      <c r="J288" s="6"/>
      <c r="K288" s="7"/>
      <c r="L288" s="6"/>
      <c r="M288" s="6"/>
      <c r="N288" s="7"/>
      <c r="O288" s="6"/>
      <c r="P288" s="6"/>
      <c r="Q288" s="7"/>
      <c r="R288" s="6" t="str">
        <f aca="false">IF(AND($A288="",$B288=""),"",IF(Q288="Complete","Onboarded",IF(OR(M288="Member",M288="Ambassador"),"Sponsored",IF(K288&lt;&gt;"","Follow-Up",IF(I288&lt;&gt;"","Presented",IF(F288&lt;&gt;"","Contacted","New Lead"))))))</f>
        <v/>
      </c>
      <c r="S288" s="6"/>
      <c r="T288" s="6" t="str">
        <f aca="true">IF(MAX(F288,I288,K288)=0,"",TODAY()-MAX(F288,I288,K288))</f>
        <v/>
      </c>
      <c r="U288" s="6"/>
      <c r="V288" s="6"/>
      <c r="W288" s="6" t="str">
        <f aca="false">IF(AND($A288="",$B288=""),"",IF(M288="Ambassador","1 - Ambassador",IF(M288="Member","2 - Member",IF(J288="Completed","3 - Presented",IF(H288&lt;&gt;"","4 - Sent",IF(F288&lt;&gt;"","5 - Contacted","6 - No Activity"))))))</f>
        <v/>
      </c>
      <c r="X288" s="6" t="n">
        <f aca="false">IF(AND($A288="",$B288=""),9999999+(ROW()-4),VALUE(LEFT($W288,1))*10000+(ROW()-4))</f>
        <v>10000283</v>
      </c>
    </row>
    <row r="289" customFormat="false" ht="15" hidden="false" customHeight="true" outlineLevel="0" collapsed="false">
      <c r="A289" s="6"/>
      <c r="B289" s="6"/>
      <c r="C289" s="6"/>
      <c r="D289" s="6"/>
      <c r="E289" s="6"/>
      <c r="F289" s="7"/>
      <c r="G289" s="6"/>
      <c r="H289" s="6"/>
      <c r="I289" s="7"/>
      <c r="J289" s="6"/>
      <c r="K289" s="7"/>
      <c r="L289" s="6"/>
      <c r="M289" s="6"/>
      <c r="N289" s="7"/>
      <c r="O289" s="6"/>
      <c r="P289" s="6"/>
      <c r="Q289" s="7"/>
      <c r="R289" s="6" t="str">
        <f aca="false">IF(AND($A289="",$B289=""),"",IF(Q289="Complete","Onboarded",IF(OR(M289="Member",M289="Ambassador"),"Sponsored",IF(K289&lt;&gt;"","Follow-Up",IF(I289&lt;&gt;"","Presented",IF(F289&lt;&gt;"","Contacted","New Lead"))))))</f>
        <v/>
      </c>
      <c r="S289" s="6"/>
      <c r="T289" s="6" t="str">
        <f aca="true">IF(MAX(F289,I289,K289)=0,"",TODAY()-MAX(F289,I289,K289))</f>
        <v/>
      </c>
      <c r="U289" s="6"/>
      <c r="V289" s="6"/>
      <c r="W289" s="6" t="str">
        <f aca="false">IF(AND($A289="",$B289=""),"",IF(M289="Ambassador","1 - Ambassador",IF(M289="Member","2 - Member",IF(J289="Completed","3 - Presented",IF(H289&lt;&gt;"","4 - Sent",IF(F289&lt;&gt;"","5 - Contacted","6 - No Activity"))))))</f>
        <v/>
      </c>
      <c r="X289" s="6" t="n">
        <f aca="false">IF(AND($A289="",$B289=""),9999999+(ROW()-4),VALUE(LEFT($W289,1))*10000+(ROW()-4))</f>
        <v>10000284</v>
      </c>
    </row>
    <row r="290" customFormat="false" ht="15" hidden="false" customHeight="true" outlineLevel="0" collapsed="false">
      <c r="A290" s="6"/>
      <c r="B290" s="6"/>
      <c r="C290" s="6"/>
      <c r="D290" s="6"/>
      <c r="E290" s="6"/>
      <c r="F290" s="7"/>
      <c r="G290" s="6"/>
      <c r="H290" s="6"/>
      <c r="I290" s="7"/>
      <c r="J290" s="6"/>
      <c r="K290" s="7"/>
      <c r="L290" s="6"/>
      <c r="M290" s="6"/>
      <c r="N290" s="7"/>
      <c r="O290" s="6"/>
      <c r="P290" s="6"/>
      <c r="Q290" s="7"/>
      <c r="R290" s="6" t="str">
        <f aca="false">IF(AND($A290="",$B290=""),"",IF(Q290="Complete","Onboarded",IF(OR(M290="Member",M290="Ambassador"),"Sponsored",IF(K290&lt;&gt;"","Follow-Up",IF(I290&lt;&gt;"","Presented",IF(F290&lt;&gt;"","Contacted","New Lead"))))))</f>
        <v/>
      </c>
      <c r="S290" s="6"/>
      <c r="T290" s="6" t="str">
        <f aca="true">IF(MAX(F290,I290,K290)=0,"",TODAY()-MAX(F290,I290,K290))</f>
        <v/>
      </c>
      <c r="U290" s="6"/>
      <c r="V290" s="6"/>
      <c r="W290" s="6" t="str">
        <f aca="false">IF(AND($A290="",$B290=""),"",IF(M290="Ambassador","1 - Ambassador",IF(M290="Member","2 - Member",IF(J290="Completed","3 - Presented",IF(H290&lt;&gt;"","4 - Sent",IF(F290&lt;&gt;"","5 - Contacted","6 - No Activity"))))))</f>
        <v/>
      </c>
      <c r="X290" s="6" t="n">
        <f aca="false">IF(AND($A290="",$B290=""),9999999+(ROW()-4),VALUE(LEFT($W290,1))*10000+(ROW()-4))</f>
        <v>10000285</v>
      </c>
    </row>
    <row r="291" customFormat="false" ht="15" hidden="false" customHeight="true" outlineLevel="0" collapsed="false">
      <c r="A291" s="6"/>
      <c r="B291" s="6"/>
      <c r="C291" s="6"/>
      <c r="D291" s="6"/>
      <c r="E291" s="6"/>
      <c r="F291" s="7"/>
      <c r="G291" s="6"/>
      <c r="H291" s="6"/>
      <c r="I291" s="7"/>
      <c r="J291" s="6"/>
      <c r="K291" s="7"/>
      <c r="L291" s="6"/>
      <c r="M291" s="6"/>
      <c r="N291" s="7"/>
      <c r="O291" s="6"/>
      <c r="P291" s="6"/>
      <c r="Q291" s="7"/>
      <c r="R291" s="6" t="str">
        <f aca="false">IF(AND($A291="",$B291=""),"",IF(Q291="Complete","Onboarded",IF(OR(M291="Member",M291="Ambassador"),"Sponsored",IF(K291&lt;&gt;"","Follow-Up",IF(I291&lt;&gt;"","Presented",IF(F291&lt;&gt;"","Contacted","New Lead"))))))</f>
        <v/>
      </c>
      <c r="S291" s="6"/>
      <c r="T291" s="6" t="str">
        <f aca="true">IF(MAX(F291,I291,K291)=0,"",TODAY()-MAX(F291,I291,K291))</f>
        <v/>
      </c>
      <c r="U291" s="6"/>
      <c r="V291" s="6"/>
      <c r="W291" s="6" t="str">
        <f aca="false">IF(AND($A291="",$B291=""),"",IF(M291="Ambassador","1 - Ambassador",IF(M291="Member","2 - Member",IF(J291="Completed","3 - Presented",IF(H291&lt;&gt;"","4 - Sent",IF(F291&lt;&gt;"","5 - Contacted","6 - No Activity"))))))</f>
        <v/>
      </c>
      <c r="X291" s="6" t="n">
        <f aca="false">IF(AND($A291="",$B291=""),9999999+(ROW()-4),VALUE(LEFT($W291,1))*10000+(ROW()-4))</f>
        <v>10000286</v>
      </c>
    </row>
    <row r="292" customFormat="false" ht="15" hidden="false" customHeight="true" outlineLevel="0" collapsed="false">
      <c r="A292" s="6"/>
      <c r="B292" s="6"/>
      <c r="C292" s="6"/>
      <c r="D292" s="6"/>
      <c r="E292" s="6"/>
      <c r="F292" s="7"/>
      <c r="G292" s="6"/>
      <c r="H292" s="6"/>
      <c r="I292" s="7"/>
      <c r="J292" s="6"/>
      <c r="K292" s="7"/>
      <c r="L292" s="6"/>
      <c r="M292" s="6"/>
      <c r="N292" s="7"/>
      <c r="O292" s="6"/>
      <c r="P292" s="6"/>
      <c r="Q292" s="7"/>
      <c r="R292" s="6" t="str">
        <f aca="false">IF(AND($A292="",$B292=""),"",IF(Q292="Complete","Onboarded",IF(OR(M292="Member",M292="Ambassador"),"Sponsored",IF(K292&lt;&gt;"","Follow-Up",IF(I292&lt;&gt;"","Presented",IF(F292&lt;&gt;"","Contacted","New Lead"))))))</f>
        <v/>
      </c>
      <c r="S292" s="6"/>
      <c r="T292" s="6" t="str">
        <f aca="true">IF(MAX(F292,I292,K292)=0,"",TODAY()-MAX(F292,I292,K292))</f>
        <v/>
      </c>
      <c r="U292" s="6"/>
      <c r="V292" s="6"/>
      <c r="W292" s="6" t="str">
        <f aca="false">IF(AND($A292="",$B292=""),"",IF(M292="Ambassador","1 - Ambassador",IF(M292="Member","2 - Member",IF(J292="Completed","3 - Presented",IF(H292&lt;&gt;"","4 - Sent",IF(F292&lt;&gt;"","5 - Contacted","6 - No Activity"))))))</f>
        <v/>
      </c>
      <c r="X292" s="6" t="n">
        <f aca="false">IF(AND($A292="",$B292=""),9999999+(ROW()-4),VALUE(LEFT($W292,1))*10000+(ROW()-4))</f>
        <v>10000287</v>
      </c>
    </row>
    <row r="293" customFormat="false" ht="15" hidden="false" customHeight="true" outlineLevel="0" collapsed="false">
      <c r="A293" s="6"/>
      <c r="B293" s="6"/>
      <c r="C293" s="6"/>
      <c r="D293" s="6"/>
      <c r="E293" s="6"/>
      <c r="F293" s="7"/>
      <c r="G293" s="6"/>
      <c r="H293" s="6"/>
      <c r="I293" s="7"/>
      <c r="J293" s="6"/>
      <c r="K293" s="7"/>
      <c r="L293" s="6"/>
      <c r="M293" s="6"/>
      <c r="N293" s="7"/>
      <c r="O293" s="6"/>
      <c r="P293" s="6"/>
      <c r="Q293" s="7"/>
      <c r="R293" s="6" t="str">
        <f aca="false">IF(AND($A293="",$B293=""),"",IF(Q293="Complete","Onboarded",IF(OR(M293="Member",M293="Ambassador"),"Sponsored",IF(K293&lt;&gt;"","Follow-Up",IF(I293&lt;&gt;"","Presented",IF(F293&lt;&gt;"","Contacted","New Lead"))))))</f>
        <v/>
      </c>
      <c r="S293" s="6"/>
      <c r="T293" s="6" t="str">
        <f aca="true">IF(MAX(F293,I293,K293)=0,"",TODAY()-MAX(F293,I293,K293))</f>
        <v/>
      </c>
      <c r="U293" s="6"/>
      <c r="V293" s="6"/>
      <c r="W293" s="6" t="str">
        <f aca="false">IF(AND($A293="",$B293=""),"",IF(M293="Ambassador","1 - Ambassador",IF(M293="Member","2 - Member",IF(J293="Completed","3 - Presented",IF(H293&lt;&gt;"","4 - Sent",IF(F293&lt;&gt;"","5 - Contacted","6 - No Activity"))))))</f>
        <v/>
      </c>
      <c r="X293" s="6" t="n">
        <f aca="false">IF(AND($A293="",$B293=""),9999999+(ROW()-4),VALUE(LEFT($W293,1))*10000+(ROW()-4))</f>
        <v>10000288</v>
      </c>
    </row>
    <row r="294" customFormat="false" ht="15" hidden="false" customHeight="true" outlineLevel="0" collapsed="false">
      <c r="A294" s="6"/>
      <c r="B294" s="6"/>
      <c r="C294" s="6"/>
      <c r="D294" s="6"/>
      <c r="E294" s="6"/>
      <c r="F294" s="7"/>
      <c r="G294" s="6"/>
      <c r="H294" s="6"/>
      <c r="I294" s="7"/>
      <c r="J294" s="6"/>
      <c r="K294" s="7"/>
      <c r="L294" s="6"/>
      <c r="M294" s="6"/>
      <c r="N294" s="7"/>
      <c r="O294" s="6"/>
      <c r="P294" s="6"/>
      <c r="Q294" s="7"/>
      <c r="R294" s="6" t="str">
        <f aca="false">IF(AND($A294="",$B294=""),"",IF(Q294="Complete","Onboarded",IF(OR(M294="Member",M294="Ambassador"),"Sponsored",IF(K294&lt;&gt;"","Follow-Up",IF(I294&lt;&gt;"","Presented",IF(F294&lt;&gt;"","Contacted","New Lead"))))))</f>
        <v/>
      </c>
      <c r="S294" s="6"/>
      <c r="T294" s="6" t="str">
        <f aca="true">IF(MAX(F294,I294,K294)=0,"",TODAY()-MAX(F294,I294,K294))</f>
        <v/>
      </c>
      <c r="U294" s="6"/>
      <c r="V294" s="6"/>
      <c r="W294" s="6" t="str">
        <f aca="false">IF(AND($A294="",$B294=""),"",IF(M294="Ambassador","1 - Ambassador",IF(M294="Member","2 - Member",IF(J294="Completed","3 - Presented",IF(H294&lt;&gt;"","4 - Sent",IF(F294&lt;&gt;"","5 - Contacted","6 - No Activity"))))))</f>
        <v/>
      </c>
      <c r="X294" s="6" t="n">
        <f aca="false">IF(AND($A294="",$B294=""),9999999+(ROW()-4),VALUE(LEFT($W294,1))*10000+(ROW()-4))</f>
        <v>10000289</v>
      </c>
    </row>
    <row r="295" customFormat="false" ht="15" hidden="false" customHeight="true" outlineLevel="0" collapsed="false">
      <c r="A295" s="6"/>
      <c r="B295" s="6"/>
      <c r="C295" s="6"/>
      <c r="D295" s="6"/>
      <c r="E295" s="6"/>
      <c r="F295" s="7"/>
      <c r="G295" s="6"/>
      <c r="H295" s="6"/>
      <c r="I295" s="7"/>
      <c r="J295" s="6"/>
      <c r="K295" s="7"/>
      <c r="L295" s="6"/>
      <c r="M295" s="6"/>
      <c r="N295" s="7"/>
      <c r="O295" s="6"/>
      <c r="P295" s="6"/>
      <c r="Q295" s="7"/>
      <c r="R295" s="6" t="str">
        <f aca="false">IF(AND($A295="",$B295=""),"",IF(Q295="Complete","Onboarded",IF(OR(M295="Member",M295="Ambassador"),"Sponsored",IF(K295&lt;&gt;"","Follow-Up",IF(I295&lt;&gt;"","Presented",IF(F295&lt;&gt;"","Contacted","New Lead"))))))</f>
        <v/>
      </c>
      <c r="S295" s="6"/>
      <c r="T295" s="6" t="str">
        <f aca="true">IF(MAX(F295,I295,K295)=0,"",TODAY()-MAX(F295,I295,K295))</f>
        <v/>
      </c>
      <c r="U295" s="6"/>
      <c r="V295" s="6"/>
      <c r="W295" s="6" t="str">
        <f aca="false">IF(AND($A295="",$B295=""),"",IF(M295="Ambassador","1 - Ambassador",IF(M295="Member","2 - Member",IF(J295="Completed","3 - Presented",IF(H295&lt;&gt;"","4 - Sent",IF(F295&lt;&gt;"","5 - Contacted","6 - No Activity"))))))</f>
        <v/>
      </c>
      <c r="X295" s="6" t="n">
        <f aca="false">IF(AND($A295="",$B295=""),9999999+(ROW()-4),VALUE(LEFT($W295,1))*10000+(ROW()-4))</f>
        <v>10000290</v>
      </c>
    </row>
    <row r="296" customFormat="false" ht="15" hidden="false" customHeight="true" outlineLevel="0" collapsed="false">
      <c r="A296" s="6"/>
      <c r="B296" s="6"/>
      <c r="C296" s="6"/>
      <c r="D296" s="6"/>
      <c r="E296" s="6"/>
      <c r="F296" s="7"/>
      <c r="G296" s="6"/>
      <c r="H296" s="6"/>
      <c r="I296" s="7"/>
      <c r="J296" s="6"/>
      <c r="K296" s="7"/>
      <c r="L296" s="6"/>
      <c r="M296" s="6"/>
      <c r="N296" s="7"/>
      <c r="O296" s="6"/>
      <c r="P296" s="6"/>
      <c r="Q296" s="7"/>
      <c r="R296" s="6" t="str">
        <f aca="false">IF(AND($A296="",$B296=""),"",IF(Q296="Complete","Onboarded",IF(OR(M296="Member",M296="Ambassador"),"Sponsored",IF(K296&lt;&gt;"","Follow-Up",IF(I296&lt;&gt;"","Presented",IF(F296&lt;&gt;"","Contacted","New Lead"))))))</f>
        <v/>
      </c>
      <c r="S296" s="6"/>
      <c r="T296" s="6" t="str">
        <f aca="true">IF(MAX(F296,I296,K296)=0,"",TODAY()-MAX(F296,I296,K296))</f>
        <v/>
      </c>
      <c r="U296" s="6"/>
      <c r="V296" s="6"/>
      <c r="W296" s="6" t="str">
        <f aca="false">IF(AND($A296="",$B296=""),"",IF(M296="Ambassador","1 - Ambassador",IF(M296="Member","2 - Member",IF(J296="Completed","3 - Presented",IF(H296&lt;&gt;"","4 - Sent",IF(F296&lt;&gt;"","5 - Contacted","6 - No Activity"))))))</f>
        <v/>
      </c>
      <c r="X296" s="6" t="n">
        <f aca="false">IF(AND($A296="",$B296=""),9999999+(ROW()-4),VALUE(LEFT($W296,1))*10000+(ROW()-4))</f>
        <v>10000291</v>
      </c>
    </row>
    <row r="297" customFormat="false" ht="15" hidden="false" customHeight="true" outlineLevel="0" collapsed="false">
      <c r="A297" s="6"/>
      <c r="B297" s="6"/>
      <c r="C297" s="6"/>
      <c r="D297" s="6"/>
      <c r="E297" s="6"/>
      <c r="F297" s="7"/>
      <c r="G297" s="6"/>
      <c r="H297" s="6"/>
      <c r="I297" s="7"/>
      <c r="J297" s="6"/>
      <c r="K297" s="7"/>
      <c r="L297" s="6"/>
      <c r="M297" s="6"/>
      <c r="N297" s="7"/>
      <c r="O297" s="6"/>
      <c r="P297" s="6"/>
      <c r="Q297" s="7"/>
      <c r="R297" s="6" t="str">
        <f aca="false">IF(AND($A297="",$B297=""),"",IF(Q297="Complete","Onboarded",IF(OR(M297="Member",M297="Ambassador"),"Sponsored",IF(K297&lt;&gt;"","Follow-Up",IF(I297&lt;&gt;"","Presented",IF(F297&lt;&gt;"","Contacted","New Lead"))))))</f>
        <v/>
      </c>
      <c r="S297" s="6"/>
      <c r="T297" s="6" t="str">
        <f aca="true">IF(MAX(F297,I297,K297)=0,"",TODAY()-MAX(F297,I297,K297))</f>
        <v/>
      </c>
      <c r="U297" s="6"/>
      <c r="V297" s="6"/>
      <c r="W297" s="6" t="str">
        <f aca="false">IF(AND($A297="",$B297=""),"",IF(M297="Ambassador","1 - Ambassador",IF(M297="Member","2 - Member",IF(J297="Completed","3 - Presented",IF(H297&lt;&gt;"","4 - Sent",IF(F297&lt;&gt;"","5 - Contacted","6 - No Activity"))))))</f>
        <v/>
      </c>
      <c r="X297" s="6" t="n">
        <f aca="false">IF(AND($A297="",$B297=""),9999999+(ROW()-4),VALUE(LEFT($W297,1))*10000+(ROW()-4))</f>
        <v>10000292</v>
      </c>
    </row>
    <row r="298" customFormat="false" ht="15" hidden="false" customHeight="true" outlineLevel="0" collapsed="false">
      <c r="A298" s="6"/>
      <c r="B298" s="6"/>
      <c r="C298" s="6"/>
      <c r="D298" s="6"/>
      <c r="E298" s="6"/>
      <c r="F298" s="7"/>
      <c r="G298" s="6"/>
      <c r="H298" s="6"/>
      <c r="I298" s="7"/>
      <c r="J298" s="6"/>
      <c r="K298" s="7"/>
      <c r="L298" s="6"/>
      <c r="M298" s="6"/>
      <c r="N298" s="7"/>
      <c r="O298" s="6"/>
      <c r="P298" s="6"/>
      <c r="Q298" s="7"/>
      <c r="R298" s="6" t="str">
        <f aca="false">IF(AND($A298="",$B298=""),"",IF(Q298="Complete","Onboarded",IF(OR(M298="Member",M298="Ambassador"),"Sponsored",IF(K298&lt;&gt;"","Follow-Up",IF(I298&lt;&gt;"","Presented",IF(F298&lt;&gt;"","Contacted","New Lead"))))))</f>
        <v/>
      </c>
      <c r="S298" s="6"/>
      <c r="T298" s="6" t="str">
        <f aca="true">IF(MAX(F298,I298,K298)=0,"",TODAY()-MAX(F298,I298,K298))</f>
        <v/>
      </c>
      <c r="U298" s="6"/>
      <c r="V298" s="6"/>
      <c r="W298" s="6" t="str">
        <f aca="false">IF(AND($A298="",$B298=""),"",IF(M298="Ambassador","1 - Ambassador",IF(M298="Member","2 - Member",IF(J298="Completed","3 - Presented",IF(H298&lt;&gt;"","4 - Sent",IF(F298&lt;&gt;"","5 - Contacted","6 - No Activity"))))))</f>
        <v/>
      </c>
      <c r="X298" s="6" t="n">
        <f aca="false">IF(AND($A298="",$B298=""),9999999+(ROW()-4),VALUE(LEFT($W298,1))*10000+(ROW()-4))</f>
        <v>10000293</v>
      </c>
    </row>
    <row r="299" customFormat="false" ht="15" hidden="false" customHeight="true" outlineLevel="0" collapsed="false">
      <c r="A299" s="6"/>
      <c r="B299" s="6"/>
      <c r="C299" s="6"/>
      <c r="D299" s="6"/>
      <c r="E299" s="6"/>
      <c r="F299" s="7"/>
      <c r="G299" s="6"/>
      <c r="H299" s="6"/>
      <c r="I299" s="7"/>
      <c r="J299" s="6"/>
      <c r="K299" s="7"/>
      <c r="L299" s="6"/>
      <c r="M299" s="6"/>
      <c r="N299" s="7"/>
      <c r="O299" s="6"/>
      <c r="P299" s="6"/>
      <c r="Q299" s="7"/>
      <c r="R299" s="6" t="str">
        <f aca="false">IF(AND($A299="",$B299=""),"",IF(Q299="Complete","Onboarded",IF(OR(M299="Member",M299="Ambassador"),"Sponsored",IF(K299&lt;&gt;"","Follow-Up",IF(I299&lt;&gt;"","Presented",IF(F299&lt;&gt;"","Contacted","New Lead"))))))</f>
        <v/>
      </c>
      <c r="S299" s="6"/>
      <c r="T299" s="6" t="str">
        <f aca="true">IF(MAX(F299,I299,K299)=0,"",TODAY()-MAX(F299,I299,K299))</f>
        <v/>
      </c>
      <c r="U299" s="6"/>
      <c r="V299" s="6"/>
      <c r="W299" s="6" t="str">
        <f aca="false">IF(AND($A299="",$B299=""),"",IF(M299="Ambassador","1 - Ambassador",IF(M299="Member","2 - Member",IF(J299="Completed","3 - Presented",IF(H299&lt;&gt;"","4 - Sent",IF(F299&lt;&gt;"","5 - Contacted","6 - No Activity"))))))</f>
        <v/>
      </c>
      <c r="X299" s="6" t="n">
        <f aca="false">IF(AND($A299="",$B299=""),9999999+(ROW()-4),VALUE(LEFT($W299,1))*10000+(ROW()-4))</f>
        <v>10000294</v>
      </c>
    </row>
    <row r="300" customFormat="false" ht="15" hidden="false" customHeight="true" outlineLevel="0" collapsed="false">
      <c r="A300" s="6"/>
      <c r="B300" s="6"/>
      <c r="C300" s="6"/>
      <c r="D300" s="6"/>
      <c r="E300" s="6"/>
      <c r="F300" s="7"/>
      <c r="G300" s="6"/>
      <c r="H300" s="6"/>
      <c r="I300" s="7"/>
      <c r="J300" s="6"/>
      <c r="K300" s="7"/>
      <c r="L300" s="6"/>
      <c r="M300" s="6"/>
      <c r="N300" s="7"/>
      <c r="O300" s="6"/>
      <c r="P300" s="6"/>
      <c r="Q300" s="7"/>
      <c r="R300" s="6" t="str">
        <f aca="false">IF(AND($A300="",$B300=""),"",IF(Q300="Complete","Onboarded",IF(OR(M300="Member",M300="Ambassador"),"Sponsored",IF(K300&lt;&gt;"","Follow-Up",IF(I300&lt;&gt;"","Presented",IF(F300&lt;&gt;"","Contacted","New Lead"))))))</f>
        <v/>
      </c>
      <c r="S300" s="6"/>
      <c r="T300" s="6" t="str">
        <f aca="true">IF(MAX(F300,I300,K300)=0,"",TODAY()-MAX(F300,I300,K300))</f>
        <v/>
      </c>
      <c r="U300" s="6"/>
      <c r="V300" s="6"/>
      <c r="W300" s="6" t="str">
        <f aca="false">IF(AND($A300="",$B300=""),"",IF(M300="Ambassador","1 - Ambassador",IF(M300="Member","2 - Member",IF(J300="Completed","3 - Presented",IF(H300&lt;&gt;"","4 - Sent",IF(F300&lt;&gt;"","5 - Contacted","6 - No Activity"))))))</f>
        <v/>
      </c>
      <c r="X300" s="6" t="n">
        <f aca="false">IF(AND($A300="",$B300=""),9999999+(ROW()-4),VALUE(LEFT($W300,1))*10000+(ROW()-4))</f>
        <v>10000295</v>
      </c>
    </row>
    <row r="301" customFormat="false" ht="15" hidden="false" customHeight="true" outlineLevel="0" collapsed="false">
      <c r="A301" s="6"/>
      <c r="B301" s="6"/>
      <c r="C301" s="6"/>
      <c r="D301" s="6"/>
      <c r="E301" s="6"/>
      <c r="F301" s="7"/>
      <c r="G301" s="6"/>
      <c r="H301" s="6"/>
      <c r="I301" s="7"/>
      <c r="J301" s="6"/>
      <c r="K301" s="7"/>
      <c r="L301" s="6"/>
      <c r="M301" s="6"/>
      <c r="N301" s="7"/>
      <c r="O301" s="6"/>
      <c r="P301" s="6"/>
      <c r="Q301" s="7"/>
      <c r="R301" s="6" t="str">
        <f aca="false">IF(AND($A301="",$B301=""),"",IF(Q301="Complete","Onboarded",IF(OR(M301="Member",M301="Ambassador"),"Sponsored",IF(K301&lt;&gt;"","Follow-Up",IF(I301&lt;&gt;"","Presented",IF(F301&lt;&gt;"","Contacted","New Lead"))))))</f>
        <v/>
      </c>
      <c r="S301" s="6"/>
      <c r="T301" s="6" t="str">
        <f aca="true">IF(MAX(F301,I301,K301)=0,"",TODAY()-MAX(F301,I301,K301))</f>
        <v/>
      </c>
      <c r="U301" s="6"/>
      <c r="V301" s="6"/>
      <c r="W301" s="6" t="str">
        <f aca="false">IF(AND($A301="",$B301=""),"",IF(M301="Ambassador","1 - Ambassador",IF(M301="Member","2 - Member",IF(J301="Completed","3 - Presented",IF(H301&lt;&gt;"","4 - Sent",IF(F301&lt;&gt;"","5 - Contacted","6 - No Activity"))))))</f>
        <v/>
      </c>
      <c r="X301" s="6" t="n">
        <f aca="false">IF(AND($A301="",$B301=""),9999999+(ROW()-4),VALUE(LEFT($W301,1))*10000+(ROW()-4))</f>
        <v>10000296</v>
      </c>
    </row>
    <row r="302" customFormat="false" ht="15" hidden="false" customHeight="true" outlineLevel="0" collapsed="false">
      <c r="A302" s="6"/>
      <c r="B302" s="6"/>
      <c r="C302" s="6"/>
      <c r="D302" s="6"/>
      <c r="E302" s="6"/>
      <c r="F302" s="7"/>
      <c r="G302" s="6"/>
      <c r="H302" s="6"/>
      <c r="I302" s="7"/>
      <c r="J302" s="6"/>
      <c r="K302" s="7"/>
      <c r="L302" s="6"/>
      <c r="M302" s="6"/>
      <c r="N302" s="7"/>
      <c r="O302" s="6"/>
      <c r="P302" s="6"/>
      <c r="Q302" s="7"/>
      <c r="R302" s="6" t="str">
        <f aca="false">IF(AND($A302="",$B302=""),"",IF(Q302="Complete","Onboarded",IF(OR(M302="Member",M302="Ambassador"),"Sponsored",IF(K302&lt;&gt;"","Follow-Up",IF(I302&lt;&gt;"","Presented",IF(F302&lt;&gt;"","Contacted","New Lead"))))))</f>
        <v/>
      </c>
      <c r="S302" s="6"/>
      <c r="T302" s="6" t="str">
        <f aca="true">IF(MAX(F302,I302,K302)=0,"",TODAY()-MAX(F302,I302,K302))</f>
        <v/>
      </c>
      <c r="U302" s="6"/>
      <c r="V302" s="6"/>
      <c r="W302" s="6" t="str">
        <f aca="false">IF(AND($A302="",$B302=""),"",IF(M302="Ambassador","1 - Ambassador",IF(M302="Member","2 - Member",IF(J302="Completed","3 - Presented",IF(H302&lt;&gt;"","4 - Sent",IF(F302&lt;&gt;"","5 - Contacted","6 - No Activity"))))))</f>
        <v/>
      </c>
      <c r="X302" s="6" t="n">
        <f aca="false">IF(AND($A302="",$B302=""),9999999+(ROW()-4),VALUE(LEFT($W302,1))*10000+(ROW()-4))</f>
        <v>10000297</v>
      </c>
    </row>
    <row r="303" customFormat="false" ht="15" hidden="false" customHeight="true" outlineLevel="0" collapsed="false">
      <c r="A303" s="6"/>
      <c r="B303" s="6"/>
      <c r="C303" s="6"/>
      <c r="D303" s="6"/>
      <c r="E303" s="6"/>
      <c r="F303" s="7"/>
      <c r="G303" s="6"/>
      <c r="H303" s="6"/>
      <c r="I303" s="7"/>
      <c r="J303" s="6"/>
      <c r="K303" s="7"/>
      <c r="L303" s="6"/>
      <c r="M303" s="6"/>
      <c r="N303" s="7"/>
      <c r="O303" s="6"/>
      <c r="P303" s="6"/>
      <c r="Q303" s="7"/>
      <c r="R303" s="6" t="str">
        <f aca="false">IF(AND($A303="",$B303=""),"",IF(Q303="Complete","Onboarded",IF(OR(M303="Member",M303="Ambassador"),"Sponsored",IF(K303&lt;&gt;"","Follow-Up",IF(I303&lt;&gt;"","Presented",IF(F303&lt;&gt;"","Contacted","New Lead"))))))</f>
        <v/>
      </c>
      <c r="S303" s="6"/>
      <c r="T303" s="6" t="str">
        <f aca="true">IF(MAX(F303,I303,K303)=0,"",TODAY()-MAX(F303,I303,K303))</f>
        <v/>
      </c>
      <c r="U303" s="6"/>
      <c r="V303" s="6"/>
      <c r="W303" s="6" t="str">
        <f aca="false">IF(AND($A303="",$B303=""),"",IF(M303="Ambassador","1 - Ambassador",IF(M303="Member","2 - Member",IF(J303="Completed","3 - Presented",IF(H303&lt;&gt;"","4 - Sent",IF(F303&lt;&gt;"","5 - Contacted","6 - No Activity"))))))</f>
        <v/>
      </c>
      <c r="X303" s="6" t="n">
        <f aca="false">IF(AND($A303="",$B303=""),9999999+(ROW()-4),VALUE(LEFT($W303,1))*10000+(ROW()-4))</f>
        <v>10000298</v>
      </c>
    </row>
    <row r="304" customFormat="false" ht="15" hidden="false" customHeight="true" outlineLevel="0" collapsed="false">
      <c r="A304" s="6"/>
      <c r="B304" s="6"/>
      <c r="C304" s="6"/>
      <c r="D304" s="6"/>
      <c r="E304" s="6"/>
      <c r="F304" s="7"/>
      <c r="G304" s="6"/>
      <c r="H304" s="6"/>
      <c r="I304" s="7"/>
      <c r="J304" s="6"/>
      <c r="K304" s="7"/>
      <c r="L304" s="6"/>
      <c r="M304" s="6"/>
      <c r="N304" s="7"/>
      <c r="O304" s="6"/>
      <c r="P304" s="6"/>
      <c r="Q304" s="7"/>
      <c r="R304" s="6" t="str">
        <f aca="false">IF(AND($A304="",$B304=""),"",IF(Q304="Complete","Onboarded",IF(OR(M304="Member",M304="Ambassador"),"Sponsored",IF(K304&lt;&gt;"","Follow-Up",IF(I304&lt;&gt;"","Presented",IF(F304&lt;&gt;"","Contacted","New Lead"))))))</f>
        <v/>
      </c>
      <c r="S304" s="6"/>
      <c r="T304" s="6" t="str">
        <f aca="true">IF(MAX(F304,I304,K304)=0,"",TODAY()-MAX(F304,I304,K304))</f>
        <v/>
      </c>
      <c r="U304" s="6"/>
      <c r="V304" s="6"/>
      <c r="W304" s="6" t="str">
        <f aca="false">IF(AND($A304="",$B304=""),"",IF(M304="Ambassador","1 - Ambassador",IF(M304="Member","2 - Member",IF(J304="Completed","3 - Presented",IF(H304&lt;&gt;"","4 - Sent",IF(F304&lt;&gt;"","5 - Contacted","6 - No Activity"))))))</f>
        <v/>
      </c>
      <c r="X304" s="6" t="n">
        <f aca="false">IF(AND($A304="",$B304=""),9999999+(ROW()-4),VALUE(LEFT($W304,1))*10000+(ROW()-4))</f>
        <v>10000299</v>
      </c>
    </row>
    <row r="305" customFormat="false" ht="15" hidden="false" customHeight="true" outlineLevel="0" collapsed="false">
      <c r="A305" s="6"/>
      <c r="B305" s="6"/>
      <c r="C305" s="6"/>
      <c r="D305" s="6"/>
      <c r="E305" s="6"/>
      <c r="F305" s="7"/>
      <c r="G305" s="6"/>
      <c r="H305" s="6"/>
      <c r="I305" s="7"/>
      <c r="J305" s="6"/>
      <c r="K305" s="7"/>
      <c r="L305" s="6"/>
      <c r="M305" s="6"/>
      <c r="N305" s="7"/>
      <c r="O305" s="6"/>
      <c r="P305" s="6"/>
      <c r="Q305" s="7"/>
      <c r="R305" s="6" t="str">
        <f aca="false">IF(AND($A305="",$B305=""),"",IF(Q305="Complete","Onboarded",IF(OR(M305="Member",M305="Ambassador"),"Sponsored",IF(K305&lt;&gt;"","Follow-Up",IF(I305&lt;&gt;"","Presented",IF(F305&lt;&gt;"","Contacted","New Lead"))))))</f>
        <v/>
      </c>
      <c r="S305" s="6"/>
      <c r="T305" s="6" t="str">
        <f aca="true">IF(MAX(F305,I305,K305)=0,"",TODAY()-MAX(F305,I305,K305))</f>
        <v/>
      </c>
      <c r="U305" s="6"/>
      <c r="V305" s="6"/>
      <c r="W305" s="6" t="str">
        <f aca="false">IF(AND($A305="",$B305=""),"",IF(M305="Ambassador","1 - Ambassador",IF(M305="Member","2 - Member",IF(J305="Completed","3 - Presented",IF(H305&lt;&gt;"","4 - Sent",IF(F305&lt;&gt;"","5 - Contacted","6 - No Activity"))))))</f>
        <v/>
      </c>
      <c r="X305" s="6" t="n">
        <f aca="false">IF(AND($A305="",$B305=""),9999999+(ROW()-4),VALUE(LEFT($W305,1))*10000+(ROW()-4))</f>
        <v>10000300</v>
      </c>
    </row>
    <row r="306" customFormat="false" ht="15" hidden="false" customHeight="true" outlineLevel="0" collapsed="false">
      <c r="A306" s="6"/>
      <c r="B306" s="6"/>
      <c r="C306" s="6"/>
      <c r="D306" s="6"/>
      <c r="E306" s="6"/>
      <c r="F306" s="7"/>
      <c r="G306" s="6"/>
      <c r="H306" s="6"/>
      <c r="I306" s="7"/>
      <c r="J306" s="6"/>
      <c r="K306" s="7"/>
      <c r="L306" s="6"/>
      <c r="M306" s="6"/>
      <c r="N306" s="7"/>
      <c r="O306" s="6"/>
      <c r="P306" s="6"/>
      <c r="Q306" s="7"/>
      <c r="R306" s="6" t="str">
        <f aca="false">IF(AND($A306="",$B306=""),"",IF(Q306="Complete","Onboarded",IF(OR(M306="Member",M306="Ambassador"),"Sponsored",IF(K306&lt;&gt;"","Follow-Up",IF(I306&lt;&gt;"","Presented",IF(F306&lt;&gt;"","Contacted","New Lead"))))))</f>
        <v/>
      </c>
      <c r="S306" s="6"/>
      <c r="T306" s="6" t="str">
        <f aca="true">IF(MAX(F306,I306,K306)=0,"",TODAY()-MAX(F306,I306,K306))</f>
        <v/>
      </c>
      <c r="U306" s="6"/>
      <c r="V306" s="6"/>
      <c r="W306" s="6" t="str">
        <f aca="false">IF(AND($A306="",$B306=""),"",IF(M306="Ambassador","1 - Ambassador",IF(M306="Member","2 - Member",IF(J306="Completed","3 - Presented",IF(H306&lt;&gt;"","4 - Sent",IF(F306&lt;&gt;"","5 - Contacted","6 - No Activity"))))))</f>
        <v/>
      </c>
      <c r="X306" s="6" t="n">
        <f aca="false">IF(AND($A306="",$B306=""),9999999+(ROW()-4),VALUE(LEFT($W306,1))*10000+(ROW()-4))</f>
        <v>10000301</v>
      </c>
    </row>
    <row r="307" customFormat="false" ht="15" hidden="false" customHeight="true" outlineLevel="0" collapsed="false">
      <c r="A307" s="6"/>
      <c r="B307" s="6"/>
      <c r="C307" s="6"/>
      <c r="D307" s="6"/>
      <c r="E307" s="6"/>
      <c r="F307" s="7"/>
      <c r="G307" s="6"/>
      <c r="H307" s="6"/>
      <c r="I307" s="7"/>
      <c r="J307" s="6"/>
      <c r="K307" s="7"/>
      <c r="L307" s="6"/>
      <c r="M307" s="6"/>
      <c r="N307" s="7"/>
      <c r="O307" s="6"/>
      <c r="P307" s="6"/>
      <c r="Q307" s="7"/>
      <c r="R307" s="6" t="str">
        <f aca="false">IF(AND($A307="",$B307=""),"",IF(Q307="Complete","Onboarded",IF(OR(M307="Member",M307="Ambassador"),"Sponsored",IF(K307&lt;&gt;"","Follow-Up",IF(I307&lt;&gt;"","Presented",IF(F307&lt;&gt;"","Contacted","New Lead"))))))</f>
        <v/>
      </c>
      <c r="S307" s="6"/>
      <c r="T307" s="6" t="str">
        <f aca="true">IF(MAX(F307,I307,K307)=0,"",TODAY()-MAX(F307,I307,K307))</f>
        <v/>
      </c>
      <c r="U307" s="6"/>
      <c r="V307" s="6"/>
      <c r="W307" s="6" t="str">
        <f aca="false">IF(AND($A307="",$B307=""),"",IF(M307="Ambassador","1 - Ambassador",IF(M307="Member","2 - Member",IF(J307="Completed","3 - Presented",IF(H307&lt;&gt;"","4 - Sent",IF(F307&lt;&gt;"","5 - Contacted","6 - No Activity"))))))</f>
        <v/>
      </c>
      <c r="X307" s="6" t="n">
        <f aca="false">IF(AND($A307="",$B307=""),9999999+(ROW()-4),VALUE(LEFT($W307,1))*10000+(ROW()-4))</f>
        <v>10000302</v>
      </c>
    </row>
    <row r="308" customFormat="false" ht="15" hidden="false" customHeight="true" outlineLevel="0" collapsed="false">
      <c r="A308" s="6"/>
      <c r="B308" s="6"/>
      <c r="C308" s="6"/>
      <c r="D308" s="6"/>
      <c r="E308" s="6"/>
      <c r="F308" s="7"/>
      <c r="G308" s="6"/>
      <c r="H308" s="6"/>
      <c r="I308" s="7"/>
      <c r="J308" s="6"/>
      <c r="K308" s="7"/>
      <c r="L308" s="6"/>
      <c r="M308" s="6"/>
      <c r="N308" s="7"/>
      <c r="O308" s="6"/>
      <c r="P308" s="6"/>
      <c r="Q308" s="7"/>
      <c r="R308" s="6" t="str">
        <f aca="false">IF(AND($A308="",$B308=""),"",IF(Q308="Complete","Onboarded",IF(OR(M308="Member",M308="Ambassador"),"Sponsored",IF(K308&lt;&gt;"","Follow-Up",IF(I308&lt;&gt;"","Presented",IF(F308&lt;&gt;"","Contacted","New Lead"))))))</f>
        <v/>
      </c>
      <c r="S308" s="6"/>
      <c r="T308" s="6" t="str">
        <f aca="true">IF(MAX(F308,I308,K308)=0,"",TODAY()-MAX(F308,I308,K308))</f>
        <v/>
      </c>
      <c r="U308" s="6"/>
      <c r="V308" s="6"/>
      <c r="W308" s="6" t="str">
        <f aca="false">IF(AND($A308="",$B308=""),"",IF(M308="Ambassador","1 - Ambassador",IF(M308="Member","2 - Member",IF(J308="Completed","3 - Presented",IF(H308&lt;&gt;"","4 - Sent",IF(F308&lt;&gt;"","5 - Contacted","6 - No Activity"))))))</f>
        <v/>
      </c>
      <c r="X308" s="6" t="n">
        <f aca="false">IF(AND($A308="",$B308=""),9999999+(ROW()-4),VALUE(LEFT($W308,1))*10000+(ROW()-4))</f>
        <v>10000303</v>
      </c>
    </row>
    <row r="309" customFormat="false" ht="15" hidden="false" customHeight="true" outlineLevel="0" collapsed="false">
      <c r="A309" s="6"/>
      <c r="B309" s="6"/>
      <c r="C309" s="6"/>
      <c r="D309" s="6"/>
      <c r="E309" s="6"/>
      <c r="F309" s="7"/>
      <c r="G309" s="6"/>
      <c r="H309" s="6"/>
      <c r="I309" s="7"/>
      <c r="J309" s="6"/>
      <c r="K309" s="7"/>
      <c r="L309" s="6"/>
      <c r="M309" s="6"/>
      <c r="N309" s="7"/>
      <c r="O309" s="6"/>
      <c r="P309" s="6"/>
      <c r="Q309" s="7"/>
      <c r="R309" s="6" t="str">
        <f aca="false">IF(AND($A309="",$B309=""),"",IF(Q309="Complete","Onboarded",IF(OR(M309="Member",M309="Ambassador"),"Sponsored",IF(K309&lt;&gt;"","Follow-Up",IF(I309&lt;&gt;"","Presented",IF(F309&lt;&gt;"","Contacted","New Lead"))))))</f>
        <v/>
      </c>
      <c r="S309" s="6"/>
      <c r="T309" s="6" t="str">
        <f aca="true">IF(MAX(F309,I309,K309)=0,"",TODAY()-MAX(F309,I309,K309))</f>
        <v/>
      </c>
      <c r="U309" s="6"/>
      <c r="V309" s="6"/>
      <c r="W309" s="6" t="str">
        <f aca="false">IF(AND($A309="",$B309=""),"",IF(M309="Ambassador","1 - Ambassador",IF(M309="Member","2 - Member",IF(J309="Completed","3 - Presented",IF(H309&lt;&gt;"","4 - Sent",IF(F309&lt;&gt;"","5 - Contacted","6 - No Activity"))))))</f>
        <v/>
      </c>
      <c r="X309" s="6" t="n">
        <f aca="false">IF(AND($A309="",$B309=""),9999999+(ROW()-4),VALUE(LEFT($W309,1))*10000+(ROW()-4))</f>
        <v>10000304</v>
      </c>
    </row>
    <row r="310" customFormat="false" ht="15" hidden="false" customHeight="true" outlineLevel="0" collapsed="false">
      <c r="A310" s="6"/>
      <c r="B310" s="6"/>
      <c r="C310" s="6"/>
      <c r="D310" s="6"/>
      <c r="E310" s="6"/>
      <c r="F310" s="7"/>
      <c r="G310" s="6"/>
      <c r="H310" s="6"/>
      <c r="I310" s="7"/>
      <c r="J310" s="6"/>
      <c r="K310" s="7"/>
      <c r="L310" s="6"/>
      <c r="M310" s="6"/>
      <c r="N310" s="7"/>
      <c r="O310" s="6"/>
      <c r="P310" s="6"/>
      <c r="Q310" s="7"/>
      <c r="R310" s="6" t="str">
        <f aca="false">IF(AND($A310="",$B310=""),"",IF(Q310="Complete","Onboarded",IF(OR(M310="Member",M310="Ambassador"),"Sponsored",IF(K310&lt;&gt;"","Follow-Up",IF(I310&lt;&gt;"","Presented",IF(F310&lt;&gt;"","Contacted","New Lead"))))))</f>
        <v/>
      </c>
      <c r="S310" s="6"/>
      <c r="T310" s="6" t="str">
        <f aca="true">IF(MAX(F310,I310,K310)=0,"",TODAY()-MAX(F310,I310,K310))</f>
        <v/>
      </c>
      <c r="U310" s="6"/>
      <c r="V310" s="6"/>
      <c r="W310" s="6" t="str">
        <f aca="false">IF(AND($A310="",$B310=""),"",IF(M310="Ambassador","1 - Ambassador",IF(M310="Member","2 - Member",IF(J310="Completed","3 - Presented",IF(H310&lt;&gt;"","4 - Sent",IF(F310&lt;&gt;"","5 - Contacted","6 - No Activity"))))))</f>
        <v/>
      </c>
      <c r="X310" s="6" t="n">
        <f aca="false">IF(AND($A310="",$B310=""),9999999+(ROW()-4),VALUE(LEFT($W310,1))*10000+(ROW()-4))</f>
        <v>10000305</v>
      </c>
    </row>
    <row r="311" customFormat="false" ht="15" hidden="false" customHeight="true" outlineLevel="0" collapsed="false">
      <c r="A311" s="6"/>
      <c r="B311" s="6"/>
      <c r="C311" s="6"/>
      <c r="D311" s="6"/>
      <c r="E311" s="6"/>
      <c r="F311" s="7"/>
      <c r="G311" s="6"/>
      <c r="H311" s="6"/>
      <c r="I311" s="7"/>
      <c r="J311" s="6"/>
      <c r="K311" s="7"/>
      <c r="L311" s="6"/>
      <c r="M311" s="6"/>
      <c r="N311" s="7"/>
      <c r="O311" s="6"/>
      <c r="P311" s="6"/>
      <c r="Q311" s="7"/>
      <c r="R311" s="6" t="str">
        <f aca="false">IF(AND($A311="",$B311=""),"",IF(Q311="Complete","Onboarded",IF(OR(M311="Member",M311="Ambassador"),"Sponsored",IF(K311&lt;&gt;"","Follow-Up",IF(I311&lt;&gt;"","Presented",IF(F311&lt;&gt;"","Contacted","New Lead"))))))</f>
        <v/>
      </c>
      <c r="S311" s="6"/>
      <c r="T311" s="6" t="str">
        <f aca="true">IF(MAX(F311,I311,K311)=0,"",TODAY()-MAX(F311,I311,K311))</f>
        <v/>
      </c>
      <c r="U311" s="6"/>
      <c r="V311" s="6"/>
      <c r="W311" s="6" t="str">
        <f aca="false">IF(AND($A311="",$B311=""),"",IF(M311="Ambassador","1 - Ambassador",IF(M311="Member","2 - Member",IF(J311="Completed","3 - Presented",IF(H311&lt;&gt;"","4 - Sent",IF(F311&lt;&gt;"","5 - Contacted","6 - No Activity"))))))</f>
        <v/>
      </c>
      <c r="X311" s="6" t="n">
        <f aca="false">IF(AND($A311="",$B311=""),9999999+(ROW()-4),VALUE(LEFT($W311,1))*10000+(ROW()-4))</f>
        <v>10000306</v>
      </c>
    </row>
    <row r="312" customFormat="false" ht="15" hidden="false" customHeight="true" outlineLevel="0" collapsed="false">
      <c r="A312" s="6"/>
      <c r="B312" s="6"/>
      <c r="C312" s="6"/>
      <c r="D312" s="6"/>
      <c r="E312" s="6"/>
      <c r="F312" s="7"/>
      <c r="G312" s="6"/>
      <c r="H312" s="6"/>
      <c r="I312" s="7"/>
      <c r="J312" s="6"/>
      <c r="K312" s="7"/>
      <c r="L312" s="6"/>
      <c r="M312" s="6"/>
      <c r="N312" s="7"/>
      <c r="O312" s="6"/>
      <c r="P312" s="6"/>
      <c r="Q312" s="7"/>
      <c r="R312" s="6" t="str">
        <f aca="false">IF(AND($A312="",$B312=""),"",IF(Q312="Complete","Onboarded",IF(OR(M312="Member",M312="Ambassador"),"Sponsored",IF(K312&lt;&gt;"","Follow-Up",IF(I312&lt;&gt;"","Presented",IF(F312&lt;&gt;"","Contacted","New Lead"))))))</f>
        <v/>
      </c>
      <c r="S312" s="6"/>
      <c r="T312" s="6" t="str">
        <f aca="true">IF(MAX(F312,I312,K312)=0,"",TODAY()-MAX(F312,I312,K312))</f>
        <v/>
      </c>
      <c r="U312" s="6"/>
      <c r="V312" s="6"/>
      <c r="W312" s="6" t="str">
        <f aca="false">IF(AND($A312="",$B312=""),"",IF(M312="Ambassador","1 - Ambassador",IF(M312="Member","2 - Member",IF(J312="Completed","3 - Presented",IF(H312&lt;&gt;"","4 - Sent",IF(F312&lt;&gt;"","5 - Contacted","6 - No Activity"))))))</f>
        <v/>
      </c>
      <c r="X312" s="6" t="n">
        <f aca="false">IF(AND($A312="",$B312=""),9999999+(ROW()-4),VALUE(LEFT($W312,1))*10000+(ROW()-4))</f>
        <v>10000307</v>
      </c>
    </row>
    <row r="313" customFormat="false" ht="15" hidden="false" customHeight="true" outlineLevel="0" collapsed="false">
      <c r="A313" s="6"/>
      <c r="B313" s="6"/>
      <c r="C313" s="6"/>
      <c r="D313" s="6"/>
      <c r="E313" s="6"/>
      <c r="F313" s="7"/>
      <c r="G313" s="6"/>
      <c r="H313" s="6"/>
      <c r="I313" s="7"/>
      <c r="J313" s="6"/>
      <c r="K313" s="7"/>
      <c r="L313" s="6"/>
      <c r="M313" s="6"/>
      <c r="N313" s="7"/>
      <c r="O313" s="6"/>
      <c r="P313" s="6"/>
      <c r="Q313" s="7"/>
      <c r="R313" s="6" t="str">
        <f aca="false">IF(AND($A313="",$B313=""),"",IF(Q313="Complete","Onboarded",IF(OR(M313="Member",M313="Ambassador"),"Sponsored",IF(K313&lt;&gt;"","Follow-Up",IF(I313&lt;&gt;"","Presented",IF(F313&lt;&gt;"","Contacted","New Lead"))))))</f>
        <v/>
      </c>
      <c r="S313" s="6"/>
      <c r="T313" s="6" t="str">
        <f aca="true">IF(MAX(F313,I313,K313)=0,"",TODAY()-MAX(F313,I313,K313))</f>
        <v/>
      </c>
      <c r="U313" s="6"/>
      <c r="V313" s="6"/>
      <c r="W313" s="6" t="str">
        <f aca="false">IF(AND($A313="",$B313=""),"",IF(M313="Ambassador","1 - Ambassador",IF(M313="Member","2 - Member",IF(J313="Completed","3 - Presented",IF(H313&lt;&gt;"","4 - Sent",IF(F313&lt;&gt;"","5 - Contacted","6 - No Activity"))))))</f>
        <v/>
      </c>
      <c r="X313" s="6" t="n">
        <f aca="false">IF(AND($A313="",$B313=""),9999999+(ROW()-4),VALUE(LEFT($W313,1))*10000+(ROW()-4))</f>
        <v>10000308</v>
      </c>
    </row>
    <row r="314" customFormat="false" ht="15" hidden="false" customHeight="true" outlineLevel="0" collapsed="false">
      <c r="A314" s="6"/>
      <c r="B314" s="6"/>
      <c r="C314" s="6"/>
      <c r="D314" s="6"/>
      <c r="E314" s="6"/>
      <c r="F314" s="7"/>
      <c r="G314" s="6"/>
      <c r="H314" s="6"/>
      <c r="I314" s="7"/>
      <c r="J314" s="6"/>
      <c r="K314" s="7"/>
      <c r="L314" s="6"/>
      <c r="M314" s="6"/>
      <c r="N314" s="7"/>
      <c r="O314" s="6"/>
      <c r="P314" s="6"/>
      <c r="Q314" s="7"/>
      <c r="R314" s="6" t="str">
        <f aca="false">IF(AND($A314="",$B314=""),"",IF(Q314="Complete","Onboarded",IF(OR(M314="Member",M314="Ambassador"),"Sponsored",IF(K314&lt;&gt;"","Follow-Up",IF(I314&lt;&gt;"","Presented",IF(F314&lt;&gt;"","Contacted","New Lead"))))))</f>
        <v/>
      </c>
      <c r="S314" s="6"/>
      <c r="T314" s="6" t="str">
        <f aca="true">IF(MAX(F314,I314,K314)=0,"",TODAY()-MAX(F314,I314,K314))</f>
        <v/>
      </c>
      <c r="U314" s="6"/>
      <c r="V314" s="6"/>
      <c r="W314" s="6" t="str">
        <f aca="false">IF(AND($A314="",$B314=""),"",IF(M314="Ambassador","1 - Ambassador",IF(M314="Member","2 - Member",IF(J314="Completed","3 - Presented",IF(H314&lt;&gt;"","4 - Sent",IF(F314&lt;&gt;"","5 - Contacted","6 - No Activity"))))))</f>
        <v/>
      </c>
      <c r="X314" s="6" t="n">
        <f aca="false">IF(AND($A314="",$B314=""),9999999+(ROW()-4),VALUE(LEFT($W314,1))*10000+(ROW()-4))</f>
        <v>10000309</v>
      </c>
    </row>
    <row r="315" customFormat="false" ht="15" hidden="false" customHeight="true" outlineLevel="0" collapsed="false">
      <c r="A315" s="6"/>
      <c r="B315" s="6"/>
      <c r="C315" s="6"/>
      <c r="D315" s="6"/>
      <c r="E315" s="6"/>
      <c r="F315" s="7"/>
      <c r="G315" s="6"/>
      <c r="H315" s="6"/>
      <c r="I315" s="7"/>
      <c r="J315" s="6"/>
      <c r="K315" s="7"/>
      <c r="L315" s="6"/>
      <c r="M315" s="6"/>
      <c r="N315" s="7"/>
      <c r="O315" s="6"/>
      <c r="P315" s="6"/>
      <c r="Q315" s="7"/>
      <c r="R315" s="6" t="str">
        <f aca="false">IF(AND($A315="",$B315=""),"",IF(Q315="Complete","Onboarded",IF(OR(M315="Member",M315="Ambassador"),"Sponsored",IF(K315&lt;&gt;"","Follow-Up",IF(I315&lt;&gt;"","Presented",IF(F315&lt;&gt;"","Contacted","New Lead"))))))</f>
        <v/>
      </c>
      <c r="S315" s="6"/>
      <c r="T315" s="6" t="str">
        <f aca="true">IF(MAX(F315,I315,K315)=0,"",TODAY()-MAX(F315,I315,K315))</f>
        <v/>
      </c>
      <c r="U315" s="6"/>
      <c r="V315" s="6"/>
      <c r="W315" s="6" t="str">
        <f aca="false">IF(AND($A315="",$B315=""),"",IF(M315="Ambassador","1 - Ambassador",IF(M315="Member","2 - Member",IF(J315="Completed","3 - Presented",IF(H315&lt;&gt;"","4 - Sent",IF(F315&lt;&gt;"","5 - Contacted","6 - No Activity"))))))</f>
        <v/>
      </c>
      <c r="X315" s="6" t="n">
        <f aca="false">IF(AND($A315="",$B315=""),9999999+(ROW()-4),VALUE(LEFT($W315,1))*10000+(ROW()-4))</f>
        <v>10000310</v>
      </c>
    </row>
    <row r="316" customFormat="false" ht="15" hidden="false" customHeight="true" outlineLevel="0" collapsed="false">
      <c r="A316" s="6"/>
      <c r="B316" s="6"/>
      <c r="C316" s="6"/>
      <c r="D316" s="6"/>
      <c r="E316" s="6"/>
      <c r="F316" s="7"/>
      <c r="G316" s="6"/>
      <c r="H316" s="6"/>
      <c r="I316" s="7"/>
      <c r="J316" s="6"/>
      <c r="K316" s="7"/>
      <c r="L316" s="6"/>
      <c r="M316" s="6"/>
      <c r="N316" s="7"/>
      <c r="O316" s="6"/>
      <c r="P316" s="6"/>
      <c r="Q316" s="7"/>
      <c r="R316" s="6" t="str">
        <f aca="false">IF(AND($A316="",$B316=""),"",IF(Q316="Complete","Onboarded",IF(OR(M316="Member",M316="Ambassador"),"Sponsored",IF(K316&lt;&gt;"","Follow-Up",IF(I316&lt;&gt;"","Presented",IF(F316&lt;&gt;"","Contacted","New Lead"))))))</f>
        <v/>
      </c>
      <c r="S316" s="6"/>
      <c r="T316" s="6" t="str">
        <f aca="true">IF(MAX(F316,I316,K316)=0,"",TODAY()-MAX(F316,I316,K316))</f>
        <v/>
      </c>
      <c r="U316" s="6"/>
      <c r="V316" s="6"/>
      <c r="W316" s="6" t="str">
        <f aca="false">IF(AND($A316="",$B316=""),"",IF(M316="Ambassador","1 - Ambassador",IF(M316="Member","2 - Member",IF(J316="Completed","3 - Presented",IF(H316&lt;&gt;"","4 - Sent",IF(F316&lt;&gt;"","5 - Contacted","6 - No Activity"))))))</f>
        <v/>
      </c>
      <c r="X316" s="6" t="n">
        <f aca="false">IF(AND($A316="",$B316=""),9999999+(ROW()-4),VALUE(LEFT($W316,1))*10000+(ROW()-4))</f>
        <v>10000311</v>
      </c>
    </row>
    <row r="317" customFormat="false" ht="15" hidden="false" customHeight="true" outlineLevel="0" collapsed="false">
      <c r="A317" s="6"/>
      <c r="B317" s="6"/>
      <c r="C317" s="6"/>
      <c r="D317" s="6"/>
      <c r="E317" s="6"/>
      <c r="F317" s="7"/>
      <c r="G317" s="6"/>
      <c r="H317" s="6"/>
      <c r="I317" s="7"/>
      <c r="J317" s="6"/>
      <c r="K317" s="7"/>
      <c r="L317" s="6"/>
      <c r="M317" s="6"/>
      <c r="N317" s="7"/>
      <c r="O317" s="6"/>
      <c r="P317" s="6"/>
      <c r="Q317" s="7"/>
      <c r="R317" s="6" t="str">
        <f aca="false">IF(AND($A317="",$B317=""),"",IF(Q317="Complete","Onboarded",IF(OR(M317="Member",M317="Ambassador"),"Sponsored",IF(K317&lt;&gt;"","Follow-Up",IF(I317&lt;&gt;"","Presented",IF(F317&lt;&gt;"","Contacted","New Lead"))))))</f>
        <v/>
      </c>
      <c r="S317" s="6"/>
      <c r="T317" s="6" t="str">
        <f aca="true">IF(MAX(F317,I317,K317)=0,"",TODAY()-MAX(F317,I317,K317))</f>
        <v/>
      </c>
      <c r="U317" s="6"/>
      <c r="V317" s="6"/>
      <c r="W317" s="6" t="str">
        <f aca="false">IF(AND($A317="",$B317=""),"",IF(M317="Ambassador","1 - Ambassador",IF(M317="Member","2 - Member",IF(J317="Completed","3 - Presented",IF(H317&lt;&gt;"","4 - Sent",IF(F317&lt;&gt;"","5 - Contacted","6 - No Activity"))))))</f>
        <v/>
      </c>
      <c r="X317" s="6" t="n">
        <f aca="false">IF(AND($A317="",$B317=""),9999999+(ROW()-4),VALUE(LEFT($W317,1))*10000+(ROW()-4))</f>
        <v>10000312</v>
      </c>
    </row>
    <row r="318" customFormat="false" ht="15" hidden="false" customHeight="true" outlineLevel="0" collapsed="false">
      <c r="A318" s="6"/>
      <c r="B318" s="6"/>
      <c r="C318" s="6"/>
      <c r="D318" s="6"/>
      <c r="E318" s="6"/>
      <c r="F318" s="7"/>
      <c r="G318" s="6"/>
      <c r="H318" s="6"/>
      <c r="I318" s="7"/>
      <c r="J318" s="6"/>
      <c r="K318" s="7"/>
      <c r="L318" s="6"/>
      <c r="M318" s="6"/>
      <c r="N318" s="7"/>
      <c r="O318" s="6"/>
      <c r="P318" s="6"/>
      <c r="Q318" s="7"/>
      <c r="R318" s="6" t="str">
        <f aca="false">IF(AND($A318="",$B318=""),"",IF(Q318="Complete","Onboarded",IF(OR(M318="Member",M318="Ambassador"),"Sponsored",IF(K318&lt;&gt;"","Follow-Up",IF(I318&lt;&gt;"","Presented",IF(F318&lt;&gt;"","Contacted","New Lead"))))))</f>
        <v/>
      </c>
      <c r="S318" s="6"/>
      <c r="T318" s="6" t="str">
        <f aca="true">IF(MAX(F318,I318,K318)=0,"",TODAY()-MAX(F318,I318,K318))</f>
        <v/>
      </c>
      <c r="U318" s="6"/>
      <c r="V318" s="6"/>
      <c r="W318" s="6" t="str">
        <f aca="false">IF(AND($A318="",$B318=""),"",IF(M318="Ambassador","1 - Ambassador",IF(M318="Member","2 - Member",IF(J318="Completed","3 - Presented",IF(H318&lt;&gt;"","4 - Sent",IF(F318&lt;&gt;"","5 - Contacted","6 - No Activity"))))))</f>
        <v/>
      </c>
      <c r="X318" s="6" t="n">
        <f aca="false">IF(AND($A318="",$B318=""),9999999+(ROW()-4),VALUE(LEFT($W318,1))*10000+(ROW()-4))</f>
        <v>10000313</v>
      </c>
    </row>
    <row r="319" customFormat="false" ht="15" hidden="false" customHeight="true" outlineLevel="0" collapsed="false">
      <c r="A319" s="6"/>
      <c r="B319" s="6"/>
      <c r="C319" s="6"/>
      <c r="D319" s="6"/>
      <c r="E319" s="6"/>
      <c r="F319" s="7"/>
      <c r="G319" s="6"/>
      <c r="H319" s="6"/>
      <c r="I319" s="7"/>
      <c r="J319" s="6"/>
      <c r="K319" s="7"/>
      <c r="L319" s="6"/>
      <c r="M319" s="6"/>
      <c r="N319" s="7"/>
      <c r="O319" s="6"/>
      <c r="P319" s="6"/>
      <c r="Q319" s="7"/>
      <c r="R319" s="6" t="str">
        <f aca="false">IF(AND($A319="",$B319=""),"",IF(Q319="Complete","Onboarded",IF(OR(M319="Member",M319="Ambassador"),"Sponsored",IF(K319&lt;&gt;"","Follow-Up",IF(I319&lt;&gt;"","Presented",IF(F319&lt;&gt;"","Contacted","New Lead"))))))</f>
        <v/>
      </c>
      <c r="S319" s="6"/>
      <c r="T319" s="6" t="str">
        <f aca="true">IF(MAX(F319,I319,K319)=0,"",TODAY()-MAX(F319,I319,K319))</f>
        <v/>
      </c>
      <c r="U319" s="6"/>
      <c r="V319" s="6"/>
      <c r="W319" s="6" t="str">
        <f aca="false">IF(AND($A319="",$B319=""),"",IF(M319="Ambassador","1 - Ambassador",IF(M319="Member","2 - Member",IF(J319="Completed","3 - Presented",IF(H319&lt;&gt;"","4 - Sent",IF(F319&lt;&gt;"","5 - Contacted","6 - No Activity"))))))</f>
        <v/>
      </c>
      <c r="X319" s="6" t="n">
        <f aca="false">IF(AND($A319="",$B319=""),9999999+(ROW()-4),VALUE(LEFT($W319,1))*10000+(ROW()-4))</f>
        <v>10000314</v>
      </c>
    </row>
    <row r="320" customFormat="false" ht="15" hidden="false" customHeight="true" outlineLevel="0" collapsed="false">
      <c r="A320" s="6"/>
      <c r="B320" s="6"/>
      <c r="C320" s="6"/>
      <c r="D320" s="6"/>
      <c r="E320" s="6"/>
      <c r="F320" s="7"/>
      <c r="G320" s="6"/>
      <c r="H320" s="6"/>
      <c r="I320" s="7"/>
      <c r="J320" s="6"/>
      <c r="K320" s="7"/>
      <c r="L320" s="6"/>
      <c r="M320" s="6"/>
      <c r="N320" s="7"/>
      <c r="O320" s="6"/>
      <c r="P320" s="6"/>
      <c r="Q320" s="7"/>
      <c r="R320" s="6" t="str">
        <f aca="false">IF(AND($A320="",$B320=""),"",IF(Q320="Complete","Onboarded",IF(OR(M320="Member",M320="Ambassador"),"Sponsored",IF(K320&lt;&gt;"","Follow-Up",IF(I320&lt;&gt;"","Presented",IF(F320&lt;&gt;"","Contacted","New Lead"))))))</f>
        <v/>
      </c>
      <c r="S320" s="6"/>
      <c r="T320" s="6" t="str">
        <f aca="true">IF(MAX(F320,I320,K320)=0,"",TODAY()-MAX(F320,I320,K320))</f>
        <v/>
      </c>
      <c r="U320" s="6"/>
      <c r="V320" s="6"/>
      <c r="W320" s="6" t="str">
        <f aca="false">IF(AND($A320="",$B320=""),"",IF(M320="Ambassador","1 - Ambassador",IF(M320="Member","2 - Member",IF(J320="Completed","3 - Presented",IF(H320&lt;&gt;"","4 - Sent",IF(F320&lt;&gt;"","5 - Contacted","6 - No Activity"))))))</f>
        <v/>
      </c>
      <c r="X320" s="6" t="n">
        <f aca="false">IF(AND($A320="",$B320=""),9999999+(ROW()-4),VALUE(LEFT($W320,1))*10000+(ROW()-4))</f>
        <v>10000315</v>
      </c>
    </row>
    <row r="321" customFormat="false" ht="15" hidden="false" customHeight="true" outlineLevel="0" collapsed="false">
      <c r="A321" s="6"/>
      <c r="B321" s="6"/>
      <c r="C321" s="6"/>
      <c r="D321" s="6"/>
      <c r="E321" s="6"/>
      <c r="F321" s="7"/>
      <c r="G321" s="6"/>
      <c r="H321" s="6"/>
      <c r="I321" s="7"/>
      <c r="J321" s="6"/>
      <c r="K321" s="7"/>
      <c r="L321" s="6"/>
      <c r="M321" s="6"/>
      <c r="N321" s="7"/>
      <c r="O321" s="6"/>
      <c r="P321" s="6"/>
      <c r="Q321" s="7"/>
      <c r="R321" s="6" t="str">
        <f aca="false">IF(AND($A321="",$B321=""),"",IF(Q321="Complete","Onboarded",IF(OR(M321="Member",M321="Ambassador"),"Sponsored",IF(K321&lt;&gt;"","Follow-Up",IF(I321&lt;&gt;"","Presented",IF(F321&lt;&gt;"","Contacted","New Lead"))))))</f>
        <v/>
      </c>
      <c r="S321" s="6"/>
      <c r="T321" s="6" t="str">
        <f aca="true">IF(MAX(F321,I321,K321)=0,"",TODAY()-MAX(F321,I321,K321))</f>
        <v/>
      </c>
      <c r="U321" s="6"/>
      <c r="V321" s="6"/>
      <c r="W321" s="6" t="str">
        <f aca="false">IF(AND($A321="",$B321=""),"",IF(M321="Ambassador","1 - Ambassador",IF(M321="Member","2 - Member",IF(J321="Completed","3 - Presented",IF(H321&lt;&gt;"","4 - Sent",IF(F321&lt;&gt;"","5 - Contacted","6 - No Activity"))))))</f>
        <v/>
      </c>
      <c r="X321" s="6" t="n">
        <f aca="false">IF(AND($A321="",$B321=""),9999999+(ROW()-4),VALUE(LEFT($W321,1))*10000+(ROW()-4))</f>
        <v>10000316</v>
      </c>
    </row>
    <row r="322" customFormat="false" ht="15" hidden="false" customHeight="true" outlineLevel="0" collapsed="false">
      <c r="A322" s="6"/>
      <c r="B322" s="6"/>
      <c r="C322" s="6"/>
      <c r="D322" s="6"/>
      <c r="E322" s="6"/>
      <c r="F322" s="7"/>
      <c r="G322" s="6"/>
      <c r="H322" s="6"/>
      <c r="I322" s="7"/>
      <c r="J322" s="6"/>
      <c r="K322" s="7"/>
      <c r="L322" s="6"/>
      <c r="M322" s="6"/>
      <c r="N322" s="7"/>
      <c r="O322" s="6"/>
      <c r="P322" s="6"/>
      <c r="Q322" s="7"/>
      <c r="R322" s="6" t="str">
        <f aca="false">IF(AND($A322="",$B322=""),"",IF(Q322="Complete","Onboarded",IF(OR(M322="Member",M322="Ambassador"),"Sponsored",IF(K322&lt;&gt;"","Follow-Up",IF(I322&lt;&gt;"","Presented",IF(F322&lt;&gt;"","Contacted","New Lead"))))))</f>
        <v/>
      </c>
      <c r="S322" s="6"/>
      <c r="T322" s="6" t="str">
        <f aca="true">IF(MAX(F322,I322,K322)=0,"",TODAY()-MAX(F322,I322,K322))</f>
        <v/>
      </c>
      <c r="U322" s="6"/>
      <c r="V322" s="6"/>
      <c r="W322" s="6" t="str">
        <f aca="false">IF(AND($A322="",$B322=""),"",IF(M322="Ambassador","1 - Ambassador",IF(M322="Member","2 - Member",IF(J322="Completed","3 - Presented",IF(H322&lt;&gt;"","4 - Sent",IF(F322&lt;&gt;"","5 - Contacted","6 - No Activity"))))))</f>
        <v/>
      </c>
      <c r="X322" s="6" t="n">
        <f aca="false">IF(AND($A322="",$B322=""),9999999+(ROW()-4),VALUE(LEFT($W322,1))*10000+(ROW()-4))</f>
        <v>10000317</v>
      </c>
    </row>
    <row r="323" customFormat="false" ht="15" hidden="false" customHeight="true" outlineLevel="0" collapsed="false">
      <c r="A323" s="6"/>
      <c r="B323" s="6"/>
      <c r="C323" s="6"/>
      <c r="D323" s="6"/>
      <c r="E323" s="6"/>
      <c r="F323" s="7"/>
      <c r="G323" s="6"/>
      <c r="H323" s="6"/>
      <c r="I323" s="7"/>
      <c r="J323" s="6"/>
      <c r="K323" s="7"/>
      <c r="L323" s="6"/>
      <c r="M323" s="6"/>
      <c r="N323" s="7"/>
      <c r="O323" s="6"/>
      <c r="P323" s="6"/>
      <c r="Q323" s="7"/>
      <c r="R323" s="6" t="str">
        <f aca="false">IF(AND($A323="",$B323=""),"",IF(Q323="Complete","Onboarded",IF(OR(M323="Member",M323="Ambassador"),"Sponsored",IF(K323&lt;&gt;"","Follow-Up",IF(I323&lt;&gt;"","Presented",IF(F323&lt;&gt;"","Contacted","New Lead"))))))</f>
        <v/>
      </c>
      <c r="S323" s="6"/>
      <c r="T323" s="6" t="str">
        <f aca="true">IF(MAX(F323,I323,K323)=0,"",TODAY()-MAX(F323,I323,K323))</f>
        <v/>
      </c>
      <c r="U323" s="6"/>
      <c r="V323" s="6"/>
      <c r="W323" s="6" t="str">
        <f aca="false">IF(AND($A323="",$B323=""),"",IF(M323="Ambassador","1 - Ambassador",IF(M323="Member","2 - Member",IF(J323="Completed","3 - Presented",IF(H323&lt;&gt;"","4 - Sent",IF(F323&lt;&gt;"","5 - Contacted","6 - No Activity"))))))</f>
        <v/>
      </c>
      <c r="X323" s="6" t="n">
        <f aca="false">IF(AND($A323="",$B323=""),9999999+(ROW()-4),VALUE(LEFT($W323,1))*10000+(ROW()-4))</f>
        <v>10000318</v>
      </c>
    </row>
    <row r="324" customFormat="false" ht="15" hidden="false" customHeight="true" outlineLevel="0" collapsed="false">
      <c r="A324" s="6"/>
      <c r="B324" s="6"/>
      <c r="C324" s="6"/>
      <c r="D324" s="6"/>
      <c r="E324" s="6"/>
      <c r="F324" s="7"/>
      <c r="G324" s="6"/>
      <c r="H324" s="6"/>
      <c r="I324" s="7"/>
      <c r="J324" s="6"/>
      <c r="K324" s="7"/>
      <c r="L324" s="6"/>
      <c r="M324" s="6"/>
      <c r="N324" s="7"/>
      <c r="O324" s="6"/>
      <c r="P324" s="6"/>
      <c r="Q324" s="7"/>
      <c r="R324" s="6" t="str">
        <f aca="false">IF(AND($A324="",$B324=""),"",IF(Q324="Complete","Onboarded",IF(OR(M324="Member",M324="Ambassador"),"Sponsored",IF(K324&lt;&gt;"","Follow-Up",IF(I324&lt;&gt;"","Presented",IF(F324&lt;&gt;"","Contacted","New Lead"))))))</f>
        <v/>
      </c>
      <c r="S324" s="6"/>
      <c r="T324" s="6" t="str">
        <f aca="true">IF(MAX(F324,I324,K324)=0,"",TODAY()-MAX(F324,I324,K324))</f>
        <v/>
      </c>
      <c r="U324" s="6"/>
      <c r="V324" s="6"/>
      <c r="W324" s="6" t="str">
        <f aca="false">IF(AND($A324="",$B324=""),"",IF(M324="Ambassador","1 - Ambassador",IF(M324="Member","2 - Member",IF(J324="Completed","3 - Presented",IF(H324&lt;&gt;"","4 - Sent",IF(F324&lt;&gt;"","5 - Contacted","6 - No Activity"))))))</f>
        <v/>
      </c>
      <c r="X324" s="6" t="n">
        <f aca="false">IF(AND($A324="",$B324=""),9999999+(ROW()-4),VALUE(LEFT($W324,1))*10000+(ROW()-4))</f>
        <v>10000319</v>
      </c>
    </row>
    <row r="325" customFormat="false" ht="15" hidden="false" customHeight="true" outlineLevel="0" collapsed="false">
      <c r="A325" s="6"/>
      <c r="B325" s="6"/>
      <c r="C325" s="6"/>
      <c r="D325" s="6"/>
      <c r="E325" s="6"/>
      <c r="F325" s="7"/>
      <c r="G325" s="6"/>
      <c r="H325" s="6"/>
      <c r="I325" s="7"/>
      <c r="J325" s="6"/>
      <c r="K325" s="7"/>
      <c r="L325" s="6"/>
      <c r="M325" s="6"/>
      <c r="N325" s="7"/>
      <c r="O325" s="6"/>
      <c r="P325" s="6"/>
      <c r="Q325" s="7"/>
      <c r="R325" s="6" t="str">
        <f aca="false">IF(AND($A325="",$B325=""),"",IF(Q325="Complete","Onboarded",IF(OR(M325="Member",M325="Ambassador"),"Sponsored",IF(K325&lt;&gt;"","Follow-Up",IF(I325&lt;&gt;"","Presented",IF(F325&lt;&gt;"","Contacted","New Lead"))))))</f>
        <v/>
      </c>
      <c r="S325" s="6"/>
      <c r="T325" s="6" t="str">
        <f aca="true">IF(MAX(F325,I325,K325)=0,"",TODAY()-MAX(F325,I325,K325))</f>
        <v/>
      </c>
      <c r="U325" s="6"/>
      <c r="V325" s="6"/>
      <c r="W325" s="6" t="str">
        <f aca="false">IF(AND($A325="",$B325=""),"",IF(M325="Ambassador","1 - Ambassador",IF(M325="Member","2 - Member",IF(J325="Completed","3 - Presented",IF(H325&lt;&gt;"","4 - Sent",IF(F325&lt;&gt;"","5 - Contacted","6 - No Activity"))))))</f>
        <v/>
      </c>
      <c r="X325" s="6" t="n">
        <f aca="false">IF(AND($A325="",$B325=""),9999999+(ROW()-4),VALUE(LEFT($W325,1))*10000+(ROW()-4))</f>
        <v>10000320</v>
      </c>
    </row>
    <row r="326" customFormat="false" ht="15" hidden="false" customHeight="true" outlineLevel="0" collapsed="false">
      <c r="A326" s="6"/>
      <c r="B326" s="6"/>
      <c r="C326" s="6"/>
      <c r="D326" s="6"/>
      <c r="E326" s="6"/>
      <c r="F326" s="7"/>
      <c r="G326" s="6"/>
      <c r="H326" s="6"/>
      <c r="I326" s="7"/>
      <c r="J326" s="6"/>
      <c r="K326" s="7"/>
      <c r="L326" s="6"/>
      <c r="M326" s="6"/>
      <c r="N326" s="7"/>
      <c r="O326" s="6"/>
      <c r="P326" s="6"/>
      <c r="Q326" s="7"/>
      <c r="R326" s="6" t="str">
        <f aca="false">IF(AND($A326="",$B326=""),"",IF(Q326="Complete","Onboarded",IF(OR(M326="Member",M326="Ambassador"),"Sponsored",IF(K326&lt;&gt;"","Follow-Up",IF(I326&lt;&gt;"","Presented",IF(F326&lt;&gt;"","Contacted","New Lead"))))))</f>
        <v/>
      </c>
      <c r="S326" s="6"/>
      <c r="T326" s="6" t="str">
        <f aca="true">IF(MAX(F326,I326,K326)=0,"",TODAY()-MAX(F326,I326,K326))</f>
        <v/>
      </c>
      <c r="U326" s="6"/>
      <c r="V326" s="6"/>
      <c r="W326" s="6" t="str">
        <f aca="false">IF(AND($A326="",$B326=""),"",IF(M326="Ambassador","1 - Ambassador",IF(M326="Member","2 - Member",IF(J326="Completed","3 - Presented",IF(H326&lt;&gt;"","4 - Sent",IF(F326&lt;&gt;"","5 - Contacted","6 - No Activity"))))))</f>
        <v/>
      </c>
      <c r="X326" s="6" t="n">
        <f aca="false">IF(AND($A326="",$B326=""),9999999+(ROW()-4),VALUE(LEFT($W326,1))*10000+(ROW()-4))</f>
        <v>10000321</v>
      </c>
    </row>
    <row r="327" customFormat="false" ht="15" hidden="false" customHeight="true" outlineLevel="0" collapsed="false">
      <c r="A327" s="6"/>
      <c r="B327" s="6"/>
      <c r="C327" s="6"/>
      <c r="D327" s="6"/>
      <c r="E327" s="6"/>
      <c r="F327" s="7"/>
      <c r="G327" s="6"/>
      <c r="H327" s="6"/>
      <c r="I327" s="7"/>
      <c r="J327" s="6"/>
      <c r="K327" s="7"/>
      <c r="L327" s="6"/>
      <c r="M327" s="6"/>
      <c r="N327" s="7"/>
      <c r="O327" s="6"/>
      <c r="P327" s="6"/>
      <c r="Q327" s="7"/>
      <c r="R327" s="6" t="str">
        <f aca="false">IF(AND($A327="",$B327=""),"",IF(Q327="Complete","Onboarded",IF(OR(M327="Member",M327="Ambassador"),"Sponsored",IF(K327&lt;&gt;"","Follow-Up",IF(I327&lt;&gt;"","Presented",IF(F327&lt;&gt;"","Contacted","New Lead"))))))</f>
        <v/>
      </c>
      <c r="S327" s="6"/>
      <c r="T327" s="6" t="str">
        <f aca="true">IF(MAX(F327,I327,K327)=0,"",TODAY()-MAX(F327,I327,K327))</f>
        <v/>
      </c>
      <c r="U327" s="6"/>
      <c r="V327" s="6"/>
      <c r="W327" s="6" t="str">
        <f aca="false">IF(AND($A327="",$B327=""),"",IF(M327="Ambassador","1 - Ambassador",IF(M327="Member","2 - Member",IF(J327="Completed","3 - Presented",IF(H327&lt;&gt;"","4 - Sent",IF(F327&lt;&gt;"","5 - Contacted","6 - No Activity"))))))</f>
        <v/>
      </c>
      <c r="X327" s="6" t="n">
        <f aca="false">IF(AND($A327="",$B327=""),9999999+(ROW()-4),VALUE(LEFT($W327,1))*10000+(ROW()-4))</f>
        <v>10000322</v>
      </c>
    </row>
    <row r="328" customFormat="false" ht="15" hidden="false" customHeight="true" outlineLevel="0" collapsed="false">
      <c r="A328" s="6"/>
      <c r="B328" s="6"/>
      <c r="C328" s="6"/>
      <c r="D328" s="6"/>
      <c r="E328" s="6"/>
      <c r="F328" s="7"/>
      <c r="G328" s="6"/>
      <c r="H328" s="6"/>
      <c r="I328" s="7"/>
      <c r="J328" s="6"/>
      <c r="K328" s="7"/>
      <c r="L328" s="6"/>
      <c r="M328" s="6"/>
      <c r="N328" s="7"/>
      <c r="O328" s="6"/>
      <c r="P328" s="6"/>
      <c r="Q328" s="7"/>
      <c r="R328" s="6" t="str">
        <f aca="false">IF(AND($A328="",$B328=""),"",IF(Q328="Complete","Onboarded",IF(OR(M328="Member",M328="Ambassador"),"Sponsored",IF(K328&lt;&gt;"","Follow-Up",IF(I328&lt;&gt;"","Presented",IF(F328&lt;&gt;"","Contacted","New Lead"))))))</f>
        <v/>
      </c>
      <c r="S328" s="6"/>
      <c r="T328" s="6" t="str">
        <f aca="true">IF(MAX(F328,I328,K328)=0,"",TODAY()-MAX(F328,I328,K328))</f>
        <v/>
      </c>
      <c r="U328" s="6"/>
      <c r="V328" s="6"/>
      <c r="W328" s="6" t="str">
        <f aca="false">IF(AND($A328="",$B328=""),"",IF(M328="Ambassador","1 - Ambassador",IF(M328="Member","2 - Member",IF(J328="Completed","3 - Presented",IF(H328&lt;&gt;"","4 - Sent",IF(F328&lt;&gt;"","5 - Contacted","6 - No Activity"))))))</f>
        <v/>
      </c>
      <c r="X328" s="6" t="n">
        <f aca="false">IF(AND($A328="",$B328=""),9999999+(ROW()-4),VALUE(LEFT($W328,1))*10000+(ROW()-4))</f>
        <v>10000323</v>
      </c>
    </row>
    <row r="329" customFormat="false" ht="15" hidden="false" customHeight="true" outlineLevel="0" collapsed="false">
      <c r="A329" s="6"/>
      <c r="B329" s="6"/>
      <c r="C329" s="6"/>
      <c r="D329" s="6"/>
      <c r="E329" s="6"/>
      <c r="F329" s="7"/>
      <c r="G329" s="6"/>
      <c r="H329" s="6"/>
      <c r="I329" s="7"/>
      <c r="J329" s="6"/>
      <c r="K329" s="7"/>
      <c r="L329" s="6"/>
      <c r="M329" s="6"/>
      <c r="N329" s="7"/>
      <c r="O329" s="6"/>
      <c r="P329" s="6"/>
      <c r="Q329" s="7"/>
      <c r="R329" s="6" t="str">
        <f aca="false">IF(AND($A329="",$B329=""),"",IF(Q329="Complete","Onboarded",IF(OR(M329="Member",M329="Ambassador"),"Sponsored",IF(K329&lt;&gt;"","Follow-Up",IF(I329&lt;&gt;"","Presented",IF(F329&lt;&gt;"","Contacted","New Lead"))))))</f>
        <v/>
      </c>
      <c r="S329" s="6"/>
      <c r="T329" s="6" t="str">
        <f aca="true">IF(MAX(F329,I329,K329)=0,"",TODAY()-MAX(F329,I329,K329))</f>
        <v/>
      </c>
      <c r="U329" s="6"/>
      <c r="V329" s="6"/>
      <c r="W329" s="6" t="str">
        <f aca="false">IF(AND($A329="",$B329=""),"",IF(M329="Ambassador","1 - Ambassador",IF(M329="Member","2 - Member",IF(J329="Completed","3 - Presented",IF(H329&lt;&gt;"","4 - Sent",IF(F329&lt;&gt;"","5 - Contacted","6 - No Activity"))))))</f>
        <v/>
      </c>
      <c r="X329" s="6" t="n">
        <f aca="false">IF(AND($A329="",$B329=""),9999999+(ROW()-4),VALUE(LEFT($W329,1))*10000+(ROW()-4))</f>
        <v>10000324</v>
      </c>
    </row>
    <row r="330" customFormat="false" ht="15" hidden="false" customHeight="true" outlineLevel="0" collapsed="false">
      <c r="A330" s="6"/>
      <c r="B330" s="6"/>
      <c r="C330" s="6"/>
      <c r="D330" s="6"/>
      <c r="E330" s="6"/>
      <c r="F330" s="7"/>
      <c r="G330" s="6"/>
      <c r="H330" s="6"/>
      <c r="I330" s="7"/>
      <c r="J330" s="6"/>
      <c r="K330" s="7"/>
      <c r="L330" s="6"/>
      <c r="M330" s="6"/>
      <c r="N330" s="7"/>
      <c r="O330" s="6"/>
      <c r="P330" s="6"/>
      <c r="Q330" s="7"/>
      <c r="R330" s="6" t="str">
        <f aca="false">IF(AND($A330="",$B330=""),"",IF(Q330="Complete","Onboarded",IF(OR(M330="Member",M330="Ambassador"),"Sponsored",IF(K330&lt;&gt;"","Follow-Up",IF(I330&lt;&gt;"","Presented",IF(F330&lt;&gt;"","Contacted","New Lead"))))))</f>
        <v/>
      </c>
      <c r="S330" s="6"/>
      <c r="T330" s="6" t="str">
        <f aca="true">IF(MAX(F330,I330,K330)=0,"",TODAY()-MAX(F330,I330,K330))</f>
        <v/>
      </c>
      <c r="U330" s="6"/>
      <c r="V330" s="6"/>
      <c r="W330" s="6" t="str">
        <f aca="false">IF(AND($A330="",$B330=""),"",IF(M330="Ambassador","1 - Ambassador",IF(M330="Member","2 - Member",IF(J330="Completed","3 - Presented",IF(H330&lt;&gt;"","4 - Sent",IF(F330&lt;&gt;"","5 - Contacted","6 - No Activity"))))))</f>
        <v/>
      </c>
      <c r="X330" s="6" t="n">
        <f aca="false">IF(AND($A330="",$B330=""),9999999+(ROW()-4),VALUE(LEFT($W330,1))*10000+(ROW()-4))</f>
        <v>10000325</v>
      </c>
    </row>
    <row r="331" customFormat="false" ht="15" hidden="false" customHeight="true" outlineLevel="0" collapsed="false">
      <c r="A331" s="6"/>
      <c r="B331" s="6"/>
      <c r="C331" s="6"/>
      <c r="D331" s="6"/>
      <c r="E331" s="6"/>
      <c r="F331" s="7"/>
      <c r="G331" s="6"/>
      <c r="H331" s="6"/>
      <c r="I331" s="7"/>
      <c r="J331" s="6"/>
      <c r="K331" s="7"/>
      <c r="L331" s="6"/>
      <c r="M331" s="6"/>
      <c r="N331" s="7"/>
      <c r="O331" s="6"/>
      <c r="P331" s="6"/>
      <c r="Q331" s="7"/>
      <c r="R331" s="6" t="str">
        <f aca="false">IF(AND($A331="",$B331=""),"",IF(Q331="Complete","Onboarded",IF(OR(M331="Member",M331="Ambassador"),"Sponsored",IF(K331&lt;&gt;"","Follow-Up",IF(I331&lt;&gt;"","Presented",IF(F331&lt;&gt;"","Contacted","New Lead"))))))</f>
        <v/>
      </c>
      <c r="S331" s="6"/>
      <c r="T331" s="6" t="str">
        <f aca="true">IF(MAX(F331,I331,K331)=0,"",TODAY()-MAX(F331,I331,K331))</f>
        <v/>
      </c>
      <c r="U331" s="6"/>
      <c r="V331" s="6"/>
      <c r="W331" s="6" t="str">
        <f aca="false">IF(AND($A331="",$B331=""),"",IF(M331="Ambassador","1 - Ambassador",IF(M331="Member","2 - Member",IF(J331="Completed","3 - Presented",IF(H331&lt;&gt;"","4 - Sent",IF(F331&lt;&gt;"","5 - Contacted","6 - No Activity"))))))</f>
        <v/>
      </c>
      <c r="X331" s="6" t="n">
        <f aca="false">IF(AND($A331="",$B331=""),9999999+(ROW()-4),VALUE(LEFT($W331,1))*10000+(ROW()-4))</f>
        <v>10000326</v>
      </c>
    </row>
    <row r="332" customFormat="false" ht="15" hidden="false" customHeight="true" outlineLevel="0" collapsed="false">
      <c r="A332" s="6"/>
      <c r="B332" s="6"/>
      <c r="C332" s="6"/>
      <c r="D332" s="6"/>
      <c r="E332" s="6"/>
      <c r="F332" s="7"/>
      <c r="G332" s="6"/>
      <c r="H332" s="6"/>
      <c r="I332" s="7"/>
      <c r="J332" s="6"/>
      <c r="K332" s="7"/>
      <c r="L332" s="6"/>
      <c r="M332" s="6"/>
      <c r="N332" s="7"/>
      <c r="O332" s="6"/>
      <c r="P332" s="6"/>
      <c r="Q332" s="7"/>
      <c r="R332" s="6" t="str">
        <f aca="false">IF(AND($A332="",$B332=""),"",IF(Q332="Complete","Onboarded",IF(OR(M332="Member",M332="Ambassador"),"Sponsored",IF(K332&lt;&gt;"","Follow-Up",IF(I332&lt;&gt;"","Presented",IF(F332&lt;&gt;"","Contacted","New Lead"))))))</f>
        <v/>
      </c>
      <c r="S332" s="6"/>
      <c r="T332" s="6" t="str">
        <f aca="true">IF(MAX(F332,I332,K332)=0,"",TODAY()-MAX(F332,I332,K332))</f>
        <v/>
      </c>
      <c r="U332" s="6"/>
      <c r="V332" s="6"/>
      <c r="W332" s="6" t="str">
        <f aca="false">IF(AND($A332="",$B332=""),"",IF(M332="Ambassador","1 - Ambassador",IF(M332="Member","2 - Member",IF(J332="Completed","3 - Presented",IF(H332&lt;&gt;"","4 - Sent",IF(F332&lt;&gt;"","5 - Contacted","6 - No Activity"))))))</f>
        <v/>
      </c>
      <c r="X332" s="6" t="n">
        <f aca="false">IF(AND($A332="",$B332=""),9999999+(ROW()-4),VALUE(LEFT($W332,1))*10000+(ROW()-4))</f>
        <v>10000327</v>
      </c>
    </row>
    <row r="333" customFormat="false" ht="15" hidden="false" customHeight="true" outlineLevel="0" collapsed="false">
      <c r="A333" s="6"/>
      <c r="B333" s="6"/>
      <c r="C333" s="6"/>
      <c r="D333" s="6"/>
      <c r="E333" s="6"/>
      <c r="F333" s="7"/>
      <c r="G333" s="6"/>
      <c r="H333" s="6"/>
      <c r="I333" s="7"/>
      <c r="J333" s="6"/>
      <c r="K333" s="7"/>
      <c r="L333" s="6"/>
      <c r="M333" s="6"/>
      <c r="N333" s="7"/>
      <c r="O333" s="6"/>
      <c r="P333" s="6"/>
      <c r="Q333" s="7"/>
      <c r="R333" s="6" t="str">
        <f aca="false">IF(AND($A333="",$B333=""),"",IF(Q333="Complete","Onboarded",IF(OR(M333="Member",M333="Ambassador"),"Sponsored",IF(K333&lt;&gt;"","Follow-Up",IF(I333&lt;&gt;"","Presented",IF(F333&lt;&gt;"","Contacted","New Lead"))))))</f>
        <v/>
      </c>
      <c r="S333" s="6"/>
      <c r="T333" s="6" t="str">
        <f aca="true">IF(MAX(F333,I333,K333)=0,"",TODAY()-MAX(F333,I333,K333))</f>
        <v/>
      </c>
      <c r="U333" s="6"/>
      <c r="V333" s="6"/>
      <c r="W333" s="6" t="str">
        <f aca="false">IF(AND($A333="",$B333=""),"",IF(M333="Ambassador","1 - Ambassador",IF(M333="Member","2 - Member",IF(J333="Completed","3 - Presented",IF(H333&lt;&gt;"","4 - Sent",IF(F333&lt;&gt;"","5 - Contacted","6 - No Activity"))))))</f>
        <v/>
      </c>
      <c r="X333" s="6" t="n">
        <f aca="false">IF(AND($A333="",$B333=""),9999999+(ROW()-4),VALUE(LEFT($W333,1))*10000+(ROW()-4))</f>
        <v>10000328</v>
      </c>
    </row>
    <row r="334" customFormat="false" ht="15" hidden="false" customHeight="true" outlineLevel="0" collapsed="false">
      <c r="A334" s="6"/>
      <c r="B334" s="6"/>
      <c r="C334" s="6"/>
      <c r="D334" s="6"/>
      <c r="E334" s="6"/>
      <c r="F334" s="7"/>
      <c r="G334" s="6"/>
      <c r="H334" s="6"/>
      <c r="I334" s="7"/>
      <c r="J334" s="6"/>
      <c r="K334" s="7"/>
      <c r="L334" s="6"/>
      <c r="M334" s="6"/>
      <c r="N334" s="7"/>
      <c r="O334" s="6"/>
      <c r="P334" s="6"/>
      <c r="Q334" s="7"/>
      <c r="R334" s="6" t="str">
        <f aca="false">IF(AND($A334="",$B334=""),"",IF(Q334="Complete","Onboarded",IF(OR(M334="Member",M334="Ambassador"),"Sponsored",IF(K334&lt;&gt;"","Follow-Up",IF(I334&lt;&gt;"","Presented",IF(F334&lt;&gt;"","Contacted","New Lead"))))))</f>
        <v/>
      </c>
      <c r="S334" s="6"/>
      <c r="T334" s="6" t="str">
        <f aca="true">IF(MAX(F334,I334,K334)=0,"",TODAY()-MAX(F334,I334,K334))</f>
        <v/>
      </c>
      <c r="U334" s="6"/>
      <c r="V334" s="6"/>
      <c r="W334" s="6" t="str">
        <f aca="false">IF(AND($A334="",$B334=""),"",IF(M334="Ambassador","1 - Ambassador",IF(M334="Member","2 - Member",IF(J334="Completed","3 - Presented",IF(H334&lt;&gt;"","4 - Sent",IF(F334&lt;&gt;"","5 - Contacted","6 - No Activity"))))))</f>
        <v/>
      </c>
      <c r="X334" s="6" t="n">
        <f aca="false">IF(AND($A334="",$B334=""),9999999+(ROW()-4),VALUE(LEFT($W334,1))*10000+(ROW()-4))</f>
        <v>10000329</v>
      </c>
    </row>
    <row r="335" customFormat="false" ht="15" hidden="false" customHeight="true" outlineLevel="0" collapsed="false">
      <c r="A335" s="6"/>
      <c r="B335" s="6"/>
      <c r="C335" s="6"/>
      <c r="D335" s="6"/>
      <c r="E335" s="6"/>
      <c r="F335" s="7"/>
      <c r="G335" s="6"/>
      <c r="H335" s="6"/>
      <c r="I335" s="7"/>
      <c r="J335" s="6"/>
      <c r="K335" s="7"/>
      <c r="L335" s="6"/>
      <c r="M335" s="6"/>
      <c r="N335" s="7"/>
      <c r="O335" s="6"/>
      <c r="P335" s="6"/>
      <c r="Q335" s="7"/>
      <c r="R335" s="6" t="str">
        <f aca="false">IF(AND($A335="",$B335=""),"",IF(Q335="Complete","Onboarded",IF(OR(M335="Member",M335="Ambassador"),"Sponsored",IF(K335&lt;&gt;"","Follow-Up",IF(I335&lt;&gt;"","Presented",IF(F335&lt;&gt;"","Contacted","New Lead"))))))</f>
        <v/>
      </c>
      <c r="S335" s="6"/>
      <c r="T335" s="6" t="str">
        <f aca="true">IF(MAX(F335,I335,K335)=0,"",TODAY()-MAX(F335,I335,K335))</f>
        <v/>
      </c>
      <c r="U335" s="6"/>
      <c r="V335" s="6"/>
      <c r="W335" s="6" t="str">
        <f aca="false">IF(AND($A335="",$B335=""),"",IF(M335="Ambassador","1 - Ambassador",IF(M335="Member","2 - Member",IF(J335="Completed","3 - Presented",IF(H335&lt;&gt;"","4 - Sent",IF(F335&lt;&gt;"","5 - Contacted","6 - No Activity"))))))</f>
        <v/>
      </c>
      <c r="X335" s="6" t="n">
        <f aca="false">IF(AND($A335="",$B335=""),9999999+(ROW()-4),VALUE(LEFT($W335,1))*10000+(ROW()-4))</f>
        <v>10000330</v>
      </c>
    </row>
    <row r="336" customFormat="false" ht="15" hidden="false" customHeight="true" outlineLevel="0" collapsed="false">
      <c r="A336" s="6"/>
      <c r="B336" s="6"/>
      <c r="C336" s="6"/>
      <c r="D336" s="6"/>
      <c r="E336" s="6"/>
      <c r="F336" s="7"/>
      <c r="G336" s="6"/>
      <c r="H336" s="6"/>
      <c r="I336" s="7"/>
      <c r="J336" s="6"/>
      <c r="K336" s="7"/>
      <c r="L336" s="6"/>
      <c r="M336" s="6"/>
      <c r="N336" s="7"/>
      <c r="O336" s="6"/>
      <c r="P336" s="6"/>
      <c r="Q336" s="7"/>
      <c r="R336" s="6" t="str">
        <f aca="false">IF(AND($A336="",$B336=""),"",IF(Q336="Complete","Onboarded",IF(OR(M336="Member",M336="Ambassador"),"Sponsored",IF(K336&lt;&gt;"","Follow-Up",IF(I336&lt;&gt;"","Presented",IF(F336&lt;&gt;"","Contacted","New Lead"))))))</f>
        <v/>
      </c>
      <c r="S336" s="6"/>
      <c r="T336" s="6" t="str">
        <f aca="true">IF(MAX(F336,I336,K336)=0,"",TODAY()-MAX(F336,I336,K336))</f>
        <v/>
      </c>
      <c r="U336" s="6"/>
      <c r="V336" s="6"/>
      <c r="W336" s="6" t="str">
        <f aca="false">IF(AND($A336="",$B336=""),"",IF(M336="Ambassador","1 - Ambassador",IF(M336="Member","2 - Member",IF(J336="Completed","3 - Presented",IF(H336&lt;&gt;"","4 - Sent",IF(F336&lt;&gt;"","5 - Contacted","6 - No Activity"))))))</f>
        <v/>
      </c>
      <c r="X336" s="6" t="n">
        <f aca="false">IF(AND($A336="",$B336=""),9999999+(ROW()-4),VALUE(LEFT($W336,1))*10000+(ROW()-4))</f>
        <v>10000331</v>
      </c>
    </row>
    <row r="337" customFormat="false" ht="15" hidden="false" customHeight="true" outlineLevel="0" collapsed="false">
      <c r="A337" s="6"/>
      <c r="B337" s="6"/>
      <c r="C337" s="6"/>
      <c r="D337" s="6"/>
      <c r="E337" s="6"/>
      <c r="F337" s="7"/>
      <c r="G337" s="6"/>
      <c r="H337" s="6"/>
      <c r="I337" s="7"/>
      <c r="J337" s="6"/>
      <c r="K337" s="7"/>
      <c r="L337" s="6"/>
      <c r="M337" s="6"/>
      <c r="N337" s="7"/>
      <c r="O337" s="6"/>
      <c r="P337" s="6"/>
      <c r="Q337" s="7"/>
      <c r="R337" s="6" t="str">
        <f aca="false">IF(AND($A337="",$B337=""),"",IF(Q337="Complete","Onboarded",IF(OR(M337="Member",M337="Ambassador"),"Sponsored",IF(K337&lt;&gt;"","Follow-Up",IF(I337&lt;&gt;"","Presented",IF(F337&lt;&gt;"","Contacted","New Lead"))))))</f>
        <v/>
      </c>
      <c r="S337" s="6"/>
      <c r="T337" s="6" t="str">
        <f aca="true">IF(MAX(F337,I337,K337)=0,"",TODAY()-MAX(F337,I337,K337))</f>
        <v/>
      </c>
      <c r="U337" s="6"/>
      <c r="V337" s="6"/>
      <c r="W337" s="6" t="str">
        <f aca="false">IF(AND($A337="",$B337=""),"",IF(M337="Ambassador","1 - Ambassador",IF(M337="Member","2 - Member",IF(J337="Completed","3 - Presented",IF(H337&lt;&gt;"","4 - Sent",IF(F337&lt;&gt;"","5 - Contacted","6 - No Activity"))))))</f>
        <v/>
      </c>
      <c r="X337" s="6" t="n">
        <f aca="false">IF(AND($A337="",$B337=""),9999999+(ROW()-4),VALUE(LEFT($W337,1))*10000+(ROW()-4))</f>
        <v>10000332</v>
      </c>
    </row>
    <row r="338" customFormat="false" ht="15" hidden="false" customHeight="true" outlineLevel="0" collapsed="false">
      <c r="A338" s="6"/>
      <c r="B338" s="6"/>
      <c r="C338" s="6"/>
      <c r="D338" s="6"/>
      <c r="E338" s="6"/>
      <c r="F338" s="7"/>
      <c r="G338" s="6"/>
      <c r="H338" s="6"/>
      <c r="I338" s="7"/>
      <c r="J338" s="6"/>
      <c r="K338" s="7"/>
      <c r="L338" s="6"/>
      <c r="M338" s="6"/>
      <c r="N338" s="7"/>
      <c r="O338" s="6"/>
      <c r="P338" s="6"/>
      <c r="Q338" s="7"/>
      <c r="R338" s="6" t="str">
        <f aca="false">IF(AND($A338="",$B338=""),"",IF(Q338="Complete","Onboarded",IF(OR(M338="Member",M338="Ambassador"),"Sponsored",IF(K338&lt;&gt;"","Follow-Up",IF(I338&lt;&gt;"","Presented",IF(F338&lt;&gt;"","Contacted","New Lead"))))))</f>
        <v/>
      </c>
      <c r="S338" s="6"/>
      <c r="T338" s="6" t="str">
        <f aca="true">IF(MAX(F338,I338,K338)=0,"",TODAY()-MAX(F338,I338,K338))</f>
        <v/>
      </c>
      <c r="U338" s="6"/>
      <c r="V338" s="6"/>
      <c r="W338" s="6" t="str">
        <f aca="false">IF(AND($A338="",$B338=""),"",IF(M338="Ambassador","1 - Ambassador",IF(M338="Member","2 - Member",IF(J338="Completed","3 - Presented",IF(H338&lt;&gt;"","4 - Sent",IF(F338&lt;&gt;"","5 - Contacted","6 - No Activity"))))))</f>
        <v/>
      </c>
      <c r="X338" s="6" t="n">
        <f aca="false">IF(AND($A338="",$B338=""),9999999+(ROW()-4),VALUE(LEFT($W338,1))*10000+(ROW()-4))</f>
        <v>10000333</v>
      </c>
    </row>
    <row r="339" customFormat="false" ht="15" hidden="false" customHeight="true" outlineLevel="0" collapsed="false">
      <c r="A339" s="6"/>
      <c r="B339" s="6"/>
      <c r="C339" s="6"/>
      <c r="D339" s="6"/>
      <c r="E339" s="6"/>
      <c r="F339" s="7"/>
      <c r="G339" s="6"/>
      <c r="H339" s="6"/>
      <c r="I339" s="7"/>
      <c r="J339" s="6"/>
      <c r="K339" s="7"/>
      <c r="L339" s="6"/>
      <c r="M339" s="6"/>
      <c r="N339" s="7"/>
      <c r="O339" s="6"/>
      <c r="P339" s="6"/>
      <c r="Q339" s="7"/>
      <c r="R339" s="6" t="str">
        <f aca="false">IF(AND($A339="",$B339=""),"",IF(Q339="Complete","Onboarded",IF(OR(M339="Member",M339="Ambassador"),"Sponsored",IF(K339&lt;&gt;"","Follow-Up",IF(I339&lt;&gt;"","Presented",IF(F339&lt;&gt;"","Contacted","New Lead"))))))</f>
        <v/>
      </c>
      <c r="S339" s="6"/>
      <c r="T339" s="6" t="str">
        <f aca="true">IF(MAX(F339,I339,K339)=0,"",TODAY()-MAX(F339,I339,K339))</f>
        <v/>
      </c>
      <c r="U339" s="6"/>
      <c r="V339" s="6"/>
      <c r="W339" s="6" t="str">
        <f aca="false">IF(AND($A339="",$B339=""),"",IF(M339="Ambassador","1 - Ambassador",IF(M339="Member","2 - Member",IF(J339="Completed","3 - Presented",IF(H339&lt;&gt;"","4 - Sent",IF(F339&lt;&gt;"","5 - Contacted","6 - No Activity"))))))</f>
        <v/>
      </c>
      <c r="X339" s="6" t="n">
        <f aca="false">IF(AND($A339="",$B339=""),9999999+(ROW()-4),VALUE(LEFT($W339,1))*10000+(ROW()-4))</f>
        <v>10000334</v>
      </c>
    </row>
    <row r="340" customFormat="false" ht="15" hidden="false" customHeight="true" outlineLevel="0" collapsed="false">
      <c r="A340" s="6"/>
      <c r="B340" s="6"/>
      <c r="C340" s="6"/>
      <c r="D340" s="6"/>
      <c r="E340" s="6"/>
      <c r="F340" s="7"/>
      <c r="G340" s="6"/>
      <c r="H340" s="6"/>
      <c r="I340" s="7"/>
      <c r="J340" s="6"/>
      <c r="K340" s="7"/>
      <c r="L340" s="6"/>
      <c r="M340" s="6"/>
      <c r="N340" s="7"/>
      <c r="O340" s="6"/>
      <c r="P340" s="6"/>
      <c r="Q340" s="7"/>
      <c r="R340" s="6" t="str">
        <f aca="false">IF(AND($A340="",$B340=""),"",IF(Q340="Complete","Onboarded",IF(OR(M340="Member",M340="Ambassador"),"Sponsored",IF(K340&lt;&gt;"","Follow-Up",IF(I340&lt;&gt;"","Presented",IF(F340&lt;&gt;"","Contacted","New Lead"))))))</f>
        <v/>
      </c>
      <c r="S340" s="6"/>
      <c r="T340" s="6" t="str">
        <f aca="true">IF(MAX(F340,I340,K340)=0,"",TODAY()-MAX(F340,I340,K340))</f>
        <v/>
      </c>
      <c r="U340" s="6"/>
      <c r="V340" s="6"/>
      <c r="W340" s="6" t="str">
        <f aca="false">IF(AND($A340="",$B340=""),"",IF(M340="Ambassador","1 - Ambassador",IF(M340="Member","2 - Member",IF(J340="Completed","3 - Presented",IF(H340&lt;&gt;"","4 - Sent",IF(F340&lt;&gt;"","5 - Contacted","6 - No Activity"))))))</f>
        <v/>
      </c>
      <c r="X340" s="6" t="n">
        <f aca="false">IF(AND($A340="",$B340=""),9999999+(ROW()-4),VALUE(LEFT($W340,1))*10000+(ROW()-4))</f>
        <v>10000335</v>
      </c>
    </row>
    <row r="341" customFormat="false" ht="15" hidden="false" customHeight="true" outlineLevel="0" collapsed="false">
      <c r="A341" s="6"/>
      <c r="B341" s="6"/>
      <c r="C341" s="6"/>
      <c r="D341" s="6"/>
      <c r="E341" s="6"/>
      <c r="F341" s="7"/>
      <c r="G341" s="6"/>
      <c r="H341" s="6"/>
      <c r="I341" s="7"/>
      <c r="J341" s="6"/>
      <c r="K341" s="7"/>
      <c r="L341" s="6"/>
      <c r="M341" s="6"/>
      <c r="N341" s="7"/>
      <c r="O341" s="6"/>
      <c r="P341" s="6"/>
      <c r="Q341" s="7"/>
      <c r="R341" s="6" t="str">
        <f aca="false">IF(AND($A341="",$B341=""),"",IF(Q341="Complete","Onboarded",IF(OR(M341="Member",M341="Ambassador"),"Sponsored",IF(K341&lt;&gt;"","Follow-Up",IF(I341&lt;&gt;"","Presented",IF(F341&lt;&gt;"","Contacted","New Lead"))))))</f>
        <v/>
      </c>
      <c r="S341" s="6"/>
      <c r="T341" s="6" t="str">
        <f aca="true">IF(MAX(F341,I341,K341)=0,"",TODAY()-MAX(F341,I341,K341))</f>
        <v/>
      </c>
      <c r="U341" s="6"/>
      <c r="V341" s="6"/>
      <c r="W341" s="6" t="str">
        <f aca="false">IF(AND($A341="",$B341=""),"",IF(M341="Ambassador","1 - Ambassador",IF(M341="Member","2 - Member",IF(J341="Completed","3 - Presented",IF(H341&lt;&gt;"","4 - Sent",IF(F341&lt;&gt;"","5 - Contacted","6 - No Activity"))))))</f>
        <v/>
      </c>
      <c r="X341" s="6" t="n">
        <f aca="false">IF(AND($A341="",$B341=""),9999999+(ROW()-4),VALUE(LEFT($W341,1))*10000+(ROW()-4))</f>
        <v>10000336</v>
      </c>
    </row>
    <row r="342" customFormat="false" ht="15" hidden="false" customHeight="true" outlineLevel="0" collapsed="false">
      <c r="A342" s="6"/>
      <c r="B342" s="6"/>
      <c r="C342" s="6"/>
      <c r="D342" s="6"/>
      <c r="E342" s="6"/>
      <c r="F342" s="7"/>
      <c r="G342" s="6"/>
      <c r="H342" s="6"/>
      <c r="I342" s="7"/>
      <c r="J342" s="6"/>
      <c r="K342" s="7"/>
      <c r="L342" s="6"/>
      <c r="M342" s="6"/>
      <c r="N342" s="7"/>
      <c r="O342" s="6"/>
      <c r="P342" s="6"/>
      <c r="Q342" s="7"/>
      <c r="R342" s="6" t="str">
        <f aca="false">IF(AND($A342="",$B342=""),"",IF(Q342="Complete","Onboarded",IF(OR(M342="Member",M342="Ambassador"),"Sponsored",IF(K342&lt;&gt;"","Follow-Up",IF(I342&lt;&gt;"","Presented",IF(F342&lt;&gt;"","Contacted","New Lead"))))))</f>
        <v/>
      </c>
      <c r="S342" s="6"/>
      <c r="T342" s="6" t="str">
        <f aca="true">IF(MAX(F342,I342,K342)=0,"",TODAY()-MAX(F342,I342,K342))</f>
        <v/>
      </c>
      <c r="U342" s="6"/>
      <c r="V342" s="6"/>
      <c r="W342" s="6" t="str">
        <f aca="false">IF(AND($A342="",$B342=""),"",IF(M342="Ambassador","1 - Ambassador",IF(M342="Member","2 - Member",IF(J342="Completed","3 - Presented",IF(H342&lt;&gt;"","4 - Sent",IF(F342&lt;&gt;"","5 - Contacted","6 - No Activity"))))))</f>
        <v/>
      </c>
      <c r="X342" s="6" t="n">
        <f aca="false">IF(AND($A342="",$B342=""),9999999+(ROW()-4),VALUE(LEFT($W342,1))*10000+(ROW()-4))</f>
        <v>10000337</v>
      </c>
    </row>
    <row r="343" customFormat="false" ht="15" hidden="false" customHeight="true" outlineLevel="0" collapsed="false">
      <c r="A343" s="6"/>
      <c r="B343" s="6"/>
      <c r="C343" s="6"/>
      <c r="D343" s="6"/>
      <c r="E343" s="6"/>
      <c r="F343" s="7"/>
      <c r="G343" s="6"/>
      <c r="H343" s="6"/>
      <c r="I343" s="7"/>
      <c r="J343" s="6"/>
      <c r="K343" s="7"/>
      <c r="L343" s="6"/>
      <c r="M343" s="6"/>
      <c r="N343" s="7"/>
      <c r="O343" s="6"/>
      <c r="P343" s="6"/>
      <c r="Q343" s="7"/>
      <c r="R343" s="6" t="str">
        <f aca="false">IF(AND($A343="",$B343=""),"",IF(Q343="Complete","Onboarded",IF(OR(M343="Member",M343="Ambassador"),"Sponsored",IF(K343&lt;&gt;"","Follow-Up",IF(I343&lt;&gt;"","Presented",IF(F343&lt;&gt;"","Contacted","New Lead"))))))</f>
        <v/>
      </c>
      <c r="S343" s="6"/>
      <c r="T343" s="6" t="str">
        <f aca="true">IF(MAX(F343,I343,K343)=0,"",TODAY()-MAX(F343,I343,K343))</f>
        <v/>
      </c>
      <c r="U343" s="6"/>
      <c r="V343" s="6"/>
      <c r="W343" s="6" t="str">
        <f aca="false">IF(AND($A343="",$B343=""),"",IF(M343="Ambassador","1 - Ambassador",IF(M343="Member","2 - Member",IF(J343="Completed","3 - Presented",IF(H343&lt;&gt;"","4 - Sent",IF(F343&lt;&gt;"","5 - Contacted","6 - No Activity"))))))</f>
        <v/>
      </c>
      <c r="X343" s="6" t="n">
        <f aca="false">IF(AND($A343="",$B343=""),9999999+(ROW()-4),VALUE(LEFT($W343,1))*10000+(ROW()-4))</f>
        <v>10000338</v>
      </c>
    </row>
    <row r="344" customFormat="false" ht="15" hidden="false" customHeight="true" outlineLevel="0" collapsed="false">
      <c r="A344" s="6"/>
      <c r="B344" s="6"/>
      <c r="C344" s="6"/>
      <c r="D344" s="6"/>
      <c r="E344" s="6"/>
      <c r="F344" s="7"/>
      <c r="G344" s="6"/>
      <c r="H344" s="6"/>
      <c r="I344" s="7"/>
      <c r="J344" s="6"/>
      <c r="K344" s="7"/>
      <c r="L344" s="6"/>
      <c r="M344" s="6"/>
      <c r="N344" s="7"/>
      <c r="O344" s="6"/>
      <c r="P344" s="6"/>
      <c r="Q344" s="7"/>
      <c r="R344" s="6" t="str">
        <f aca="false">IF(AND($A344="",$B344=""),"",IF(Q344="Complete","Onboarded",IF(OR(M344="Member",M344="Ambassador"),"Sponsored",IF(K344&lt;&gt;"","Follow-Up",IF(I344&lt;&gt;"","Presented",IF(F344&lt;&gt;"","Contacted","New Lead"))))))</f>
        <v/>
      </c>
      <c r="S344" s="6"/>
      <c r="T344" s="6" t="str">
        <f aca="true">IF(MAX(F344,I344,K344)=0,"",TODAY()-MAX(F344,I344,K344))</f>
        <v/>
      </c>
      <c r="U344" s="6"/>
      <c r="V344" s="6"/>
      <c r="W344" s="6" t="str">
        <f aca="false">IF(AND($A344="",$B344=""),"",IF(M344="Ambassador","1 - Ambassador",IF(M344="Member","2 - Member",IF(J344="Completed","3 - Presented",IF(H344&lt;&gt;"","4 - Sent",IF(F344&lt;&gt;"","5 - Contacted","6 - No Activity"))))))</f>
        <v/>
      </c>
      <c r="X344" s="6" t="n">
        <f aca="false">IF(AND($A344="",$B344=""),9999999+(ROW()-4),VALUE(LEFT($W344,1))*10000+(ROW()-4))</f>
        <v>10000339</v>
      </c>
    </row>
    <row r="345" customFormat="false" ht="15" hidden="false" customHeight="true" outlineLevel="0" collapsed="false">
      <c r="A345" s="6"/>
      <c r="B345" s="6"/>
      <c r="C345" s="6"/>
      <c r="D345" s="6"/>
      <c r="E345" s="6"/>
      <c r="F345" s="7"/>
      <c r="G345" s="6"/>
      <c r="H345" s="6"/>
      <c r="I345" s="7"/>
      <c r="J345" s="6"/>
      <c r="K345" s="7"/>
      <c r="L345" s="6"/>
      <c r="M345" s="6"/>
      <c r="N345" s="7"/>
      <c r="O345" s="6"/>
      <c r="P345" s="6"/>
      <c r="Q345" s="7"/>
      <c r="R345" s="6" t="str">
        <f aca="false">IF(AND($A345="",$B345=""),"",IF(Q345="Complete","Onboarded",IF(OR(M345="Member",M345="Ambassador"),"Sponsored",IF(K345&lt;&gt;"","Follow-Up",IF(I345&lt;&gt;"","Presented",IF(F345&lt;&gt;"","Contacted","New Lead"))))))</f>
        <v/>
      </c>
      <c r="S345" s="6"/>
      <c r="T345" s="6" t="str">
        <f aca="true">IF(MAX(F345,I345,K345)=0,"",TODAY()-MAX(F345,I345,K345))</f>
        <v/>
      </c>
      <c r="U345" s="6"/>
      <c r="V345" s="6"/>
      <c r="W345" s="6" t="str">
        <f aca="false">IF(AND($A345="",$B345=""),"",IF(M345="Ambassador","1 - Ambassador",IF(M345="Member","2 - Member",IF(J345="Completed","3 - Presented",IF(H345&lt;&gt;"","4 - Sent",IF(F345&lt;&gt;"","5 - Contacted","6 - No Activity"))))))</f>
        <v/>
      </c>
      <c r="X345" s="6" t="n">
        <f aca="false">IF(AND($A345="",$B345=""),9999999+(ROW()-4),VALUE(LEFT($W345,1))*10000+(ROW()-4))</f>
        <v>10000340</v>
      </c>
    </row>
    <row r="346" customFormat="false" ht="15" hidden="false" customHeight="true" outlineLevel="0" collapsed="false">
      <c r="A346" s="6"/>
      <c r="B346" s="6"/>
      <c r="C346" s="6"/>
      <c r="D346" s="6"/>
      <c r="E346" s="6"/>
      <c r="F346" s="7"/>
      <c r="G346" s="6"/>
      <c r="H346" s="6"/>
      <c r="I346" s="7"/>
      <c r="J346" s="6"/>
      <c r="K346" s="7"/>
      <c r="L346" s="6"/>
      <c r="M346" s="6"/>
      <c r="N346" s="7"/>
      <c r="O346" s="6"/>
      <c r="P346" s="6"/>
      <c r="Q346" s="7"/>
      <c r="R346" s="6" t="str">
        <f aca="false">IF(AND($A346="",$B346=""),"",IF(Q346="Complete","Onboarded",IF(OR(M346="Member",M346="Ambassador"),"Sponsored",IF(K346&lt;&gt;"","Follow-Up",IF(I346&lt;&gt;"","Presented",IF(F346&lt;&gt;"","Contacted","New Lead"))))))</f>
        <v/>
      </c>
      <c r="S346" s="6"/>
      <c r="T346" s="6" t="str">
        <f aca="true">IF(MAX(F346,I346,K346)=0,"",TODAY()-MAX(F346,I346,K346))</f>
        <v/>
      </c>
      <c r="U346" s="6"/>
      <c r="V346" s="6"/>
      <c r="W346" s="6" t="str">
        <f aca="false">IF(AND($A346="",$B346=""),"",IF(M346="Ambassador","1 - Ambassador",IF(M346="Member","2 - Member",IF(J346="Completed","3 - Presented",IF(H346&lt;&gt;"","4 - Sent",IF(F346&lt;&gt;"","5 - Contacted","6 - No Activity"))))))</f>
        <v/>
      </c>
      <c r="X346" s="6" t="n">
        <f aca="false">IF(AND($A346="",$B346=""),9999999+(ROW()-4),VALUE(LEFT($W346,1))*10000+(ROW()-4))</f>
        <v>10000341</v>
      </c>
    </row>
    <row r="347" customFormat="false" ht="15" hidden="false" customHeight="true" outlineLevel="0" collapsed="false">
      <c r="A347" s="6"/>
      <c r="B347" s="6"/>
      <c r="C347" s="6"/>
      <c r="D347" s="6"/>
      <c r="E347" s="6"/>
      <c r="F347" s="7"/>
      <c r="G347" s="6"/>
      <c r="H347" s="6"/>
      <c r="I347" s="7"/>
      <c r="J347" s="6"/>
      <c r="K347" s="7"/>
      <c r="L347" s="6"/>
      <c r="M347" s="6"/>
      <c r="N347" s="7"/>
      <c r="O347" s="6"/>
      <c r="P347" s="6"/>
      <c r="Q347" s="7"/>
      <c r="R347" s="6" t="str">
        <f aca="false">IF(AND($A347="",$B347=""),"",IF(Q347="Complete","Onboarded",IF(OR(M347="Member",M347="Ambassador"),"Sponsored",IF(K347&lt;&gt;"","Follow-Up",IF(I347&lt;&gt;"","Presented",IF(F347&lt;&gt;"","Contacted","New Lead"))))))</f>
        <v/>
      </c>
      <c r="S347" s="6"/>
      <c r="T347" s="6" t="str">
        <f aca="true">IF(MAX(F347,I347,K347)=0,"",TODAY()-MAX(F347,I347,K347))</f>
        <v/>
      </c>
      <c r="U347" s="6"/>
      <c r="V347" s="6"/>
      <c r="W347" s="6" t="str">
        <f aca="false">IF(AND($A347="",$B347=""),"",IF(M347="Ambassador","1 - Ambassador",IF(M347="Member","2 - Member",IF(J347="Completed","3 - Presented",IF(H347&lt;&gt;"","4 - Sent",IF(F347&lt;&gt;"","5 - Contacted","6 - No Activity"))))))</f>
        <v/>
      </c>
      <c r="X347" s="6" t="n">
        <f aca="false">IF(AND($A347="",$B347=""),9999999+(ROW()-4),VALUE(LEFT($W347,1))*10000+(ROW()-4))</f>
        <v>10000342</v>
      </c>
    </row>
    <row r="348" customFormat="false" ht="15" hidden="false" customHeight="true" outlineLevel="0" collapsed="false">
      <c r="A348" s="6"/>
      <c r="B348" s="6"/>
      <c r="C348" s="6"/>
      <c r="D348" s="6"/>
      <c r="E348" s="6"/>
      <c r="F348" s="7"/>
      <c r="G348" s="6"/>
      <c r="H348" s="6"/>
      <c r="I348" s="7"/>
      <c r="J348" s="6"/>
      <c r="K348" s="7"/>
      <c r="L348" s="6"/>
      <c r="M348" s="6"/>
      <c r="N348" s="7"/>
      <c r="O348" s="6"/>
      <c r="P348" s="6"/>
      <c r="Q348" s="7"/>
      <c r="R348" s="6" t="str">
        <f aca="false">IF(AND($A348="",$B348=""),"",IF(Q348="Complete","Onboarded",IF(OR(M348="Member",M348="Ambassador"),"Sponsored",IF(K348&lt;&gt;"","Follow-Up",IF(I348&lt;&gt;"","Presented",IF(F348&lt;&gt;"","Contacted","New Lead"))))))</f>
        <v/>
      </c>
      <c r="S348" s="6"/>
      <c r="T348" s="6" t="str">
        <f aca="true">IF(MAX(F348,I348,K348)=0,"",TODAY()-MAX(F348,I348,K348))</f>
        <v/>
      </c>
      <c r="U348" s="6"/>
      <c r="V348" s="6"/>
      <c r="W348" s="6" t="str">
        <f aca="false">IF(AND($A348="",$B348=""),"",IF(M348="Ambassador","1 - Ambassador",IF(M348="Member","2 - Member",IF(J348="Completed","3 - Presented",IF(H348&lt;&gt;"","4 - Sent",IF(F348&lt;&gt;"","5 - Contacted","6 - No Activity"))))))</f>
        <v/>
      </c>
      <c r="X348" s="6" t="n">
        <f aca="false">IF(AND($A348="",$B348=""),9999999+(ROW()-4),VALUE(LEFT($W348,1))*10000+(ROW()-4))</f>
        <v>10000343</v>
      </c>
    </row>
    <row r="349" customFormat="false" ht="15" hidden="false" customHeight="true" outlineLevel="0" collapsed="false">
      <c r="A349" s="6"/>
      <c r="B349" s="6"/>
      <c r="C349" s="6"/>
      <c r="D349" s="6"/>
      <c r="E349" s="6"/>
      <c r="F349" s="7"/>
      <c r="G349" s="6"/>
      <c r="H349" s="6"/>
      <c r="I349" s="7"/>
      <c r="J349" s="6"/>
      <c r="K349" s="7"/>
      <c r="L349" s="6"/>
      <c r="M349" s="6"/>
      <c r="N349" s="7"/>
      <c r="O349" s="6"/>
      <c r="P349" s="6"/>
      <c r="Q349" s="7"/>
      <c r="R349" s="6" t="str">
        <f aca="false">IF(AND($A349="",$B349=""),"",IF(Q349="Complete","Onboarded",IF(OR(M349="Member",M349="Ambassador"),"Sponsored",IF(K349&lt;&gt;"","Follow-Up",IF(I349&lt;&gt;"","Presented",IF(F349&lt;&gt;"","Contacted","New Lead"))))))</f>
        <v/>
      </c>
      <c r="S349" s="6"/>
      <c r="T349" s="6" t="str">
        <f aca="true">IF(MAX(F349,I349,K349)=0,"",TODAY()-MAX(F349,I349,K349))</f>
        <v/>
      </c>
      <c r="U349" s="6"/>
      <c r="V349" s="6"/>
      <c r="W349" s="6" t="str">
        <f aca="false">IF(AND($A349="",$B349=""),"",IF(M349="Ambassador","1 - Ambassador",IF(M349="Member","2 - Member",IF(J349="Completed","3 - Presented",IF(H349&lt;&gt;"","4 - Sent",IF(F349&lt;&gt;"","5 - Contacted","6 - No Activity"))))))</f>
        <v/>
      </c>
      <c r="X349" s="6" t="n">
        <f aca="false">IF(AND($A349="",$B349=""),9999999+(ROW()-4),VALUE(LEFT($W349,1))*10000+(ROW()-4))</f>
        <v>10000344</v>
      </c>
    </row>
    <row r="350" customFormat="false" ht="15" hidden="false" customHeight="true" outlineLevel="0" collapsed="false">
      <c r="A350" s="6"/>
      <c r="B350" s="6"/>
      <c r="C350" s="6"/>
      <c r="D350" s="6"/>
      <c r="E350" s="6"/>
      <c r="F350" s="7"/>
      <c r="G350" s="6"/>
      <c r="H350" s="6"/>
      <c r="I350" s="7"/>
      <c r="J350" s="6"/>
      <c r="K350" s="7"/>
      <c r="L350" s="6"/>
      <c r="M350" s="6"/>
      <c r="N350" s="7"/>
      <c r="O350" s="6"/>
      <c r="P350" s="6"/>
      <c r="Q350" s="7"/>
      <c r="R350" s="6" t="str">
        <f aca="false">IF(AND($A350="",$B350=""),"",IF(Q350="Complete","Onboarded",IF(OR(M350="Member",M350="Ambassador"),"Sponsored",IF(K350&lt;&gt;"","Follow-Up",IF(I350&lt;&gt;"","Presented",IF(F350&lt;&gt;"","Contacted","New Lead"))))))</f>
        <v/>
      </c>
      <c r="S350" s="6"/>
      <c r="T350" s="6" t="str">
        <f aca="true">IF(MAX(F350,I350,K350)=0,"",TODAY()-MAX(F350,I350,K350))</f>
        <v/>
      </c>
      <c r="U350" s="6"/>
      <c r="V350" s="6"/>
      <c r="W350" s="6" t="str">
        <f aca="false">IF(AND($A350="",$B350=""),"",IF(M350="Ambassador","1 - Ambassador",IF(M350="Member","2 - Member",IF(J350="Completed","3 - Presented",IF(H350&lt;&gt;"","4 - Sent",IF(F350&lt;&gt;"","5 - Contacted","6 - No Activity"))))))</f>
        <v/>
      </c>
      <c r="X350" s="6" t="n">
        <f aca="false">IF(AND($A350="",$B350=""),9999999+(ROW()-4),VALUE(LEFT($W350,1))*10000+(ROW()-4))</f>
        <v>10000345</v>
      </c>
    </row>
    <row r="351" customFormat="false" ht="15" hidden="false" customHeight="true" outlineLevel="0" collapsed="false">
      <c r="A351" s="6"/>
      <c r="B351" s="6"/>
      <c r="C351" s="6"/>
      <c r="D351" s="6"/>
      <c r="E351" s="6"/>
      <c r="F351" s="7"/>
      <c r="G351" s="6"/>
      <c r="H351" s="6"/>
      <c r="I351" s="7"/>
      <c r="J351" s="6"/>
      <c r="K351" s="7"/>
      <c r="L351" s="6"/>
      <c r="M351" s="6"/>
      <c r="N351" s="7"/>
      <c r="O351" s="6"/>
      <c r="P351" s="6"/>
      <c r="Q351" s="7"/>
      <c r="R351" s="6" t="str">
        <f aca="false">IF(AND($A351="",$B351=""),"",IF(Q351="Complete","Onboarded",IF(OR(M351="Member",M351="Ambassador"),"Sponsored",IF(K351&lt;&gt;"","Follow-Up",IF(I351&lt;&gt;"","Presented",IF(F351&lt;&gt;"","Contacted","New Lead"))))))</f>
        <v/>
      </c>
      <c r="S351" s="6"/>
      <c r="T351" s="6" t="str">
        <f aca="true">IF(MAX(F351,I351,K351)=0,"",TODAY()-MAX(F351,I351,K351))</f>
        <v/>
      </c>
      <c r="U351" s="6"/>
      <c r="V351" s="6"/>
      <c r="W351" s="6" t="str">
        <f aca="false">IF(AND($A351="",$B351=""),"",IF(M351="Ambassador","1 - Ambassador",IF(M351="Member","2 - Member",IF(J351="Completed","3 - Presented",IF(H351&lt;&gt;"","4 - Sent",IF(F351&lt;&gt;"","5 - Contacted","6 - No Activity"))))))</f>
        <v/>
      </c>
      <c r="X351" s="6" t="n">
        <f aca="false">IF(AND($A351="",$B351=""),9999999+(ROW()-4),VALUE(LEFT($W351,1))*10000+(ROW()-4))</f>
        <v>10000346</v>
      </c>
    </row>
    <row r="352" customFormat="false" ht="15" hidden="false" customHeight="true" outlineLevel="0" collapsed="false">
      <c r="A352" s="6"/>
      <c r="B352" s="6"/>
      <c r="C352" s="6"/>
      <c r="D352" s="6"/>
      <c r="E352" s="6"/>
      <c r="F352" s="7"/>
      <c r="G352" s="6"/>
      <c r="H352" s="6"/>
      <c r="I352" s="7"/>
      <c r="J352" s="6"/>
      <c r="K352" s="7"/>
      <c r="L352" s="6"/>
      <c r="M352" s="6"/>
      <c r="N352" s="7"/>
      <c r="O352" s="6"/>
      <c r="P352" s="6"/>
      <c r="Q352" s="7"/>
      <c r="R352" s="6" t="str">
        <f aca="false">IF(AND($A352="",$B352=""),"",IF(Q352="Complete","Onboarded",IF(OR(M352="Member",M352="Ambassador"),"Sponsored",IF(K352&lt;&gt;"","Follow-Up",IF(I352&lt;&gt;"","Presented",IF(F352&lt;&gt;"","Contacted","New Lead"))))))</f>
        <v/>
      </c>
      <c r="S352" s="6"/>
      <c r="T352" s="6" t="str">
        <f aca="true">IF(MAX(F352,I352,K352)=0,"",TODAY()-MAX(F352,I352,K352))</f>
        <v/>
      </c>
      <c r="U352" s="6"/>
      <c r="V352" s="6"/>
      <c r="W352" s="6" t="str">
        <f aca="false">IF(AND($A352="",$B352=""),"",IF(M352="Ambassador","1 - Ambassador",IF(M352="Member","2 - Member",IF(J352="Completed","3 - Presented",IF(H352&lt;&gt;"","4 - Sent",IF(F352&lt;&gt;"","5 - Contacted","6 - No Activity"))))))</f>
        <v/>
      </c>
      <c r="X352" s="6" t="n">
        <f aca="false">IF(AND($A352="",$B352=""),9999999+(ROW()-4),VALUE(LEFT($W352,1))*10000+(ROW()-4))</f>
        <v>10000347</v>
      </c>
    </row>
    <row r="353" customFormat="false" ht="15" hidden="false" customHeight="true" outlineLevel="0" collapsed="false">
      <c r="A353" s="6"/>
      <c r="B353" s="6"/>
      <c r="C353" s="6"/>
      <c r="D353" s="6"/>
      <c r="E353" s="6"/>
      <c r="F353" s="7"/>
      <c r="G353" s="6"/>
      <c r="H353" s="6"/>
      <c r="I353" s="7"/>
      <c r="J353" s="6"/>
      <c r="K353" s="7"/>
      <c r="L353" s="6"/>
      <c r="M353" s="6"/>
      <c r="N353" s="7"/>
      <c r="O353" s="6"/>
      <c r="P353" s="6"/>
      <c r="Q353" s="7"/>
      <c r="R353" s="6" t="str">
        <f aca="false">IF(AND($A353="",$B353=""),"",IF(Q353="Complete","Onboarded",IF(OR(M353="Member",M353="Ambassador"),"Sponsored",IF(K353&lt;&gt;"","Follow-Up",IF(I353&lt;&gt;"","Presented",IF(F353&lt;&gt;"","Contacted","New Lead"))))))</f>
        <v/>
      </c>
      <c r="S353" s="6"/>
      <c r="T353" s="6" t="str">
        <f aca="true">IF(MAX(F353,I353,K353)=0,"",TODAY()-MAX(F353,I353,K353))</f>
        <v/>
      </c>
      <c r="U353" s="6"/>
      <c r="V353" s="6"/>
      <c r="W353" s="6" t="str">
        <f aca="false">IF(AND($A353="",$B353=""),"",IF(M353="Ambassador","1 - Ambassador",IF(M353="Member","2 - Member",IF(J353="Completed","3 - Presented",IF(H353&lt;&gt;"","4 - Sent",IF(F353&lt;&gt;"","5 - Contacted","6 - No Activity"))))))</f>
        <v/>
      </c>
      <c r="X353" s="6" t="n">
        <f aca="false">IF(AND($A353="",$B353=""),9999999+(ROW()-4),VALUE(LEFT($W353,1))*10000+(ROW()-4))</f>
        <v>10000348</v>
      </c>
    </row>
    <row r="354" customFormat="false" ht="15" hidden="false" customHeight="true" outlineLevel="0" collapsed="false">
      <c r="A354" s="6"/>
      <c r="B354" s="6"/>
      <c r="C354" s="6"/>
      <c r="D354" s="6"/>
      <c r="E354" s="6"/>
      <c r="F354" s="7"/>
      <c r="G354" s="6"/>
      <c r="H354" s="6"/>
      <c r="I354" s="7"/>
      <c r="J354" s="6"/>
      <c r="K354" s="7"/>
      <c r="L354" s="6"/>
      <c r="M354" s="6"/>
      <c r="N354" s="7"/>
      <c r="O354" s="6"/>
      <c r="P354" s="6"/>
      <c r="Q354" s="7"/>
      <c r="R354" s="6" t="str">
        <f aca="false">IF(AND($A354="",$B354=""),"",IF(Q354="Complete","Onboarded",IF(OR(M354="Member",M354="Ambassador"),"Sponsored",IF(K354&lt;&gt;"","Follow-Up",IF(I354&lt;&gt;"","Presented",IF(F354&lt;&gt;"","Contacted","New Lead"))))))</f>
        <v/>
      </c>
      <c r="S354" s="6"/>
      <c r="T354" s="6" t="str">
        <f aca="true">IF(MAX(F354,I354,K354)=0,"",TODAY()-MAX(F354,I354,K354))</f>
        <v/>
      </c>
      <c r="U354" s="6"/>
      <c r="V354" s="6"/>
      <c r="W354" s="6" t="str">
        <f aca="false">IF(AND($A354="",$B354=""),"",IF(M354="Ambassador","1 - Ambassador",IF(M354="Member","2 - Member",IF(J354="Completed","3 - Presented",IF(H354&lt;&gt;"","4 - Sent",IF(F354&lt;&gt;"","5 - Contacted","6 - No Activity"))))))</f>
        <v/>
      </c>
      <c r="X354" s="6" t="n">
        <f aca="false">IF(AND($A354="",$B354=""),9999999+(ROW()-4),VALUE(LEFT($W354,1))*10000+(ROW()-4))</f>
        <v>10000349</v>
      </c>
    </row>
    <row r="355" customFormat="false" ht="15" hidden="false" customHeight="true" outlineLevel="0" collapsed="false">
      <c r="A355" s="6"/>
      <c r="B355" s="6"/>
      <c r="C355" s="6"/>
      <c r="D355" s="6"/>
      <c r="E355" s="6"/>
      <c r="F355" s="7"/>
      <c r="G355" s="6"/>
      <c r="H355" s="6"/>
      <c r="I355" s="7"/>
      <c r="J355" s="6"/>
      <c r="K355" s="7"/>
      <c r="L355" s="6"/>
      <c r="M355" s="6"/>
      <c r="N355" s="7"/>
      <c r="O355" s="6"/>
      <c r="P355" s="6"/>
      <c r="Q355" s="7"/>
      <c r="R355" s="6" t="str">
        <f aca="false">IF(AND($A355="",$B355=""),"",IF(Q355="Complete","Onboarded",IF(OR(M355="Member",M355="Ambassador"),"Sponsored",IF(K355&lt;&gt;"","Follow-Up",IF(I355&lt;&gt;"","Presented",IF(F355&lt;&gt;"","Contacted","New Lead"))))))</f>
        <v/>
      </c>
      <c r="S355" s="6"/>
      <c r="T355" s="6" t="str">
        <f aca="true">IF(MAX(F355,I355,K355)=0,"",TODAY()-MAX(F355,I355,K355))</f>
        <v/>
      </c>
      <c r="U355" s="6"/>
      <c r="V355" s="6"/>
      <c r="W355" s="6" t="str">
        <f aca="false">IF(AND($A355="",$B355=""),"",IF(M355="Ambassador","1 - Ambassador",IF(M355="Member","2 - Member",IF(J355="Completed","3 - Presented",IF(H355&lt;&gt;"","4 - Sent",IF(F355&lt;&gt;"","5 - Contacted","6 - No Activity"))))))</f>
        <v/>
      </c>
      <c r="X355" s="6" t="n">
        <f aca="false">IF(AND($A355="",$B355=""),9999999+(ROW()-4),VALUE(LEFT($W355,1))*10000+(ROW()-4))</f>
        <v>10000350</v>
      </c>
    </row>
    <row r="356" customFormat="false" ht="15" hidden="false" customHeight="true" outlineLevel="0" collapsed="false">
      <c r="A356" s="6"/>
      <c r="B356" s="6"/>
      <c r="C356" s="6"/>
      <c r="D356" s="6"/>
      <c r="E356" s="6"/>
      <c r="F356" s="7"/>
      <c r="G356" s="6"/>
      <c r="H356" s="6"/>
      <c r="I356" s="7"/>
      <c r="J356" s="6"/>
      <c r="K356" s="7"/>
      <c r="L356" s="6"/>
      <c r="M356" s="6"/>
      <c r="N356" s="7"/>
      <c r="O356" s="6"/>
      <c r="P356" s="6"/>
      <c r="Q356" s="7"/>
      <c r="R356" s="6" t="str">
        <f aca="false">IF(AND($A356="",$B356=""),"",IF(Q356="Complete","Onboarded",IF(OR(M356="Member",M356="Ambassador"),"Sponsored",IF(K356&lt;&gt;"","Follow-Up",IF(I356&lt;&gt;"","Presented",IF(F356&lt;&gt;"","Contacted","New Lead"))))))</f>
        <v/>
      </c>
      <c r="S356" s="6"/>
      <c r="T356" s="6" t="str">
        <f aca="true">IF(MAX(F356,I356,K356)=0,"",TODAY()-MAX(F356,I356,K356))</f>
        <v/>
      </c>
      <c r="U356" s="6"/>
      <c r="V356" s="6"/>
      <c r="W356" s="6" t="str">
        <f aca="false">IF(AND($A356="",$B356=""),"",IF(M356="Ambassador","1 - Ambassador",IF(M356="Member","2 - Member",IF(J356="Completed","3 - Presented",IF(H356&lt;&gt;"","4 - Sent",IF(F356&lt;&gt;"","5 - Contacted","6 - No Activity"))))))</f>
        <v/>
      </c>
      <c r="X356" s="6" t="n">
        <f aca="false">IF(AND($A356="",$B356=""),9999999+(ROW()-4),VALUE(LEFT($W356,1))*10000+(ROW()-4))</f>
        <v>10000351</v>
      </c>
    </row>
    <row r="357" customFormat="false" ht="15" hidden="false" customHeight="true" outlineLevel="0" collapsed="false">
      <c r="A357" s="6"/>
      <c r="B357" s="6"/>
      <c r="C357" s="6"/>
      <c r="D357" s="6"/>
      <c r="E357" s="6"/>
      <c r="F357" s="7"/>
      <c r="G357" s="6"/>
      <c r="H357" s="6"/>
      <c r="I357" s="7"/>
      <c r="J357" s="6"/>
      <c r="K357" s="7"/>
      <c r="L357" s="6"/>
      <c r="M357" s="6"/>
      <c r="N357" s="7"/>
      <c r="O357" s="6"/>
      <c r="P357" s="6"/>
      <c r="Q357" s="7"/>
      <c r="R357" s="6" t="str">
        <f aca="false">IF(AND($A357="",$B357=""),"",IF(Q357="Complete","Onboarded",IF(OR(M357="Member",M357="Ambassador"),"Sponsored",IF(K357&lt;&gt;"","Follow-Up",IF(I357&lt;&gt;"","Presented",IF(F357&lt;&gt;"","Contacted","New Lead"))))))</f>
        <v/>
      </c>
      <c r="S357" s="6"/>
      <c r="T357" s="6" t="str">
        <f aca="true">IF(MAX(F357,I357,K357)=0,"",TODAY()-MAX(F357,I357,K357))</f>
        <v/>
      </c>
      <c r="U357" s="6"/>
      <c r="V357" s="6"/>
      <c r="W357" s="6" t="str">
        <f aca="false">IF(AND($A357="",$B357=""),"",IF(M357="Ambassador","1 - Ambassador",IF(M357="Member","2 - Member",IF(J357="Completed","3 - Presented",IF(H357&lt;&gt;"","4 - Sent",IF(F357&lt;&gt;"","5 - Contacted","6 - No Activity"))))))</f>
        <v/>
      </c>
      <c r="X357" s="6" t="n">
        <f aca="false">IF(AND($A357="",$B357=""),9999999+(ROW()-4),VALUE(LEFT($W357,1))*10000+(ROW()-4))</f>
        <v>10000352</v>
      </c>
    </row>
    <row r="358" customFormat="false" ht="15" hidden="false" customHeight="true" outlineLevel="0" collapsed="false">
      <c r="A358" s="6"/>
      <c r="B358" s="6"/>
      <c r="C358" s="6"/>
      <c r="D358" s="6"/>
      <c r="E358" s="6"/>
      <c r="F358" s="7"/>
      <c r="G358" s="6"/>
      <c r="H358" s="6"/>
      <c r="I358" s="7"/>
      <c r="J358" s="6"/>
      <c r="K358" s="7"/>
      <c r="L358" s="6"/>
      <c r="M358" s="6"/>
      <c r="N358" s="7"/>
      <c r="O358" s="6"/>
      <c r="P358" s="6"/>
      <c r="Q358" s="7"/>
      <c r="R358" s="6" t="str">
        <f aca="false">IF(AND($A358="",$B358=""),"",IF(Q358="Complete","Onboarded",IF(OR(M358="Member",M358="Ambassador"),"Sponsored",IF(K358&lt;&gt;"","Follow-Up",IF(I358&lt;&gt;"","Presented",IF(F358&lt;&gt;"","Contacted","New Lead"))))))</f>
        <v/>
      </c>
      <c r="S358" s="6"/>
      <c r="T358" s="6" t="str">
        <f aca="true">IF(MAX(F358,I358,K358)=0,"",TODAY()-MAX(F358,I358,K358))</f>
        <v/>
      </c>
      <c r="U358" s="6"/>
      <c r="V358" s="6"/>
      <c r="W358" s="6" t="str">
        <f aca="false">IF(AND($A358="",$B358=""),"",IF(M358="Ambassador","1 - Ambassador",IF(M358="Member","2 - Member",IF(J358="Completed","3 - Presented",IF(H358&lt;&gt;"","4 - Sent",IF(F358&lt;&gt;"","5 - Contacted","6 - No Activity"))))))</f>
        <v/>
      </c>
      <c r="X358" s="6" t="n">
        <f aca="false">IF(AND($A358="",$B358=""),9999999+(ROW()-4),VALUE(LEFT($W358,1))*10000+(ROW()-4))</f>
        <v>10000353</v>
      </c>
    </row>
    <row r="359" customFormat="false" ht="15" hidden="false" customHeight="true" outlineLevel="0" collapsed="false">
      <c r="A359" s="6"/>
      <c r="B359" s="6"/>
      <c r="C359" s="6"/>
      <c r="D359" s="6"/>
      <c r="E359" s="6"/>
      <c r="F359" s="7"/>
      <c r="G359" s="6"/>
      <c r="H359" s="6"/>
      <c r="I359" s="7"/>
      <c r="J359" s="6"/>
      <c r="K359" s="7"/>
      <c r="L359" s="6"/>
      <c r="M359" s="6"/>
      <c r="N359" s="7"/>
      <c r="O359" s="6"/>
      <c r="P359" s="6"/>
      <c r="Q359" s="7"/>
      <c r="R359" s="6" t="str">
        <f aca="false">IF(AND($A359="",$B359=""),"",IF(Q359="Complete","Onboarded",IF(OR(M359="Member",M359="Ambassador"),"Sponsored",IF(K359&lt;&gt;"","Follow-Up",IF(I359&lt;&gt;"","Presented",IF(F359&lt;&gt;"","Contacted","New Lead"))))))</f>
        <v/>
      </c>
      <c r="S359" s="6"/>
      <c r="T359" s="6" t="str">
        <f aca="true">IF(MAX(F359,I359,K359)=0,"",TODAY()-MAX(F359,I359,K359))</f>
        <v/>
      </c>
      <c r="U359" s="6"/>
      <c r="V359" s="6"/>
      <c r="W359" s="6" t="str">
        <f aca="false">IF(AND($A359="",$B359=""),"",IF(M359="Ambassador","1 - Ambassador",IF(M359="Member","2 - Member",IF(J359="Completed","3 - Presented",IF(H359&lt;&gt;"","4 - Sent",IF(F359&lt;&gt;"","5 - Contacted","6 - No Activity"))))))</f>
        <v/>
      </c>
      <c r="X359" s="6" t="n">
        <f aca="false">IF(AND($A359="",$B359=""),9999999+(ROW()-4),VALUE(LEFT($W359,1))*10000+(ROW()-4))</f>
        <v>10000354</v>
      </c>
    </row>
    <row r="360" customFormat="false" ht="15" hidden="false" customHeight="true" outlineLevel="0" collapsed="false">
      <c r="A360" s="6"/>
      <c r="B360" s="6"/>
      <c r="C360" s="6"/>
      <c r="D360" s="6"/>
      <c r="E360" s="6"/>
      <c r="F360" s="7"/>
      <c r="G360" s="6"/>
      <c r="H360" s="6"/>
      <c r="I360" s="7"/>
      <c r="J360" s="6"/>
      <c r="K360" s="7"/>
      <c r="L360" s="6"/>
      <c r="M360" s="6"/>
      <c r="N360" s="7"/>
      <c r="O360" s="6"/>
      <c r="P360" s="6"/>
      <c r="Q360" s="7"/>
      <c r="R360" s="6" t="str">
        <f aca="false">IF(AND($A360="",$B360=""),"",IF(Q360="Complete","Onboarded",IF(OR(M360="Member",M360="Ambassador"),"Sponsored",IF(K360&lt;&gt;"","Follow-Up",IF(I360&lt;&gt;"","Presented",IF(F360&lt;&gt;"","Contacted","New Lead"))))))</f>
        <v/>
      </c>
      <c r="S360" s="6"/>
      <c r="T360" s="6" t="str">
        <f aca="true">IF(MAX(F360,I360,K360)=0,"",TODAY()-MAX(F360,I360,K360))</f>
        <v/>
      </c>
      <c r="U360" s="6"/>
      <c r="V360" s="6"/>
      <c r="W360" s="6" t="str">
        <f aca="false">IF(AND($A360="",$B360=""),"",IF(M360="Ambassador","1 - Ambassador",IF(M360="Member","2 - Member",IF(J360="Completed","3 - Presented",IF(H360&lt;&gt;"","4 - Sent",IF(F360&lt;&gt;"","5 - Contacted","6 - No Activity"))))))</f>
        <v/>
      </c>
      <c r="X360" s="6" t="n">
        <f aca="false">IF(AND($A360="",$B360=""),9999999+(ROW()-4),VALUE(LEFT($W360,1))*10000+(ROW()-4))</f>
        <v>10000355</v>
      </c>
    </row>
    <row r="361" customFormat="false" ht="15" hidden="false" customHeight="true" outlineLevel="0" collapsed="false">
      <c r="A361" s="6"/>
      <c r="B361" s="6"/>
      <c r="C361" s="6"/>
      <c r="D361" s="6"/>
      <c r="E361" s="6"/>
      <c r="F361" s="7"/>
      <c r="G361" s="6"/>
      <c r="H361" s="6"/>
      <c r="I361" s="7"/>
      <c r="J361" s="6"/>
      <c r="K361" s="7"/>
      <c r="L361" s="6"/>
      <c r="M361" s="6"/>
      <c r="N361" s="7"/>
      <c r="O361" s="6"/>
      <c r="P361" s="6"/>
      <c r="Q361" s="7"/>
      <c r="R361" s="6" t="str">
        <f aca="false">IF(AND($A361="",$B361=""),"",IF(Q361="Complete","Onboarded",IF(OR(M361="Member",M361="Ambassador"),"Sponsored",IF(K361&lt;&gt;"","Follow-Up",IF(I361&lt;&gt;"","Presented",IF(F361&lt;&gt;"","Contacted","New Lead"))))))</f>
        <v/>
      </c>
      <c r="S361" s="6"/>
      <c r="T361" s="6" t="str">
        <f aca="true">IF(MAX(F361,I361,K361)=0,"",TODAY()-MAX(F361,I361,K361))</f>
        <v/>
      </c>
      <c r="U361" s="6"/>
      <c r="V361" s="6"/>
      <c r="W361" s="6" t="str">
        <f aca="false">IF(AND($A361="",$B361=""),"",IF(M361="Ambassador","1 - Ambassador",IF(M361="Member","2 - Member",IF(J361="Completed","3 - Presented",IF(H361&lt;&gt;"","4 - Sent",IF(F361&lt;&gt;"","5 - Contacted","6 - No Activity"))))))</f>
        <v/>
      </c>
      <c r="X361" s="6" t="n">
        <f aca="false">IF(AND($A361="",$B361=""),9999999+(ROW()-4),VALUE(LEFT($W361,1))*10000+(ROW()-4))</f>
        <v>10000356</v>
      </c>
    </row>
    <row r="362" customFormat="false" ht="15" hidden="false" customHeight="true" outlineLevel="0" collapsed="false">
      <c r="A362" s="6"/>
      <c r="B362" s="6"/>
      <c r="C362" s="6"/>
      <c r="D362" s="6"/>
      <c r="E362" s="6"/>
      <c r="F362" s="7"/>
      <c r="G362" s="6"/>
      <c r="H362" s="6"/>
      <c r="I362" s="7"/>
      <c r="J362" s="6"/>
      <c r="K362" s="7"/>
      <c r="L362" s="6"/>
      <c r="M362" s="6"/>
      <c r="N362" s="7"/>
      <c r="O362" s="6"/>
      <c r="P362" s="6"/>
      <c r="Q362" s="7"/>
      <c r="R362" s="6" t="str">
        <f aca="false">IF(AND($A362="",$B362=""),"",IF(Q362="Complete","Onboarded",IF(OR(M362="Member",M362="Ambassador"),"Sponsored",IF(K362&lt;&gt;"","Follow-Up",IF(I362&lt;&gt;"","Presented",IF(F362&lt;&gt;"","Contacted","New Lead"))))))</f>
        <v/>
      </c>
      <c r="S362" s="6"/>
      <c r="T362" s="6" t="str">
        <f aca="true">IF(MAX(F362,I362,K362)=0,"",TODAY()-MAX(F362,I362,K362))</f>
        <v/>
      </c>
      <c r="U362" s="6"/>
      <c r="V362" s="6"/>
      <c r="W362" s="6" t="str">
        <f aca="false">IF(AND($A362="",$B362=""),"",IF(M362="Ambassador","1 - Ambassador",IF(M362="Member","2 - Member",IF(J362="Completed","3 - Presented",IF(H362&lt;&gt;"","4 - Sent",IF(F362&lt;&gt;"","5 - Contacted","6 - No Activity"))))))</f>
        <v/>
      </c>
      <c r="X362" s="6" t="n">
        <f aca="false">IF(AND($A362="",$B362=""),9999999+(ROW()-4),VALUE(LEFT($W362,1))*10000+(ROW()-4))</f>
        <v>10000357</v>
      </c>
    </row>
    <row r="363" customFormat="false" ht="15" hidden="false" customHeight="true" outlineLevel="0" collapsed="false">
      <c r="A363" s="6"/>
      <c r="B363" s="6"/>
      <c r="C363" s="6"/>
      <c r="D363" s="6"/>
      <c r="E363" s="6"/>
      <c r="F363" s="7"/>
      <c r="G363" s="6"/>
      <c r="H363" s="6"/>
      <c r="I363" s="7"/>
      <c r="J363" s="6"/>
      <c r="K363" s="7"/>
      <c r="L363" s="6"/>
      <c r="M363" s="6"/>
      <c r="N363" s="7"/>
      <c r="O363" s="6"/>
      <c r="P363" s="6"/>
      <c r="Q363" s="7"/>
      <c r="R363" s="6" t="str">
        <f aca="false">IF(AND($A363="",$B363=""),"",IF(Q363="Complete","Onboarded",IF(OR(M363="Member",M363="Ambassador"),"Sponsored",IF(K363&lt;&gt;"","Follow-Up",IF(I363&lt;&gt;"","Presented",IF(F363&lt;&gt;"","Contacted","New Lead"))))))</f>
        <v/>
      </c>
      <c r="S363" s="6"/>
      <c r="T363" s="6" t="str">
        <f aca="true">IF(MAX(F363,I363,K363)=0,"",TODAY()-MAX(F363,I363,K363))</f>
        <v/>
      </c>
      <c r="U363" s="6"/>
      <c r="V363" s="6"/>
      <c r="W363" s="6" t="str">
        <f aca="false">IF(AND($A363="",$B363=""),"",IF(M363="Ambassador","1 - Ambassador",IF(M363="Member","2 - Member",IF(J363="Completed","3 - Presented",IF(H363&lt;&gt;"","4 - Sent",IF(F363&lt;&gt;"","5 - Contacted","6 - No Activity"))))))</f>
        <v/>
      </c>
      <c r="X363" s="6" t="n">
        <f aca="false">IF(AND($A363="",$B363=""),9999999+(ROW()-4),VALUE(LEFT($W363,1))*10000+(ROW()-4))</f>
        <v>10000358</v>
      </c>
    </row>
    <row r="364" customFormat="false" ht="15" hidden="false" customHeight="true" outlineLevel="0" collapsed="false">
      <c r="A364" s="6"/>
      <c r="B364" s="6"/>
      <c r="C364" s="6"/>
      <c r="D364" s="6"/>
      <c r="E364" s="6"/>
      <c r="F364" s="7"/>
      <c r="G364" s="6"/>
      <c r="H364" s="6"/>
      <c r="I364" s="7"/>
      <c r="J364" s="6"/>
      <c r="K364" s="7"/>
      <c r="L364" s="6"/>
      <c r="M364" s="6"/>
      <c r="N364" s="7"/>
      <c r="O364" s="6"/>
      <c r="P364" s="6"/>
      <c r="Q364" s="7"/>
      <c r="R364" s="6" t="str">
        <f aca="false">IF(AND($A364="",$B364=""),"",IF(Q364="Complete","Onboarded",IF(OR(M364="Member",M364="Ambassador"),"Sponsored",IF(K364&lt;&gt;"","Follow-Up",IF(I364&lt;&gt;"","Presented",IF(F364&lt;&gt;"","Contacted","New Lead"))))))</f>
        <v/>
      </c>
      <c r="S364" s="6"/>
      <c r="T364" s="6" t="str">
        <f aca="true">IF(MAX(F364,I364,K364)=0,"",TODAY()-MAX(F364,I364,K364))</f>
        <v/>
      </c>
      <c r="U364" s="6"/>
      <c r="V364" s="6"/>
      <c r="W364" s="6" t="str">
        <f aca="false">IF(AND($A364="",$B364=""),"",IF(M364="Ambassador","1 - Ambassador",IF(M364="Member","2 - Member",IF(J364="Completed","3 - Presented",IF(H364&lt;&gt;"","4 - Sent",IF(F364&lt;&gt;"","5 - Contacted","6 - No Activity"))))))</f>
        <v/>
      </c>
      <c r="X364" s="6" t="n">
        <f aca="false">IF(AND($A364="",$B364=""),9999999+(ROW()-4),VALUE(LEFT($W364,1))*10000+(ROW()-4))</f>
        <v>10000359</v>
      </c>
    </row>
    <row r="365" customFormat="false" ht="15" hidden="false" customHeight="true" outlineLevel="0" collapsed="false">
      <c r="A365" s="6"/>
      <c r="B365" s="6"/>
      <c r="C365" s="6"/>
      <c r="D365" s="6"/>
      <c r="E365" s="6"/>
      <c r="F365" s="7"/>
      <c r="G365" s="6"/>
      <c r="H365" s="6"/>
      <c r="I365" s="7"/>
      <c r="J365" s="6"/>
      <c r="K365" s="7"/>
      <c r="L365" s="6"/>
      <c r="M365" s="6"/>
      <c r="N365" s="7"/>
      <c r="O365" s="6"/>
      <c r="P365" s="6"/>
      <c r="Q365" s="7"/>
      <c r="R365" s="6" t="str">
        <f aca="false">IF(AND($A365="",$B365=""),"",IF(Q365="Complete","Onboarded",IF(OR(M365="Member",M365="Ambassador"),"Sponsored",IF(K365&lt;&gt;"","Follow-Up",IF(I365&lt;&gt;"","Presented",IF(F365&lt;&gt;"","Contacted","New Lead"))))))</f>
        <v/>
      </c>
      <c r="S365" s="6"/>
      <c r="T365" s="6" t="str">
        <f aca="true">IF(MAX(F365,I365,K365)=0,"",TODAY()-MAX(F365,I365,K365))</f>
        <v/>
      </c>
      <c r="U365" s="6"/>
      <c r="V365" s="6"/>
      <c r="W365" s="6" t="str">
        <f aca="false">IF(AND($A365="",$B365=""),"",IF(M365="Ambassador","1 - Ambassador",IF(M365="Member","2 - Member",IF(J365="Completed","3 - Presented",IF(H365&lt;&gt;"","4 - Sent",IF(F365&lt;&gt;"","5 - Contacted","6 - No Activity"))))))</f>
        <v/>
      </c>
      <c r="X365" s="6" t="n">
        <f aca="false">IF(AND($A365="",$B365=""),9999999+(ROW()-4),VALUE(LEFT($W365,1))*10000+(ROW()-4))</f>
        <v>10000360</v>
      </c>
    </row>
    <row r="366" customFormat="false" ht="15" hidden="false" customHeight="true" outlineLevel="0" collapsed="false">
      <c r="A366" s="6"/>
      <c r="B366" s="6"/>
      <c r="C366" s="6"/>
      <c r="D366" s="6"/>
      <c r="E366" s="6"/>
      <c r="F366" s="7"/>
      <c r="G366" s="6"/>
      <c r="H366" s="6"/>
      <c r="I366" s="7"/>
      <c r="J366" s="6"/>
      <c r="K366" s="7"/>
      <c r="L366" s="6"/>
      <c r="M366" s="6"/>
      <c r="N366" s="7"/>
      <c r="O366" s="6"/>
      <c r="P366" s="6"/>
      <c r="Q366" s="7"/>
      <c r="R366" s="6" t="str">
        <f aca="false">IF(AND($A366="",$B366=""),"",IF(Q366="Complete","Onboarded",IF(OR(M366="Member",M366="Ambassador"),"Sponsored",IF(K366&lt;&gt;"","Follow-Up",IF(I366&lt;&gt;"","Presented",IF(F366&lt;&gt;"","Contacted","New Lead"))))))</f>
        <v/>
      </c>
      <c r="S366" s="6"/>
      <c r="T366" s="6" t="str">
        <f aca="true">IF(MAX(F366,I366,K366)=0,"",TODAY()-MAX(F366,I366,K366))</f>
        <v/>
      </c>
      <c r="U366" s="6"/>
      <c r="V366" s="6"/>
      <c r="W366" s="6" t="str">
        <f aca="false">IF(AND($A366="",$B366=""),"",IF(M366="Ambassador","1 - Ambassador",IF(M366="Member","2 - Member",IF(J366="Completed","3 - Presented",IF(H366&lt;&gt;"","4 - Sent",IF(F366&lt;&gt;"","5 - Contacted","6 - No Activity"))))))</f>
        <v/>
      </c>
      <c r="X366" s="6" t="n">
        <f aca="false">IF(AND($A366="",$B366=""),9999999+(ROW()-4),VALUE(LEFT($W366,1))*10000+(ROW()-4))</f>
        <v>10000361</v>
      </c>
    </row>
    <row r="367" customFormat="false" ht="15" hidden="false" customHeight="true" outlineLevel="0" collapsed="false">
      <c r="A367" s="6"/>
      <c r="B367" s="6"/>
      <c r="C367" s="6"/>
      <c r="D367" s="6"/>
      <c r="E367" s="6"/>
      <c r="F367" s="7"/>
      <c r="G367" s="6"/>
      <c r="H367" s="6"/>
      <c r="I367" s="7"/>
      <c r="J367" s="6"/>
      <c r="K367" s="7"/>
      <c r="L367" s="6"/>
      <c r="M367" s="6"/>
      <c r="N367" s="7"/>
      <c r="O367" s="6"/>
      <c r="P367" s="6"/>
      <c r="Q367" s="7"/>
      <c r="R367" s="6" t="str">
        <f aca="false">IF(AND($A367="",$B367=""),"",IF(Q367="Complete","Onboarded",IF(OR(M367="Member",M367="Ambassador"),"Sponsored",IF(K367&lt;&gt;"","Follow-Up",IF(I367&lt;&gt;"","Presented",IF(F367&lt;&gt;"","Contacted","New Lead"))))))</f>
        <v/>
      </c>
      <c r="S367" s="6"/>
      <c r="T367" s="6" t="str">
        <f aca="true">IF(MAX(F367,I367,K367)=0,"",TODAY()-MAX(F367,I367,K367))</f>
        <v/>
      </c>
      <c r="U367" s="6"/>
      <c r="V367" s="6"/>
      <c r="W367" s="6" t="str">
        <f aca="false">IF(AND($A367="",$B367=""),"",IF(M367="Ambassador","1 - Ambassador",IF(M367="Member","2 - Member",IF(J367="Completed","3 - Presented",IF(H367&lt;&gt;"","4 - Sent",IF(F367&lt;&gt;"","5 - Contacted","6 - No Activity"))))))</f>
        <v/>
      </c>
      <c r="X367" s="6" t="n">
        <f aca="false">IF(AND($A367="",$B367=""),9999999+(ROW()-4),VALUE(LEFT($W367,1))*10000+(ROW()-4))</f>
        <v>10000362</v>
      </c>
    </row>
    <row r="368" customFormat="false" ht="15" hidden="false" customHeight="true" outlineLevel="0" collapsed="false">
      <c r="A368" s="6"/>
      <c r="B368" s="6"/>
      <c r="C368" s="6"/>
      <c r="D368" s="6"/>
      <c r="E368" s="6"/>
      <c r="F368" s="7"/>
      <c r="G368" s="6"/>
      <c r="H368" s="6"/>
      <c r="I368" s="7"/>
      <c r="J368" s="6"/>
      <c r="K368" s="7"/>
      <c r="L368" s="6"/>
      <c r="M368" s="6"/>
      <c r="N368" s="7"/>
      <c r="O368" s="6"/>
      <c r="P368" s="6"/>
      <c r="Q368" s="7"/>
      <c r="R368" s="6" t="str">
        <f aca="false">IF(AND($A368="",$B368=""),"",IF(Q368="Complete","Onboarded",IF(OR(M368="Member",M368="Ambassador"),"Sponsored",IF(K368&lt;&gt;"","Follow-Up",IF(I368&lt;&gt;"","Presented",IF(F368&lt;&gt;"","Contacted","New Lead"))))))</f>
        <v/>
      </c>
      <c r="S368" s="6"/>
      <c r="T368" s="6" t="str">
        <f aca="true">IF(MAX(F368,I368,K368)=0,"",TODAY()-MAX(F368,I368,K368))</f>
        <v/>
      </c>
      <c r="U368" s="6"/>
      <c r="V368" s="6"/>
      <c r="W368" s="6" t="str">
        <f aca="false">IF(AND($A368="",$B368=""),"",IF(M368="Ambassador","1 - Ambassador",IF(M368="Member","2 - Member",IF(J368="Completed","3 - Presented",IF(H368&lt;&gt;"","4 - Sent",IF(F368&lt;&gt;"","5 - Contacted","6 - No Activity"))))))</f>
        <v/>
      </c>
      <c r="X368" s="6" t="n">
        <f aca="false">IF(AND($A368="",$B368=""),9999999+(ROW()-4),VALUE(LEFT($W368,1))*10000+(ROW()-4))</f>
        <v>10000363</v>
      </c>
    </row>
    <row r="369" customFormat="false" ht="15" hidden="false" customHeight="true" outlineLevel="0" collapsed="false">
      <c r="A369" s="6"/>
      <c r="B369" s="6"/>
      <c r="C369" s="6"/>
      <c r="D369" s="6"/>
      <c r="E369" s="6"/>
      <c r="F369" s="7"/>
      <c r="G369" s="6"/>
      <c r="H369" s="6"/>
      <c r="I369" s="7"/>
      <c r="J369" s="6"/>
      <c r="K369" s="7"/>
      <c r="L369" s="6"/>
      <c r="M369" s="6"/>
      <c r="N369" s="7"/>
      <c r="O369" s="6"/>
      <c r="P369" s="6"/>
      <c r="Q369" s="7"/>
      <c r="R369" s="6" t="str">
        <f aca="false">IF(AND($A369="",$B369=""),"",IF(Q369="Complete","Onboarded",IF(OR(M369="Member",M369="Ambassador"),"Sponsored",IF(K369&lt;&gt;"","Follow-Up",IF(I369&lt;&gt;"","Presented",IF(F369&lt;&gt;"","Contacted","New Lead"))))))</f>
        <v/>
      </c>
      <c r="S369" s="6"/>
      <c r="T369" s="6" t="str">
        <f aca="true">IF(MAX(F369,I369,K369)=0,"",TODAY()-MAX(F369,I369,K369))</f>
        <v/>
      </c>
      <c r="U369" s="6"/>
      <c r="V369" s="6"/>
      <c r="W369" s="6" t="str">
        <f aca="false">IF(AND($A369="",$B369=""),"",IF(M369="Ambassador","1 - Ambassador",IF(M369="Member","2 - Member",IF(J369="Completed","3 - Presented",IF(H369&lt;&gt;"","4 - Sent",IF(F369&lt;&gt;"","5 - Contacted","6 - No Activity"))))))</f>
        <v/>
      </c>
      <c r="X369" s="6" t="n">
        <f aca="false">IF(AND($A369="",$B369=""),9999999+(ROW()-4),VALUE(LEFT($W369,1))*10000+(ROW()-4))</f>
        <v>10000364</v>
      </c>
    </row>
    <row r="370" customFormat="false" ht="15" hidden="false" customHeight="true" outlineLevel="0" collapsed="false">
      <c r="A370" s="6"/>
      <c r="B370" s="6"/>
      <c r="C370" s="6"/>
      <c r="D370" s="6"/>
      <c r="E370" s="6"/>
      <c r="F370" s="7"/>
      <c r="G370" s="6"/>
      <c r="H370" s="6"/>
      <c r="I370" s="7"/>
      <c r="J370" s="6"/>
      <c r="K370" s="7"/>
      <c r="L370" s="6"/>
      <c r="M370" s="6"/>
      <c r="N370" s="7"/>
      <c r="O370" s="6"/>
      <c r="P370" s="6"/>
      <c r="Q370" s="7"/>
      <c r="R370" s="6" t="str">
        <f aca="false">IF(AND($A370="",$B370=""),"",IF(Q370="Complete","Onboarded",IF(OR(M370="Member",M370="Ambassador"),"Sponsored",IF(K370&lt;&gt;"","Follow-Up",IF(I370&lt;&gt;"","Presented",IF(F370&lt;&gt;"","Contacted","New Lead"))))))</f>
        <v/>
      </c>
      <c r="S370" s="6"/>
      <c r="T370" s="6" t="str">
        <f aca="true">IF(MAX(F370,I370,K370)=0,"",TODAY()-MAX(F370,I370,K370))</f>
        <v/>
      </c>
      <c r="U370" s="6"/>
      <c r="V370" s="6"/>
      <c r="W370" s="6" t="str">
        <f aca="false">IF(AND($A370="",$B370=""),"",IF(M370="Ambassador","1 - Ambassador",IF(M370="Member","2 - Member",IF(J370="Completed","3 - Presented",IF(H370&lt;&gt;"","4 - Sent",IF(F370&lt;&gt;"","5 - Contacted","6 - No Activity"))))))</f>
        <v/>
      </c>
      <c r="X370" s="6" t="n">
        <f aca="false">IF(AND($A370="",$B370=""),9999999+(ROW()-4),VALUE(LEFT($W370,1))*10000+(ROW()-4))</f>
        <v>10000365</v>
      </c>
    </row>
    <row r="371" customFormat="false" ht="15" hidden="false" customHeight="true" outlineLevel="0" collapsed="false">
      <c r="A371" s="6"/>
      <c r="B371" s="6"/>
      <c r="C371" s="6"/>
      <c r="D371" s="6"/>
      <c r="E371" s="6"/>
      <c r="F371" s="7"/>
      <c r="G371" s="6"/>
      <c r="H371" s="6"/>
      <c r="I371" s="7"/>
      <c r="J371" s="6"/>
      <c r="K371" s="7"/>
      <c r="L371" s="6"/>
      <c r="M371" s="6"/>
      <c r="N371" s="7"/>
      <c r="O371" s="6"/>
      <c r="P371" s="6"/>
      <c r="Q371" s="7"/>
      <c r="R371" s="6" t="str">
        <f aca="false">IF(AND($A371="",$B371=""),"",IF(Q371="Complete","Onboarded",IF(OR(M371="Member",M371="Ambassador"),"Sponsored",IF(K371&lt;&gt;"","Follow-Up",IF(I371&lt;&gt;"","Presented",IF(F371&lt;&gt;"","Contacted","New Lead"))))))</f>
        <v/>
      </c>
      <c r="S371" s="6"/>
      <c r="T371" s="6" t="str">
        <f aca="true">IF(MAX(F371,I371,K371)=0,"",TODAY()-MAX(F371,I371,K371))</f>
        <v/>
      </c>
      <c r="U371" s="6"/>
      <c r="V371" s="6"/>
      <c r="W371" s="6" t="str">
        <f aca="false">IF(AND($A371="",$B371=""),"",IF(M371="Ambassador","1 - Ambassador",IF(M371="Member","2 - Member",IF(J371="Completed","3 - Presented",IF(H371&lt;&gt;"","4 - Sent",IF(F371&lt;&gt;"","5 - Contacted","6 - No Activity"))))))</f>
        <v/>
      </c>
      <c r="X371" s="6" t="n">
        <f aca="false">IF(AND($A371="",$B371=""),9999999+(ROW()-4),VALUE(LEFT($W371,1))*10000+(ROW()-4))</f>
        <v>10000366</v>
      </c>
    </row>
    <row r="372" customFormat="false" ht="15" hidden="false" customHeight="true" outlineLevel="0" collapsed="false">
      <c r="A372" s="6"/>
      <c r="B372" s="6"/>
      <c r="C372" s="6"/>
      <c r="D372" s="6"/>
      <c r="E372" s="6"/>
      <c r="F372" s="7"/>
      <c r="G372" s="6"/>
      <c r="H372" s="6"/>
      <c r="I372" s="7"/>
      <c r="J372" s="6"/>
      <c r="K372" s="7"/>
      <c r="L372" s="6"/>
      <c r="M372" s="6"/>
      <c r="N372" s="7"/>
      <c r="O372" s="6"/>
      <c r="P372" s="6"/>
      <c r="Q372" s="7"/>
      <c r="R372" s="6" t="str">
        <f aca="false">IF(AND($A372="",$B372=""),"",IF(Q372="Complete","Onboarded",IF(OR(M372="Member",M372="Ambassador"),"Sponsored",IF(K372&lt;&gt;"","Follow-Up",IF(I372&lt;&gt;"","Presented",IF(F372&lt;&gt;"","Contacted","New Lead"))))))</f>
        <v/>
      </c>
      <c r="S372" s="6"/>
      <c r="T372" s="6" t="str">
        <f aca="true">IF(MAX(F372,I372,K372)=0,"",TODAY()-MAX(F372,I372,K372))</f>
        <v/>
      </c>
      <c r="U372" s="6"/>
      <c r="V372" s="6"/>
      <c r="W372" s="6" t="str">
        <f aca="false">IF(AND($A372="",$B372=""),"",IF(M372="Ambassador","1 - Ambassador",IF(M372="Member","2 - Member",IF(J372="Completed","3 - Presented",IF(H372&lt;&gt;"","4 - Sent",IF(F372&lt;&gt;"","5 - Contacted","6 - No Activity"))))))</f>
        <v/>
      </c>
      <c r="X372" s="6" t="n">
        <f aca="false">IF(AND($A372="",$B372=""),9999999+(ROW()-4),VALUE(LEFT($W372,1))*10000+(ROW()-4))</f>
        <v>10000367</v>
      </c>
    </row>
    <row r="373" customFormat="false" ht="15" hidden="false" customHeight="true" outlineLevel="0" collapsed="false">
      <c r="A373" s="6"/>
      <c r="B373" s="6"/>
      <c r="C373" s="6"/>
      <c r="D373" s="6"/>
      <c r="E373" s="6"/>
      <c r="F373" s="7"/>
      <c r="G373" s="6"/>
      <c r="H373" s="6"/>
      <c r="I373" s="7"/>
      <c r="J373" s="6"/>
      <c r="K373" s="7"/>
      <c r="L373" s="6"/>
      <c r="M373" s="6"/>
      <c r="N373" s="7"/>
      <c r="O373" s="6"/>
      <c r="P373" s="6"/>
      <c r="Q373" s="7"/>
      <c r="R373" s="6" t="str">
        <f aca="false">IF(AND($A373="",$B373=""),"",IF(Q373="Complete","Onboarded",IF(OR(M373="Member",M373="Ambassador"),"Sponsored",IF(K373&lt;&gt;"","Follow-Up",IF(I373&lt;&gt;"","Presented",IF(F373&lt;&gt;"","Contacted","New Lead"))))))</f>
        <v/>
      </c>
      <c r="S373" s="6"/>
      <c r="T373" s="6" t="str">
        <f aca="true">IF(MAX(F373,I373,K373)=0,"",TODAY()-MAX(F373,I373,K373))</f>
        <v/>
      </c>
      <c r="U373" s="6"/>
      <c r="V373" s="6"/>
      <c r="W373" s="6" t="str">
        <f aca="false">IF(AND($A373="",$B373=""),"",IF(M373="Ambassador","1 - Ambassador",IF(M373="Member","2 - Member",IF(J373="Completed","3 - Presented",IF(H373&lt;&gt;"","4 - Sent",IF(F373&lt;&gt;"","5 - Contacted","6 - No Activity"))))))</f>
        <v/>
      </c>
      <c r="X373" s="6" t="n">
        <f aca="false">IF(AND($A373="",$B373=""),9999999+(ROW()-4),VALUE(LEFT($W373,1))*10000+(ROW()-4))</f>
        <v>10000368</v>
      </c>
    </row>
    <row r="374" customFormat="false" ht="15" hidden="false" customHeight="true" outlineLevel="0" collapsed="false">
      <c r="A374" s="6"/>
      <c r="B374" s="6"/>
      <c r="C374" s="6"/>
      <c r="D374" s="6"/>
      <c r="E374" s="6"/>
      <c r="F374" s="7"/>
      <c r="G374" s="6"/>
      <c r="H374" s="6"/>
      <c r="I374" s="7"/>
      <c r="J374" s="6"/>
      <c r="K374" s="7"/>
      <c r="L374" s="6"/>
      <c r="M374" s="6"/>
      <c r="N374" s="7"/>
      <c r="O374" s="6"/>
      <c r="P374" s="6"/>
      <c r="Q374" s="7"/>
      <c r="R374" s="6" t="str">
        <f aca="false">IF(AND($A374="",$B374=""),"",IF(Q374="Complete","Onboarded",IF(OR(M374="Member",M374="Ambassador"),"Sponsored",IF(K374&lt;&gt;"","Follow-Up",IF(I374&lt;&gt;"","Presented",IF(F374&lt;&gt;"","Contacted","New Lead"))))))</f>
        <v/>
      </c>
      <c r="S374" s="6"/>
      <c r="T374" s="6" t="str">
        <f aca="true">IF(MAX(F374,I374,K374)=0,"",TODAY()-MAX(F374,I374,K374))</f>
        <v/>
      </c>
      <c r="U374" s="6"/>
      <c r="V374" s="6"/>
      <c r="W374" s="6" t="str">
        <f aca="false">IF(AND($A374="",$B374=""),"",IF(M374="Ambassador","1 - Ambassador",IF(M374="Member","2 - Member",IF(J374="Completed","3 - Presented",IF(H374&lt;&gt;"","4 - Sent",IF(F374&lt;&gt;"","5 - Contacted","6 - No Activity"))))))</f>
        <v/>
      </c>
      <c r="X374" s="6" t="n">
        <f aca="false">IF(AND($A374="",$B374=""),9999999+(ROW()-4),VALUE(LEFT($W374,1))*10000+(ROW()-4))</f>
        <v>10000369</v>
      </c>
    </row>
    <row r="375" customFormat="false" ht="15" hidden="false" customHeight="true" outlineLevel="0" collapsed="false">
      <c r="A375" s="6"/>
      <c r="B375" s="6"/>
      <c r="C375" s="6"/>
      <c r="D375" s="6"/>
      <c r="E375" s="6"/>
      <c r="F375" s="7"/>
      <c r="G375" s="6"/>
      <c r="H375" s="6"/>
      <c r="I375" s="7"/>
      <c r="J375" s="6"/>
      <c r="K375" s="7"/>
      <c r="L375" s="6"/>
      <c r="M375" s="6"/>
      <c r="N375" s="7"/>
      <c r="O375" s="6"/>
      <c r="P375" s="6"/>
      <c r="Q375" s="7"/>
      <c r="R375" s="6" t="str">
        <f aca="false">IF(AND($A375="",$B375=""),"",IF(Q375="Complete","Onboarded",IF(OR(M375="Member",M375="Ambassador"),"Sponsored",IF(K375&lt;&gt;"","Follow-Up",IF(I375&lt;&gt;"","Presented",IF(F375&lt;&gt;"","Contacted","New Lead"))))))</f>
        <v/>
      </c>
      <c r="S375" s="6"/>
      <c r="T375" s="6" t="str">
        <f aca="true">IF(MAX(F375,I375,K375)=0,"",TODAY()-MAX(F375,I375,K375))</f>
        <v/>
      </c>
      <c r="U375" s="6"/>
      <c r="V375" s="6"/>
      <c r="W375" s="6" t="str">
        <f aca="false">IF(AND($A375="",$B375=""),"",IF(M375="Ambassador","1 - Ambassador",IF(M375="Member","2 - Member",IF(J375="Completed","3 - Presented",IF(H375&lt;&gt;"","4 - Sent",IF(F375&lt;&gt;"","5 - Contacted","6 - No Activity"))))))</f>
        <v/>
      </c>
      <c r="X375" s="6" t="n">
        <f aca="false">IF(AND($A375="",$B375=""),9999999+(ROW()-4),VALUE(LEFT($W375,1))*10000+(ROW()-4))</f>
        <v>10000370</v>
      </c>
    </row>
    <row r="376" customFormat="false" ht="15" hidden="false" customHeight="true" outlineLevel="0" collapsed="false">
      <c r="A376" s="6"/>
      <c r="B376" s="6"/>
      <c r="C376" s="6"/>
      <c r="D376" s="6"/>
      <c r="E376" s="6"/>
      <c r="F376" s="7"/>
      <c r="G376" s="6"/>
      <c r="H376" s="6"/>
      <c r="I376" s="7"/>
      <c r="J376" s="6"/>
      <c r="K376" s="7"/>
      <c r="L376" s="6"/>
      <c r="M376" s="6"/>
      <c r="N376" s="7"/>
      <c r="O376" s="6"/>
      <c r="P376" s="6"/>
      <c r="Q376" s="7"/>
      <c r="R376" s="6" t="str">
        <f aca="false">IF(AND($A376="",$B376=""),"",IF(Q376="Complete","Onboarded",IF(OR(M376="Member",M376="Ambassador"),"Sponsored",IF(K376&lt;&gt;"","Follow-Up",IF(I376&lt;&gt;"","Presented",IF(F376&lt;&gt;"","Contacted","New Lead"))))))</f>
        <v/>
      </c>
      <c r="S376" s="6"/>
      <c r="T376" s="6" t="str">
        <f aca="true">IF(MAX(F376,I376,K376)=0,"",TODAY()-MAX(F376,I376,K376))</f>
        <v/>
      </c>
      <c r="U376" s="6"/>
      <c r="V376" s="6"/>
      <c r="W376" s="6" t="str">
        <f aca="false">IF(AND($A376="",$B376=""),"",IF(M376="Ambassador","1 - Ambassador",IF(M376="Member","2 - Member",IF(J376="Completed","3 - Presented",IF(H376&lt;&gt;"","4 - Sent",IF(F376&lt;&gt;"","5 - Contacted","6 - No Activity"))))))</f>
        <v/>
      </c>
      <c r="X376" s="6" t="n">
        <f aca="false">IF(AND($A376="",$B376=""),9999999+(ROW()-4),VALUE(LEFT($W376,1))*10000+(ROW()-4))</f>
        <v>10000371</v>
      </c>
    </row>
    <row r="377" customFormat="false" ht="15" hidden="false" customHeight="true" outlineLevel="0" collapsed="false">
      <c r="A377" s="6"/>
      <c r="B377" s="6"/>
      <c r="C377" s="6"/>
      <c r="D377" s="6"/>
      <c r="E377" s="6"/>
      <c r="F377" s="7"/>
      <c r="G377" s="6"/>
      <c r="H377" s="6"/>
      <c r="I377" s="7"/>
      <c r="J377" s="6"/>
      <c r="K377" s="7"/>
      <c r="L377" s="6"/>
      <c r="M377" s="6"/>
      <c r="N377" s="7"/>
      <c r="O377" s="6"/>
      <c r="P377" s="6"/>
      <c r="Q377" s="7"/>
      <c r="R377" s="6" t="str">
        <f aca="false">IF(AND($A377="",$B377=""),"",IF(Q377="Complete","Onboarded",IF(OR(M377="Member",M377="Ambassador"),"Sponsored",IF(K377&lt;&gt;"","Follow-Up",IF(I377&lt;&gt;"","Presented",IF(F377&lt;&gt;"","Contacted","New Lead"))))))</f>
        <v/>
      </c>
      <c r="S377" s="6"/>
      <c r="T377" s="6" t="str">
        <f aca="true">IF(MAX(F377,I377,K377)=0,"",TODAY()-MAX(F377,I377,K377))</f>
        <v/>
      </c>
      <c r="U377" s="6"/>
      <c r="V377" s="6"/>
      <c r="W377" s="6" t="str">
        <f aca="false">IF(AND($A377="",$B377=""),"",IF(M377="Ambassador","1 - Ambassador",IF(M377="Member","2 - Member",IF(J377="Completed","3 - Presented",IF(H377&lt;&gt;"","4 - Sent",IF(F377&lt;&gt;"","5 - Contacted","6 - No Activity"))))))</f>
        <v/>
      </c>
      <c r="X377" s="6" t="n">
        <f aca="false">IF(AND($A377="",$B377=""),9999999+(ROW()-4),VALUE(LEFT($W377,1))*10000+(ROW()-4))</f>
        <v>10000372</v>
      </c>
    </row>
    <row r="378" customFormat="false" ht="15" hidden="false" customHeight="true" outlineLevel="0" collapsed="false">
      <c r="A378" s="6"/>
      <c r="B378" s="6"/>
      <c r="C378" s="6"/>
      <c r="D378" s="6"/>
      <c r="E378" s="6"/>
      <c r="F378" s="7"/>
      <c r="G378" s="6"/>
      <c r="H378" s="6"/>
      <c r="I378" s="7"/>
      <c r="J378" s="6"/>
      <c r="K378" s="7"/>
      <c r="L378" s="6"/>
      <c r="M378" s="6"/>
      <c r="N378" s="7"/>
      <c r="O378" s="6"/>
      <c r="P378" s="6"/>
      <c r="Q378" s="7"/>
      <c r="R378" s="6" t="str">
        <f aca="false">IF(AND($A378="",$B378=""),"",IF(Q378="Complete","Onboarded",IF(OR(M378="Member",M378="Ambassador"),"Sponsored",IF(K378&lt;&gt;"","Follow-Up",IF(I378&lt;&gt;"","Presented",IF(F378&lt;&gt;"","Contacted","New Lead"))))))</f>
        <v/>
      </c>
      <c r="S378" s="6"/>
      <c r="T378" s="6" t="str">
        <f aca="true">IF(MAX(F378,I378,K378)=0,"",TODAY()-MAX(F378,I378,K378))</f>
        <v/>
      </c>
      <c r="U378" s="6"/>
      <c r="V378" s="6"/>
      <c r="W378" s="6" t="str">
        <f aca="false">IF(AND($A378="",$B378=""),"",IF(M378="Ambassador","1 - Ambassador",IF(M378="Member","2 - Member",IF(J378="Completed","3 - Presented",IF(H378&lt;&gt;"","4 - Sent",IF(F378&lt;&gt;"","5 - Contacted","6 - No Activity"))))))</f>
        <v/>
      </c>
      <c r="X378" s="6" t="n">
        <f aca="false">IF(AND($A378="",$B378=""),9999999+(ROW()-4),VALUE(LEFT($W378,1))*10000+(ROW()-4))</f>
        <v>10000373</v>
      </c>
    </row>
    <row r="379" customFormat="false" ht="15" hidden="false" customHeight="true" outlineLevel="0" collapsed="false">
      <c r="A379" s="6"/>
      <c r="B379" s="6"/>
      <c r="C379" s="6"/>
      <c r="D379" s="6"/>
      <c r="E379" s="6"/>
      <c r="F379" s="7"/>
      <c r="G379" s="6"/>
      <c r="H379" s="6"/>
      <c r="I379" s="7"/>
      <c r="J379" s="6"/>
      <c r="K379" s="7"/>
      <c r="L379" s="6"/>
      <c r="M379" s="6"/>
      <c r="N379" s="7"/>
      <c r="O379" s="6"/>
      <c r="P379" s="6"/>
      <c r="Q379" s="7"/>
      <c r="R379" s="6" t="str">
        <f aca="false">IF(AND($A379="",$B379=""),"",IF(Q379="Complete","Onboarded",IF(OR(M379="Member",M379="Ambassador"),"Sponsored",IF(K379&lt;&gt;"","Follow-Up",IF(I379&lt;&gt;"","Presented",IF(F379&lt;&gt;"","Contacted","New Lead"))))))</f>
        <v/>
      </c>
      <c r="S379" s="6"/>
      <c r="T379" s="6" t="str">
        <f aca="true">IF(MAX(F379,I379,K379)=0,"",TODAY()-MAX(F379,I379,K379))</f>
        <v/>
      </c>
      <c r="U379" s="6"/>
      <c r="V379" s="6"/>
      <c r="W379" s="6" t="str">
        <f aca="false">IF(AND($A379="",$B379=""),"",IF(M379="Ambassador","1 - Ambassador",IF(M379="Member","2 - Member",IF(J379="Completed","3 - Presented",IF(H379&lt;&gt;"","4 - Sent",IF(F379&lt;&gt;"","5 - Contacted","6 - No Activity"))))))</f>
        <v/>
      </c>
      <c r="X379" s="6" t="n">
        <f aca="false">IF(AND($A379="",$B379=""),9999999+(ROW()-4),VALUE(LEFT($W379,1))*10000+(ROW()-4))</f>
        <v>10000374</v>
      </c>
    </row>
    <row r="380" customFormat="false" ht="15" hidden="false" customHeight="true" outlineLevel="0" collapsed="false">
      <c r="A380" s="6"/>
      <c r="B380" s="6"/>
      <c r="C380" s="6"/>
      <c r="D380" s="6"/>
      <c r="E380" s="6"/>
      <c r="F380" s="7"/>
      <c r="G380" s="6"/>
      <c r="H380" s="6"/>
      <c r="I380" s="7"/>
      <c r="J380" s="6"/>
      <c r="K380" s="7"/>
      <c r="L380" s="6"/>
      <c r="M380" s="6"/>
      <c r="N380" s="7"/>
      <c r="O380" s="6"/>
      <c r="P380" s="6"/>
      <c r="Q380" s="7"/>
      <c r="R380" s="6" t="str">
        <f aca="false">IF(AND($A380="",$B380=""),"",IF(Q380="Complete","Onboarded",IF(OR(M380="Member",M380="Ambassador"),"Sponsored",IF(K380&lt;&gt;"","Follow-Up",IF(I380&lt;&gt;"","Presented",IF(F380&lt;&gt;"","Contacted","New Lead"))))))</f>
        <v/>
      </c>
      <c r="S380" s="6"/>
      <c r="T380" s="6" t="str">
        <f aca="true">IF(MAX(F380,I380,K380)=0,"",TODAY()-MAX(F380,I380,K380))</f>
        <v/>
      </c>
      <c r="U380" s="6"/>
      <c r="V380" s="6"/>
      <c r="W380" s="6" t="str">
        <f aca="false">IF(AND($A380="",$B380=""),"",IF(M380="Ambassador","1 - Ambassador",IF(M380="Member","2 - Member",IF(J380="Completed","3 - Presented",IF(H380&lt;&gt;"","4 - Sent",IF(F380&lt;&gt;"","5 - Contacted","6 - No Activity"))))))</f>
        <v/>
      </c>
      <c r="X380" s="6" t="n">
        <f aca="false">IF(AND($A380="",$B380=""),9999999+(ROW()-4),VALUE(LEFT($W380,1))*10000+(ROW()-4))</f>
        <v>10000375</v>
      </c>
    </row>
    <row r="381" customFormat="false" ht="15" hidden="false" customHeight="true" outlineLevel="0" collapsed="false">
      <c r="A381" s="6"/>
      <c r="B381" s="6"/>
      <c r="C381" s="6"/>
      <c r="D381" s="6"/>
      <c r="E381" s="6"/>
      <c r="F381" s="7"/>
      <c r="G381" s="6"/>
      <c r="H381" s="6"/>
      <c r="I381" s="7"/>
      <c r="J381" s="6"/>
      <c r="K381" s="7"/>
      <c r="L381" s="6"/>
      <c r="M381" s="6"/>
      <c r="N381" s="7"/>
      <c r="O381" s="6"/>
      <c r="P381" s="6"/>
      <c r="Q381" s="7"/>
      <c r="R381" s="6" t="str">
        <f aca="false">IF(AND($A381="",$B381=""),"",IF(Q381="Complete","Onboarded",IF(OR(M381="Member",M381="Ambassador"),"Sponsored",IF(K381&lt;&gt;"","Follow-Up",IF(I381&lt;&gt;"","Presented",IF(F381&lt;&gt;"","Contacted","New Lead"))))))</f>
        <v/>
      </c>
      <c r="S381" s="6"/>
      <c r="T381" s="6" t="str">
        <f aca="true">IF(MAX(F381,I381,K381)=0,"",TODAY()-MAX(F381,I381,K381))</f>
        <v/>
      </c>
      <c r="U381" s="6"/>
      <c r="V381" s="6"/>
      <c r="W381" s="6" t="str">
        <f aca="false">IF(AND($A381="",$B381=""),"",IF(M381="Ambassador","1 - Ambassador",IF(M381="Member","2 - Member",IF(J381="Completed","3 - Presented",IF(H381&lt;&gt;"","4 - Sent",IF(F381&lt;&gt;"","5 - Contacted","6 - No Activity"))))))</f>
        <v/>
      </c>
      <c r="X381" s="6" t="n">
        <f aca="false">IF(AND($A381="",$B381=""),9999999+(ROW()-4),VALUE(LEFT($W381,1))*10000+(ROW()-4))</f>
        <v>10000376</v>
      </c>
    </row>
    <row r="382" customFormat="false" ht="15" hidden="false" customHeight="true" outlineLevel="0" collapsed="false">
      <c r="A382" s="6"/>
      <c r="B382" s="6"/>
      <c r="C382" s="6"/>
      <c r="D382" s="6"/>
      <c r="E382" s="6"/>
      <c r="F382" s="7"/>
      <c r="G382" s="6"/>
      <c r="H382" s="6"/>
      <c r="I382" s="7"/>
      <c r="J382" s="6"/>
      <c r="K382" s="7"/>
      <c r="L382" s="6"/>
      <c r="M382" s="6"/>
      <c r="N382" s="7"/>
      <c r="O382" s="6"/>
      <c r="P382" s="6"/>
      <c r="Q382" s="7"/>
      <c r="R382" s="6" t="str">
        <f aca="false">IF(AND($A382="",$B382=""),"",IF(Q382="Complete","Onboarded",IF(OR(M382="Member",M382="Ambassador"),"Sponsored",IF(K382&lt;&gt;"","Follow-Up",IF(I382&lt;&gt;"","Presented",IF(F382&lt;&gt;"","Contacted","New Lead"))))))</f>
        <v/>
      </c>
      <c r="S382" s="6"/>
      <c r="T382" s="6" t="str">
        <f aca="true">IF(MAX(F382,I382,K382)=0,"",TODAY()-MAX(F382,I382,K382))</f>
        <v/>
      </c>
      <c r="U382" s="6"/>
      <c r="V382" s="6"/>
      <c r="W382" s="6" t="str">
        <f aca="false">IF(AND($A382="",$B382=""),"",IF(M382="Ambassador","1 - Ambassador",IF(M382="Member","2 - Member",IF(J382="Completed","3 - Presented",IF(H382&lt;&gt;"","4 - Sent",IF(F382&lt;&gt;"","5 - Contacted","6 - No Activity"))))))</f>
        <v/>
      </c>
      <c r="X382" s="6" t="n">
        <f aca="false">IF(AND($A382="",$B382=""),9999999+(ROW()-4),VALUE(LEFT($W382,1))*10000+(ROW()-4))</f>
        <v>10000377</v>
      </c>
    </row>
    <row r="383" customFormat="false" ht="15" hidden="false" customHeight="true" outlineLevel="0" collapsed="false">
      <c r="A383" s="6"/>
      <c r="B383" s="6"/>
      <c r="C383" s="6"/>
      <c r="D383" s="6"/>
      <c r="E383" s="6"/>
      <c r="F383" s="7"/>
      <c r="G383" s="6"/>
      <c r="H383" s="6"/>
      <c r="I383" s="7"/>
      <c r="J383" s="6"/>
      <c r="K383" s="7"/>
      <c r="L383" s="6"/>
      <c r="M383" s="6"/>
      <c r="N383" s="7"/>
      <c r="O383" s="6"/>
      <c r="P383" s="6"/>
      <c r="Q383" s="7"/>
      <c r="R383" s="6" t="str">
        <f aca="false">IF(AND($A383="",$B383=""),"",IF(Q383="Complete","Onboarded",IF(OR(M383="Member",M383="Ambassador"),"Sponsored",IF(K383&lt;&gt;"","Follow-Up",IF(I383&lt;&gt;"","Presented",IF(F383&lt;&gt;"","Contacted","New Lead"))))))</f>
        <v/>
      </c>
      <c r="S383" s="6"/>
      <c r="T383" s="6" t="str">
        <f aca="true">IF(MAX(F383,I383,K383)=0,"",TODAY()-MAX(F383,I383,K383))</f>
        <v/>
      </c>
      <c r="U383" s="6"/>
      <c r="V383" s="6"/>
      <c r="W383" s="6" t="str">
        <f aca="false">IF(AND($A383="",$B383=""),"",IF(M383="Ambassador","1 - Ambassador",IF(M383="Member","2 - Member",IF(J383="Completed","3 - Presented",IF(H383&lt;&gt;"","4 - Sent",IF(F383&lt;&gt;"","5 - Contacted","6 - No Activity"))))))</f>
        <v/>
      </c>
      <c r="X383" s="6" t="n">
        <f aca="false">IF(AND($A383="",$B383=""),9999999+(ROW()-4),VALUE(LEFT($W383,1))*10000+(ROW()-4))</f>
        <v>10000378</v>
      </c>
    </row>
    <row r="384" customFormat="false" ht="15" hidden="false" customHeight="true" outlineLevel="0" collapsed="false">
      <c r="A384" s="6"/>
      <c r="B384" s="6"/>
      <c r="C384" s="6"/>
      <c r="D384" s="6"/>
      <c r="E384" s="6"/>
      <c r="F384" s="7"/>
      <c r="G384" s="6"/>
      <c r="H384" s="6"/>
      <c r="I384" s="7"/>
      <c r="J384" s="6"/>
      <c r="K384" s="7"/>
      <c r="L384" s="6"/>
      <c r="M384" s="6"/>
      <c r="N384" s="7"/>
      <c r="O384" s="6"/>
      <c r="P384" s="6"/>
      <c r="Q384" s="7"/>
      <c r="R384" s="6" t="str">
        <f aca="false">IF(AND($A384="",$B384=""),"",IF(Q384="Complete","Onboarded",IF(OR(M384="Member",M384="Ambassador"),"Sponsored",IF(K384&lt;&gt;"","Follow-Up",IF(I384&lt;&gt;"","Presented",IF(F384&lt;&gt;"","Contacted","New Lead"))))))</f>
        <v/>
      </c>
      <c r="S384" s="6"/>
      <c r="T384" s="6" t="str">
        <f aca="true">IF(MAX(F384,I384,K384)=0,"",TODAY()-MAX(F384,I384,K384))</f>
        <v/>
      </c>
      <c r="U384" s="6"/>
      <c r="V384" s="6"/>
      <c r="W384" s="6" t="str">
        <f aca="false">IF(AND($A384="",$B384=""),"",IF(M384="Ambassador","1 - Ambassador",IF(M384="Member","2 - Member",IF(J384="Completed","3 - Presented",IF(H384&lt;&gt;"","4 - Sent",IF(F384&lt;&gt;"","5 - Contacted","6 - No Activity"))))))</f>
        <v/>
      </c>
      <c r="X384" s="6" t="n">
        <f aca="false">IF(AND($A384="",$B384=""),9999999+(ROW()-4),VALUE(LEFT($W384,1))*10000+(ROW()-4))</f>
        <v>10000379</v>
      </c>
    </row>
    <row r="385" customFormat="false" ht="15" hidden="false" customHeight="true" outlineLevel="0" collapsed="false">
      <c r="A385" s="6"/>
      <c r="B385" s="6"/>
      <c r="C385" s="6"/>
      <c r="D385" s="6"/>
      <c r="E385" s="6"/>
      <c r="F385" s="7"/>
      <c r="G385" s="6"/>
      <c r="H385" s="6"/>
      <c r="I385" s="7"/>
      <c r="J385" s="6"/>
      <c r="K385" s="7"/>
      <c r="L385" s="6"/>
      <c r="M385" s="6"/>
      <c r="N385" s="7"/>
      <c r="O385" s="6"/>
      <c r="P385" s="6"/>
      <c r="Q385" s="7"/>
      <c r="R385" s="6" t="str">
        <f aca="false">IF(AND($A385="",$B385=""),"",IF(Q385="Complete","Onboarded",IF(OR(M385="Member",M385="Ambassador"),"Sponsored",IF(K385&lt;&gt;"","Follow-Up",IF(I385&lt;&gt;"","Presented",IF(F385&lt;&gt;"","Contacted","New Lead"))))))</f>
        <v/>
      </c>
      <c r="S385" s="6"/>
      <c r="T385" s="6" t="str">
        <f aca="true">IF(MAX(F385,I385,K385)=0,"",TODAY()-MAX(F385,I385,K385))</f>
        <v/>
      </c>
      <c r="U385" s="6"/>
      <c r="V385" s="6"/>
      <c r="W385" s="6" t="str">
        <f aca="false">IF(AND($A385="",$B385=""),"",IF(M385="Ambassador","1 - Ambassador",IF(M385="Member","2 - Member",IF(J385="Completed","3 - Presented",IF(H385&lt;&gt;"","4 - Sent",IF(F385&lt;&gt;"","5 - Contacted","6 - No Activity"))))))</f>
        <v/>
      </c>
      <c r="X385" s="6" t="n">
        <f aca="false">IF(AND($A385="",$B385=""),9999999+(ROW()-4),VALUE(LEFT($W385,1))*10000+(ROW()-4))</f>
        <v>10000380</v>
      </c>
    </row>
    <row r="386" customFormat="false" ht="15" hidden="false" customHeight="true" outlineLevel="0" collapsed="false">
      <c r="A386" s="6"/>
      <c r="B386" s="6"/>
      <c r="C386" s="6"/>
      <c r="D386" s="6"/>
      <c r="E386" s="6"/>
      <c r="F386" s="7"/>
      <c r="G386" s="6"/>
      <c r="H386" s="6"/>
      <c r="I386" s="7"/>
      <c r="J386" s="6"/>
      <c r="K386" s="7"/>
      <c r="L386" s="6"/>
      <c r="M386" s="6"/>
      <c r="N386" s="7"/>
      <c r="O386" s="6"/>
      <c r="P386" s="6"/>
      <c r="Q386" s="7"/>
      <c r="R386" s="6" t="str">
        <f aca="false">IF(AND($A386="",$B386=""),"",IF(Q386="Complete","Onboarded",IF(OR(M386="Member",M386="Ambassador"),"Sponsored",IF(K386&lt;&gt;"","Follow-Up",IF(I386&lt;&gt;"","Presented",IF(F386&lt;&gt;"","Contacted","New Lead"))))))</f>
        <v/>
      </c>
      <c r="S386" s="6"/>
      <c r="T386" s="6" t="str">
        <f aca="true">IF(MAX(F386,I386,K386)=0,"",TODAY()-MAX(F386,I386,K386))</f>
        <v/>
      </c>
      <c r="U386" s="6"/>
      <c r="V386" s="6"/>
      <c r="W386" s="6" t="str">
        <f aca="false">IF(AND($A386="",$B386=""),"",IF(M386="Ambassador","1 - Ambassador",IF(M386="Member","2 - Member",IF(J386="Completed","3 - Presented",IF(H386&lt;&gt;"","4 - Sent",IF(F386&lt;&gt;"","5 - Contacted","6 - No Activity"))))))</f>
        <v/>
      </c>
      <c r="X386" s="6" t="n">
        <f aca="false">IF(AND($A386="",$B386=""),9999999+(ROW()-4),VALUE(LEFT($W386,1))*10000+(ROW()-4))</f>
        <v>10000381</v>
      </c>
    </row>
    <row r="387" customFormat="false" ht="15" hidden="false" customHeight="true" outlineLevel="0" collapsed="false">
      <c r="A387" s="6"/>
      <c r="B387" s="6"/>
      <c r="C387" s="6"/>
      <c r="D387" s="6"/>
      <c r="E387" s="6"/>
      <c r="F387" s="7"/>
      <c r="G387" s="6"/>
      <c r="H387" s="6"/>
      <c r="I387" s="7"/>
      <c r="J387" s="6"/>
      <c r="K387" s="7"/>
      <c r="L387" s="6"/>
      <c r="M387" s="6"/>
      <c r="N387" s="7"/>
      <c r="O387" s="6"/>
      <c r="P387" s="6"/>
      <c r="Q387" s="7"/>
      <c r="R387" s="6" t="str">
        <f aca="false">IF(AND($A387="",$B387=""),"",IF(Q387="Complete","Onboarded",IF(OR(M387="Member",M387="Ambassador"),"Sponsored",IF(K387&lt;&gt;"","Follow-Up",IF(I387&lt;&gt;"","Presented",IF(F387&lt;&gt;"","Contacted","New Lead"))))))</f>
        <v/>
      </c>
      <c r="S387" s="6"/>
      <c r="T387" s="6" t="str">
        <f aca="true">IF(MAX(F387,I387,K387)=0,"",TODAY()-MAX(F387,I387,K387))</f>
        <v/>
      </c>
      <c r="U387" s="6"/>
      <c r="V387" s="6"/>
      <c r="W387" s="6" t="str">
        <f aca="false">IF(AND($A387="",$B387=""),"",IF(M387="Ambassador","1 - Ambassador",IF(M387="Member","2 - Member",IF(J387="Completed","3 - Presented",IF(H387&lt;&gt;"","4 - Sent",IF(F387&lt;&gt;"","5 - Contacted","6 - No Activity"))))))</f>
        <v/>
      </c>
      <c r="X387" s="6" t="n">
        <f aca="false">IF(AND($A387="",$B387=""),9999999+(ROW()-4),VALUE(LEFT($W387,1))*10000+(ROW()-4))</f>
        <v>10000382</v>
      </c>
    </row>
    <row r="388" customFormat="false" ht="15" hidden="false" customHeight="true" outlineLevel="0" collapsed="false">
      <c r="A388" s="6"/>
      <c r="B388" s="6"/>
      <c r="C388" s="6"/>
      <c r="D388" s="6"/>
      <c r="E388" s="6"/>
      <c r="F388" s="7"/>
      <c r="G388" s="6"/>
      <c r="H388" s="6"/>
      <c r="I388" s="7"/>
      <c r="J388" s="6"/>
      <c r="K388" s="7"/>
      <c r="L388" s="6"/>
      <c r="M388" s="6"/>
      <c r="N388" s="7"/>
      <c r="O388" s="6"/>
      <c r="P388" s="6"/>
      <c r="Q388" s="7"/>
      <c r="R388" s="6" t="str">
        <f aca="false">IF(AND($A388="",$B388=""),"",IF(Q388="Complete","Onboarded",IF(OR(M388="Member",M388="Ambassador"),"Sponsored",IF(K388&lt;&gt;"","Follow-Up",IF(I388&lt;&gt;"","Presented",IF(F388&lt;&gt;"","Contacted","New Lead"))))))</f>
        <v/>
      </c>
      <c r="S388" s="6"/>
      <c r="T388" s="6" t="str">
        <f aca="true">IF(MAX(F388,I388,K388)=0,"",TODAY()-MAX(F388,I388,K388))</f>
        <v/>
      </c>
      <c r="U388" s="6"/>
      <c r="V388" s="6"/>
      <c r="W388" s="6" t="str">
        <f aca="false">IF(AND($A388="",$B388=""),"",IF(M388="Ambassador","1 - Ambassador",IF(M388="Member","2 - Member",IF(J388="Completed","3 - Presented",IF(H388&lt;&gt;"","4 - Sent",IF(F388&lt;&gt;"","5 - Contacted","6 - No Activity"))))))</f>
        <v/>
      </c>
      <c r="X388" s="6" t="n">
        <f aca="false">IF(AND($A388="",$B388=""),9999999+(ROW()-4),VALUE(LEFT($W388,1))*10000+(ROW()-4))</f>
        <v>10000383</v>
      </c>
    </row>
    <row r="389" customFormat="false" ht="15" hidden="false" customHeight="true" outlineLevel="0" collapsed="false">
      <c r="A389" s="6"/>
      <c r="B389" s="6"/>
      <c r="C389" s="6"/>
      <c r="D389" s="6"/>
      <c r="E389" s="6"/>
      <c r="F389" s="7"/>
      <c r="G389" s="6"/>
      <c r="H389" s="6"/>
      <c r="I389" s="7"/>
      <c r="J389" s="6"/>
      <c r="K389" s="7"/>
      <c r="L389" s="6"/>
      <c r="M389" s="6"/>
      <c r="N389" s="7"/>
      <c r="O389" s="6"/>
      <c r="P389" s="6"/>
      <c r="Q389" s="7"/>
      <c r="R389" s="6" t="str">
        <f aca="false">IF(AND($A389="",$B389=""),"",IF(Q389="Complete","Onboarded",IF(OR(M389="Member",M389="Ambassador"),"Sponsored",IF(K389&lt;&gt;"","Follow-Up",IF(I389&lt;&gt;"","Presented",IF(F389&lt;&gt;"","Contacted","New Lead"))))))</f>
        <v/>
      </c>
      <c r="S389" s="6"/>
      <c r="T389" s="6" t="str">
        <f aca="true">IF(MAX(F389,I389,K389)=0,"",TODAY()-MAX(F389,I389,K389))</f>
        <v/>
      </c>
      <c r="U389" s="6"/>
      <c r="V389" s="6"/>
      <c r="W389" s="6" t="str">
        <f aca="false">IF(AND($A389="",$B389=""),"",IF(M389="Ambassador","1 - Ambassador",IF(M389="Member","2 - Member",IF(J389="Completed","3 - Presented",IF(H389&lt;&gt;"","4 - Sent",IF(F389&lt;&gt;"","5 - Contacted","6 - No Activity"))))))</f>
        <v/>
      </c>
      <c r="X389" s="6" t="n">
        <f aca="false">IF(AND($A389="",$B389=""),9999999+(ROW()-4),VALUE(LEFT($W389,1))*10000+(ROW()-4))</f>
        <v>10000384</v>
      </c>
    </row>
    <row r="390" customFormat="false" ht="15" hidden="false" customHeight="true" outlineLevel="0" collapsed="false">
      <c r="A390" s="6"/>
      <c r="B390" s="6"/>
      <c r="C390" s="6"/>
      <c r="D390" s="6"/>
      <c r="E390" s="6"/>
      <c r="F390" s="7"/>
      <c r="G390" s="6"/>
      <c r="H390" s="6"/>
      <c r="I390" s="7"/>
      <c r="J390" s="6"/>
      <c r="K390" s="7"/>
      <c r="L390" s="6"/>
      <c r="M390" s="6"/>
      <c r="N390" s="7"/>
      <c r="O390" s="6"/>
      <c r="P390" s="6"/>
      <c r="Q390" s="7"/>
      <c r="R390" s="6" t="str">
        <f aca="false">IF(AND($A390="",$B390=""),"",IF(Q390="Complete","Onboarded",IF(OR(M390="Member",M390="Ambassador"),"Sponsored",IF(K390&lt;&gt;"","Follow-Up",IF(I390&lt;&gt;"","Presented",IF(F390&lt;&gt;"","Contacted","New Lead"))))))</f>
        <v/>
      </c>
      <c r="S390" s="6"/>
      <c r="T390" s="6" t="str">
        <f aca="true">IF(MAX(F390,I390,K390)=0,"",TODAY()-MAX(F390,I390,K390))</f>
        <v/>
      </c>
      <c r="U390" s="6"/>
      <c r="V390" s="6"/>
      <c r="W390" s="6" t="str">
        <f aca="false">IF(AND($A390="",$B390=""),"",IF(M390="Ambassador","1 - Ambassador",IF(M390="Member","2 - Member",IF(J390="Completed","3 - Presented",IF(H390&lt;&gt;"","4 - Sent",IF(F390&lt;&gt;"","5 - Contacted","6 - No Activity"))))))</f>
        <v/>
      </c>
      <c r="X390" s="6" t="n">
        <f aca="false">IF(AND($A390="",$B390=""),9999999+(ROW()-4),VALUE(LEFT($W390,1))*10000+(ROW()-4))</f>
        <v>10000385</v>
      </c>
    </row>
    <row r="391" customFormat="false" ht="15" hidden="false" customHeight="true" outlineLevel="0" collapsed="false">
      <c r="A391" s="6"/>
      <c r="B391" s="6"/>
      <c r="C391" s="6"/>
      <c r="D391" s="6"/>
      <c r="E391" s="6"/>
      <c r="F391" s="7"/>
      <c r="G391" s="6"/>
      <c r="H391" s="6"/>
      <c r="I391" s="7"/>
      <c r="J391" s="6"/>
      <c r="K391" s="7"/>
      <c r="L391" s="6"/>
      <c r="M391" s="6"/>
      <c r="N391" s="7"/>
      <c r="O391" s="6"/>
      <c r="P391" s="6"/>
      <c r="Q391" s="7"/>
      <c r="R391" s="6" t="str">
        <f aca="false">IF(AND($A391="",$B391=""),"",IF(Q391="Complete","Onboarded",IF(OR(M391="Member",M391="Ambassador"),"Sponsored",IF(K391&lt;&gt;"","Follow-Up",IF(I391&lt;&gt;"","Presented",IF(F391&lt;&gt;"","Contacted","New Lead"))))))</f>
        <v/>
      </c>
      <c r="S391" s="6"/>
      <c r="T391" s="6" t="str">
        <f aca="true">IF(MAX(F391,I391,K391)=0,"",TODAY()-MAX(F391,I391,K391))</f>
        <v/>
      </c>
      <c r="U391" s="6"/>
      <c r="V391" s="6"/>
      <c r="W391" s="6" t="str">
        <f aca="false">IF(AND($A391="",$B391=""),"",IF(M391="Ambassador","1 - Ambassador",IF(M391="Member","2 - Member",IF(J391="Completed","3 - Presented",IF(H391&lt;&gt;"","4 - Sent",IF(F391&lt;&gt;"","5 - Contacted","6 - No Activity"))))))</f>
        <v/>
      </c>
      <c r="X391" s="6" t="n">
        <f aca="false">IF(AND($A391="",$B391=""),9999999+(ROW()-4),VALUE(LEFT($W391,1))*10000+(ROW()-4))</f>
        <v>10000386</v>
      </c>
    </row>
    <row r="392" customFormat="false" ht="15" hidden="false" customHeight="true" outlineLevel="0" collapsed="false">
      <c r="A392" s="6"/>
      <c r="B392" s="6"/>
      <c r="C392" s="6"/>
      <c r="D392" s="6"/>
      <c r="E392" s="6"/>
      <c r="F392" s="7"/>
      <c r="G392" s="6"/>
      <c r="H392" s="6"/>
      <c r="I392" s="7"/>
      <c r="J392" s="6"/>
      <c r="K392" s="7"/>
      <c r="L392" s="6"/>
      <c r="M392" s="6"/>
      <c r="N392" s="7"/>
      <c r="O392" s="6"/>
      <c r="P392" s="6"/>
      <c r="Q392" s="7"/>
      <c r="R392" s="6" t="str">
        <f aca="false">IF(AND($A392="",$B392=""),"",IF(Q392="Complete","Onboarded",IF(OR(M392="Member",M392="Ambassador"),"Sponsored",IF(K392&lt;&gt;"","Follow-Up",IF(I392&lt;&gt;"","Presented",IF(F392&lt;&gt;"","Contacted","New Lead"))))))</f>
        <v/>
      </c>
      <c r="S392" s="6"/>
      <c r="T392" s="6" t="str">
        <f aca="true">IF(MAX(F392,I392,K392)=0,"",TODAY()-MAX(F392,I392,K392))</f>
        <v/>
      </c>
      <c r="U392" s="6"/>
      <c r="V392" s="6"/>
      <c r="W392" s="6" t="str">
        <f aca="false">IF(AND($A392="",$B392=""),"",IF(M392="Ambassador","1 - Ambassador",IF(M392="Member","2 - Member",IF(J392="Completed","3 - Presented",IF(H392&lt;&gt;"","4 - Sent",IF(F392&lt;&gt;"","5 - Contacted","6 - No Activity"))))))</f>
        <v/>
      </c>
      <c r="X392" s="6" t="n">
        <f aca="false">IF(AND($A392="",$B392=""),9999999+(ROW()-4),VALUE(LEFT($W392,1))*10000+(ROW()-4))</f>
        <v>10000387</v>
      </c>
    </row>
    <row r="393" customFormat="false" ht="15" hidden="false" customHeight="true" outlineLevel="0" collapsed="false">
      <c r="A393" s="6"/>
      <c r="B393" s="6"/>
      <c r="C393" s="6"/>
      <c r="D393" s="6"/>
      <c r="E393" s="6"/>
      <c r="F393" s="7"/>
      <c r="G393" s="6"/>
      <c r="H393" s="6"/>
      <c r="I393" s="7"/>
      <c r="J393" s="6"/>
      <c r="K393" s="7"/>
      <c r="L393" s="6"/>
      <c r="M393" s="6"/>
      <c r="N393" s="7"/>
      <c r="O393" s="6"/>
      <c r="P393" s="6"/>
      <c r="Q393" s="7"/>
      <c r="R393" s="6" t="str">
        <f aca="false">IF(AND($A393="",$B393=""),"",IF(Q393="Complete","Onboarded",IF(OR(M393="Member",M393="Ambassador"),"Sponsored",IF(K393&lt;&gt;"","Follow-Up",IF(I393&lt;&gt;"","Presented",IF(F393&lt;&gt;"","Contacted","New Lead"))))))</f>
        <v/>
      </c>
      <c r="S393" s="6"/>
      <c r="T393" s="6" t="str">
        <f aca="true">IF(MAX(F393,I393,K393)=0,"",TODAY()-MAX(F393,I393,K393))</f>
        <v/>
      </c>
      <c r="U393" s="6"/>
      <c r="V393" s="6"/>
      <c r="W393" s="6" t="str">
        <f aca="false">IF(AND($A393="",$B393=""),"",IF(M393="Ambassador","1 - Ambassador",IF(M393="Member","2 - Member",IF(J393="Completed","3 - Presented",IF(H393&lt;&gt;"","4 - Sent",IF(F393&lt;&gt;"","5 - Contacted","6 - No Activity"))))))</f>
        <v/>
      </c>
      <c r="X393" s="6" t="n">
        <f aca="false">IF(AND($A393="",$B393=""),9999999+(ROW()-4),VALUE(LEFT($W393,1))*10000+(ROW()-4))</f>
        <v>10000388</v>
      </c>
    </row>
    <row r="394" customFormat="false" ht="15" hidden="false" customHeight="true" outlineLevel="0" collapsed="false">
      <c r="A394" s="6"/>
      <c r="B394" s="6"/>
      <c r="C394" s="6"/>
      <c r="D394" s="6"/>
      <c r="E394" s="6"/>
      <c r="F394" s="7"/>
      <c r="G394" s="6"/>
      <c r="H394" s="6"/>
      <c r="I394" s="7"/>
      <c r="J394" s="6"/>
      <c r="K394" s="7"/>
      <c r="L394" s="6"/>
      <c r="M394" s="6"/>
      <c r="N394" s="7"/>
      <c r="O394" s="6"/>
      <c r="P394" s="6"/>
      <c r="Q394" s="7"/>
      <c r="R394" s="6" t="str">
        <f aca="false">IF(AND($A394="",$B394=""),"",IF(Q394="Complete","Onboarded",IF(OR(M394="Member",M394="Ambassador"),"Sponsored",IF(K394&lt;&gt;"","Follow-Up",IF(I394&lt;&gt;"","Presented",IF(F394&lt;&gt;"","Contacted","New Lead"))))))</f>
        <v/>
      </c>
      <c r="S394" s="6"/>
      <c r="T394" s="6" t="str">
        <f aca="true">IF(MAX(F394,I394,K394)=0,"",TODAY()-MAX(F394,I394,K394))</f>
        <v/>
      </c>
      <c r="U394" s="6"/>
      <c r="V394" s="6"/>
      <c r="W394" s="6" t="str">
        <f aca="false">IF(AND($A394="",$B394=""),"",IF(M394="Ambassador","1 - Ambassador",IF(M394="Member","2 - Member",IF(J394="Completed","3 - Presented",IF(H394&lt;&gt;"","4 - Sent",IF(F394&lt;&gt;"","5 - Contacted","6 - No Activity"))))))</f>
        <v/>
      </c>
      <c r="X394" s="6" t="n">
        <f aca="false">IF(AND($A394="",$B394=""),9999999+(ROW()-4),VALUE(LEFT($W394,1))*10000+(ROW()-4))</f>
        <v>10000389</v>
      </c>
    </row>
    <row r="395" customFormat="false" ht="15" hidden="false" customHeight="true" outlineLevel="0" collapsed="false">
      <c r="A395" s="6"/>
      <c r="B395" s="6"/>
      <c r="C395" s="6"/>
      <c r="D395" s="6"/>
      <c r="E395" s="6"/>
      <c r="F395" s="7"/>
      <c r="G395" s="6"/>
      <c r="H395" s="6"/>
      <c r="I395" s="7"/>
      <c r="J395" s="6"/>
      <c r="K395" s="7"/>
      <c r="L395" s="6"/>
      <c r="M395" s="6"/>
      <c r="N395" s="7"/>
      <c r="O395" s="6"/>
      <c r="P395" s="6"/>
      <c r="Q395" s="7"/>
      <c r="R395" s="6" t="str">
        <f aca="false">IF(AND($A395="",$B395=""),"",IF(Q395="Complete","Onboarded",IF(OR(M395="Member",M395="Ambassador"),"Sponsored",IF(K395&lt;&gt;"","Follow-Up",IF(I395&lt;&gt;"","Presented",IF(F395&lt;&gt;"","Contacted","New Lead"))))))</f>
        <v/>
      </c>
      <c r="S395" s="6"/>
      <c r="T395" s="6" t="str">
        <f aca="true">IF(MAX(F395,I395,K395)=0,"",TODAY()-MAX(F395,I395,K395))</f>
        <v/>
      </c>
      <c r="U395" s="6"/>
      <c r="V395" s="6"/>
      <c r="W395" s="6" t="str">
        <f aca="false">IF(AND($A395="",$B395=""),"",IF(M395="Ambassador","1 - Ambassador",IF(M395="Member","2 - Member",IF(J395="Completed","3 - Presented",IF(H395&lt;&gt;"","4 - Sent",IF(F395&lt;&gt;"","5 - Contacted","6 - No Activity"))))))</f>
        <v/>
      </c>
      <c r="X395" s="6" t="n">
        <f aca="false">IF(AND($A395="",$B395=""),9999999+(ROW()-4),VALUE(LEFT($W395,1))*10000+(ROW()-4))</f>
        <v>10000390</v>
      </c>
    </row>
    <row r="396" customFormat="false" ht="15" hidden="false" customHeight="true" outlineLevel="0" collapsed="false">
      <c r="A396" s="6"/>
      <c r="B396" s="6"/>
      <c r="C396" s="6"/>
      <c r="D396" s="6"/>
      <c r="E396" s="6"/>
      <c r="F396" s="7"/>
      <c r="G396" s="6"/>
      <c r="H396" s="6"/>
      <c r="I396" s="7"/>
      <c r="J396" s="6"/>
      <c r="K396" s="7"/>
      <c r="L396" s="6"/>
      <c r="M396" s="6"/>
      <c r="N396" s="7"/>
      <c r="O396" s="6"/>
      <c r="P396" s="6"/>
      <c r="Q396" s="7"/>
      <c r="R396" s="6" t="str">
        <f aca="false">IF(AND($A396="",$B396=""),"",IF(Q396="Complete","Onboarded",IF(OR(M396="Member",M396="Ambassador"),"Sponsored",IF(K396&lt;&gt;"","Follow-Up",IF(I396&lt;&gt;"","Presented",IF(F396&lt;&gt;"","Contacted","New Lead"))))))</f>
        <v/>
      </c>
      <c r="S396" s="6"/>
      <c r="T396" s="6" t="str">
        <f aca="true">IF(MAX(F396,I396,K396)=0,"",TODAY()-MAX(F396,I396,K396))</f>
        <v/>
      </c>
      <c r="U396" s="6"/>
      <c r="V396" s="6"/>
      <c r="W396" s="6" t="str">
        <f aca="false">IF(AND($A396="",$B396=""),"",IF(M396="Ambassador","1 - Ambassador",IF(M396="Member","2 - Member",IF(J396="Completed","3 - Presented",IF(H396&lt;&gt;"","4 - Sent",IF(F396&lt;&gt;"","5 - Contacted","6 - No Activity"))))))</f>
        <v/>
      </c>
      <c r="X396" s="6" t="n">
        <f aca="false">IF(AND($A396="",$B396=""),9999999+(ROW()-4),VALUE(LEFT($W396,1))*10000+(ROW()-4))</f>
        <v>10000391</v>
      </c>
    </row>
    <row r="397" customFormat="false" ht="15" hidden="false" customHeight="true" outlineLevel="0" collapsed="false">
      <c r="A397" s="6"/>
      <c r="B397" s="6"/>
      <c r="C397" s="6"/>
      <c r="D397" s="6"/>
      <c r="E397" s="6"/>
      <c r="F397" s="7"/>
      <c r="G397" s="6"/>
      <c r="H397" s="6"/>
      <c r="I397" s="7"/>
      <c r="J397" s="6"/>
      <c r="K397" s="7"/>
      <c r="L397" s="6"/>
      <c r="M397" s="6"/>
      <c r="N397" s="7"/>
      <c r="O397" s="6"/>
      <c r="P397" s="6"/>
      <c r="Q397" s="7"/>
      <c r="R397" s="6" t="str">
        <f aca="false">IF(AND($A397="",$B397=""),"",IF(Q397="Complete","Onboarded",IF(OR(M397="Member",M397="Ambassador"),"Sponsored",IF(K397&lt;&gt;"","Follow-Up",IF(I397&lt;&gt;"","Presented",IF(F397&lt;&gt;"","Contacted","New Lead"))))))</f>
        <v/>
      </c>
      <c r="S397" s="6"/>
      <c r="T397" s="6" t="str">
        <f aca="true">IF(MAX(F397,I397,K397)=0,"",TODAY()-MAX(F397,I397,K397))</f>
        <v/>
      </c>
      <c r="U397" s="6"/>
      <c r="V397" s="6"/>
      <c r="W397" s="6" t="str">
        <f aca="false">IF(AND($A397="",$B397=""),"",IF(M397="Ambassador","1 - Ambassador",IF(M397="Member","2 - Member",IF(J397="Completed","3 - Presented",IF(H397&lt;&gt;"","4 - Sent",IF(F397&lt;&gt;"","5 - Contacted","6 - No Activity"))))))</f>
        <v/>
      </c>
      <c r="X397" s="6" t="n">
        <f aca="false">IF(AND($A397="",$B397=""),9999999+(ROW()-4),VALUE(LEFT($W397,1))*10000+(ROW()-4))</f>
        <v>10000392</v>
      </c>
    </row>
    <row r="398" customFormat="false" ht="15" hidden="false" customHeight="true" outlineLevel="0" collapsed="false">
      <c r="A398" s="6"/>
      <c r="B398" s="6"/>
      <c r="C398" s="6"/>
      <c r="D398" s="6"/>
      <c r="E398" s="6"/>
      <c r="F398" s="7"/>
      <c r="G398" s="6"/>
      <c r="H398" s="6"/>
      <c r="I398" s="7"/>
      <c r="J398" s="6"/>
      <c r="K398" s="7"/>
      <c r="L398" s="6"/>
      <c r="M398" s="6"/>
      <c r="N398" s="7"/>
      <c r="O398" s="6"/>
      <c r="P398" s="6"/>
      <c r="Q398" s="7"/>
      <c r="R398" s="6" t="str">
        <f aca="false">IF(AND($A398="",$B398=""),"",IF(Q398="Complete","Onboarded",IF(OR(M398="Member",M398="Ambassador"),"Sponsored",IF(K398&lt;&gt;"","Follow-Up",IF(I398&lt;&gt;"","Presented",IF(F398&lt;&gt;"","Contacted","New Lead"))))))</f>
        <v/>
      </c>
      <c r="S398" s="6"/>
      <c r="T398" s="6" t="str">
        <f aca="true">IF(MAX(F398,I398,K398)=0,"",TODAY()-MAX(F398,I398,K398))</f>
        <v/>
      </c>
      <c r="U398" s="6"/>
      <c r="V398" s="6"/>
      <c r="W398" s="6" t="str">
        <f aca="false">IF(AND($A398="",$B398=""),"",IF(M398="Ambassador","1 - Ambassador",IF(M398="Member","2 - Member",IF(J398="Completed","3 - Presented",IF(H398&lt;&gt;"","4 - Sent",IF(F398&lt;&gt;"","5 - Contacted","6 - No Activity"))))))</f>
        <v/>
      </c>
      <c r="X398" s="6" t="n">
        <f aca="false">IF(AND($A398="",$B398=""),9999999+(ROW()-4),VALUE(LEFT($W398,1))*10000+(ROW()-4))</f>
        <v>10000393</v>
      </c>
    </row>
    <row r="399" customFormat="false" ht="15" hidden="false" customHeight="true" outlineLevel="0" collapsed="false">
      <c r="A399" s="6"/>
      <c r="B399" s="6"/>
      <c r="C399" s="6"/>
      <c r="D399" s="6"/>
      <c r="E399" s="6"/>
      <c r="F399" s="7"/>
      <c r="G399" s="6"/>
      <c r="H399" s="6"/>
      <c r="I399" s="7"/>
      <c r="J399" s="6"/>
      <c r="K399" s="7"/>
      <c r="L399" s="6"/>
      <c r="M399" s="6"/>
      <c r="N399" s="7"/>
      <c r="O399" s="6"/>
      <c r="P399" s="6"/>
      <c r="Q399" s="7"/>
      <c r="R399" s="6" t="str">
        <f aca="false">IF(AND($A399="",$B399=""),"",IF(Q399="Complete","Onboarded",IF(OR(M399="Member",M399="Ambassador"),"Sponsored",IF(K399&lt;&gt;"","Follow-Up",IF(I399&lt;&gt;"","Presented",IF(F399&lt;&gt;"","Contacted","New Lead"))))))</f>
        <v/>
      </c>
      <c r="S399" s="6"/>
      <c r="T399" s="6" t="str">
        <f aca="true">IF(MAX(F399,I399,K399)=0,"",TODAY()-MAX(F399,I399,K399))</f>
        <v/>
      </c>
      <c r="U399" s="6"/>
      <c r="V399" s="6"/>
      <c r="W399" s="6" t="str">
        <f aca="false">IF(AND($A399="",$B399=""),"",IF(M399="Ambassador","1 - Ambassador",IF(M399="Member","2 - Member",IF(J399="Completed","3 - Presented",IF(H399&lt;&gt;"","4 - Sent",IF(F399&lt;&gt;"","5 - Contacted","6 - No Activity"))))))</f>
        <v/>
      </c>
      <c r="X399" s="6" t="n">
        <f aca="false">IF(AND($A399="",$B399=""),9999999+(ROW()-4),VALUE(LEFT($W399,1))*10000+(ROW()-4))</f>
        <v>10000394</v>
      </c>
    </row>
    <row r="400" customFormat="false" ht="15" hidden="false" customHeight="true" outlineLevel="0" collapsed="false">
      <c r="A400" s="6"/>
      <c r="B400" s="6"/>
      <c r="C400" s="6"/>
      <c r="D400" s="6"/>
      <c r="E400" s="6"/>
      <c r="F400" s="7"/>
      <c r="G400" s="6"/>
      <c r="H400" s="6"/>
      <c r="I400" s="7"/>
      <c r="J400" s="6"/>
      <c r="K400" s="7"/>
      <c r="L400" s="6"/>
      <c r="M400" s="6"/>
      <c r="N400" s="7"/>
      <c r="O400" s="6"/>
      <c r="P400" s="6"/>
      <c r="Q400" s="7"/>
      <c r="R400" s="6" t="str">
        <f aca="false">IF(AND($A400="",$B400=""),"",IF(Q400="Complete","Onboarded",IF(OR(M400="Member",M400="Ambassador"),"Sponsored",IF(K400&lt;&gt;"","Follow-Up",IF(I400&lt;&gt;"","Presented",IF(F400&lt;&gt;"","Contacted","New Lead"))))))</f>
        <v/>
      </c>
      <c r="S400" s="6"/>
      <c r="T400" s="6" t="str">
        <f aca="true">IF(MAX(F400,I400,K400)=0,"",TODAY()-MAX(F400,I400,K400))</f>
        <v/>
      </c>
      <c r="U400" s="6"/>
      <c r="V400" s="6"/>
      <c r="W400" s="6" t="str">
        <f aca="false">IF(AND($A400="",$B400=""),"",IF(M400="Ambassador","1 - Ambassador",IF(M400="Member","2 - Member",IF(J400="Completed","3 - Presented",IF(H400&lt;&gt;"","4 - Sent",IF(F400&lt;&gt;"","5 - Contacted","6 - No Activity"))))))</f>
        <v/>
      </c>
      <c r="X400" s="6" t="n">
        <f aca="false">IF(AND($A400="",$B400=""),9999999+(ROW()-4),VALUE(LEFT($W400,1))*10000+(ROW()-4))</f>
        <v>10000395</v>
      </c>
    </row>
    <row r="401" customFormat="false" ht="15" hidden="false" customHeight="true" outlineLevel="0" collapsed="false">
      <c r="A401" s="6"/>
      <c r="B401" s="6"/>
      <c r="C401" s="6"/>
      <c r="D401" s="6"/>
      <c r="E401" s="6"/>
      <c r="F401" s="7"/>
      <c r="G401" s="6"/>
      <c r="H401" s="6"/>
      <c r="I401" s="7"/>
      <c r="J401" s="6"/>
      <c r="K401" s="7"/>
      <c r="L401" s="6"/>
      <c r="M401" s="6"/>
      <c r="N401" s="7"/>
      <c r="O401" s="6"/>
      <c r="P401" s="6"/>
      <c r="Q401" s="7"/>
      <c r="R401" s="6" t="str">
        <f aca="false">IF(AND($A401="",$B401=""),"",IF(Q401="Complete","Onboarded",IF(OR(M401="Member",M401="Ambassador"),"Sponsored",IF(K401&lt;&gt;"","Follow-Up",IF(I401&lt;&gt;"","Presented",IF(F401&lt;&gt;"","Contacted","New Lead"))))))</f>
        <v/>
      </c>
      <c r="S401" s="6"/>
      <c r="T401" s="6" t="str">
        <f aca="true">IF(MAX(F401,I401,K401)=0,"",TODAY()-MAX(F401,I401,K401))</f>
        <v/>
      </c>
      <c r="U401" s="6"/>
      <c r="V401" s="6"/>
      <c r="W401" s="6" t="str">
        <f aca="false">IF(AND($A401="",$B401=""),"",IF(M401="Ambassador","1 - Ambassador",IF(M401="Member","2 - Member",IF(J401="Completed","3 - Presented",IF(H401&lt;&gt;"","4 - Sent",IF(F401&lt;&gt;"","5 - Contacted","6 - No Activity"))))))</f>
        <v/>
      </c>
      <c r="X401" s="6" t="n">
        <f aca="false">IF(AND($A401="",$B401=""),9999999+(ROW()-4),VALUE(LEFT($W401,1))*10000+(ROW()-4))</f>
        <v>10000396</v>
      </c>
    </row>
    <row r="402" customFormat="false" ht="15" hidden="false" customHeight="true" outlineLevel="0" collapsed="false">
      <c r="A402" s="6"/>
      <c r="B402" s="6"/>
      <c r="C402" s="6"/>
      <c r="D402" s="6"/>
      <c r="E402" s="6"/>
      <c r="F402" s="7"/>
      <c r="G402" s="6"/>
      <c r="H402" s="6"/>
      <c r="I402" s="7"/>
      <c r="J402" s="6"/>
      <c r="K402" s="7"/>
      <c r="L402" s="6"/>
      <c r="M402" s="6"/>
      <c r="N402" s="7"/>
      <c r="O402" s="6"/>
      <c r="P402" s="6"/>
      <c r="Q402" s="7"/>
      <c r="R402" s="6" t="str">
        <f aca="false">IF(AND($A402="",$B402=""),"",IF(Q402="Complete","Onboarded",IF(OR(M402="Member",M402="Ambassador"),"Sponsored",IF(K402&lt;&gt;"","Follow-Up",IF(I402&lt;&gt;"","Presented",IF(F402&lt;&gt;"","Contacted","New Lead"))))))</f>
        <v/>
      </c>
      <c r="S402" s="6"/>
      <c r="T402" s="6" t="str">
        <f aca="true">IF(MAX(F402,I402,K402)=0,"",TODAY()-MAX(F402,I402,K402))</f>
        <v/>
      </c>
      <c r="U402" s="6"/>
      <c r="V402" s="6"/>
      <c r="W402" s="6" t="str">
        <f aca="false">IF(AND($A402="",$B402=""),"",IF(M402="Ambassador","1 - Ambassador",IF(M402="Member","2 - Member",IF(J402="Completed","3 - Presented",IF(H402&lt;&gt;"","4 - Sent",IF(F402&lt;&gt;"","5 - Contacted","6 - No Activity"))))))</f>
        <v/>
      </c>
      <c r="X402" s="6" t="n">
        <f aca="false">IF(AND($A402="",$B402=""),9999999+(ROW()-4),VALUE(LEFT($W402,1))*10000+(ROW()-4))</f>
        <v>10000397</v>
      </c>
    </row>
    <row r="403" customFormat="false" ht="15" hidden="false" customHeight="true" outlineLevel="0" collapsed="false">
      <c r="A403" s="6"/>
      <c r="B403" s="6"/>
      <c r="C403" s="6"/>
      <c r="D403" s="6"/>
      <c r="E403" s="6"/>
      <c r="F403" s="7"/>
      <c r="G403" s="6"/>
      <c r="H403" s="6"/>
      <c r="I403" s="7"/>
      <c r="J403" s="6"/>
      <c r="K403" s="7"/>
      <c r="L403" s="6"/>
      <c r="M403" s="6"/>
      <c r="N403" s="7"/>
      <c r="O403" s="6"/>
      <c r="P403" s="6"/>
      <c r="Q403" s="7"/>
      <c r="R403" s="6" t="str">
        <f aca="false">IF(AND($A403="",$B403=""),"",IF(Q403="Complete","Onboarded",IF(OR(M403="Member",M403="Ambassador"),"Sponsored",IF(K403&lt;&gt;"","Follow-Up",IF(I403&lt;&gt;"","Presented",IF(F403&lt;&gt;"","Contacted","New Lead"))))))</f>
        <v/>
      </c>
      <c r="S403" s="6"/>
      <c r="T403" s="6" t="str">
        <f aca="true">IF(MAX(F403,I403,K403)=0,"",TODAY()-MAX(F403,I403,K403))</f>
        <v/>
      </c>
      <c r="U403" s="6"/>
      <c r="V403" s="6"/>
      <c r="W403" s="6" t="str">
        <f aca="false">IF(AND($A403="",$B403=""),"",IF(M403="Ambassador","1 - Ambassador",IF(M403="Member","2 - Member",IF(J403="Completed","3 - Presented",IF(H403&lt;&gt;"","4 - Sent",IF(F403&lt;&gt;"","5 - Contacted","6 - No Activity"))))))</f>
        <v/>
      </c>
      <c r="X403" s="6" t="n">
        <f aca="false">IF(AND($A403="",$B403=""),9999999+(ROW()-4),VALUE(LEFT($W403,1))*10000+(ROW()-4))</f>
        <v>10000398</v>
      </c>
    </row>
    <row r="404" customFormat="false" ht="15" hidden="false" customHeight="true" outlineLevel="0" collapsed="false">
      <c r="A404" s="6"/>
      <c r="B404" s="6"/>
      <c r="C404" s="6"/>
      <c r="D404" s="6"/>
      <c r="E404" s="6"/>
      <c r="F404" s="7"/>
      <c r="G404" s="6"/>
      <c r="H404" s="6"/>
      <c r="I404" s="7"/>
      <c r="J404" s="6"/>
      <c r="K404" s="7"/>
      <c r="L404" s="6"/>
      <c r="M404" s="6"/>
      <c r="N404" s="7"/>
      <c r="O404" s="6"/>
      <c r="P404" s="6"/>
      <c r="Q404" s="7"/>
      <c r="R404" s="6" t="str">
        <f aca="false">IF(AND($A404="",$B404=""),"",IF(Q404="Complete","Onboarded",IF(OR(M404="Member",M404="Ambassador"),"Sponsored",IF(K404&lt;&gt;"","Follow-Up",IF(I404&lt;&gt;"","Presented",IF(F404&lt;&gt;"","Contacted","New Lead"))))))</f>
        <v/>
      </c>
      <c r="S404" s="6"/>
      <c r="T404" s="6" t="str">
        <f aca="true">IF(MAX(F404,I404,K404)=0,"",TODAY()-MAX(F404,I404,K404))</f>
        <v/>
      </c>
      <c r="U404" s="6"/>
      <c r="V404" s="6"/>
      <c r="W404" s="6" t="str">
        <f aca="false">IF(AND($A404="",$B404=""),"",IF(M404="Ambassador","1 - Ambassador",IF(M404="Member","2 - Member",IF(J404="Completed","3 - Presented",IF(H404&lt;&gt;"","4 - Sent",IF(F404&lt;&gt;"","5 - Contacted","6 - No Activity"))))))</f>
        <v/>
      </c>
      <c r="X404" s="6" t="n">
        <f aca="false">IF(AND($A404="",$B404=""),9999999+(ROW()-4),VALUE(LEFT($W404,1))*10000+(ROW()-4))</f>
        <v>10000399</v>
      </c>
    </row>
    <row r="405" customFormat="false" ht="15" hidden="false" customHeight="true" outlineLevel="0" collapsed="false">
      <c r="A405" s="6"/>
      <c r="B405" s="6"/>
      <c r="C405" s="6"/>
      <c r="D405" s="6"/>
      <c r="E405" s="6"/>
      <c r="F405" s="7"/>
      <c r="G405" s="6"/>
      <c r="H405" s="6"/>
      <c r="I405" s="7"/>
      <c r="J405" s="6"/>
      <c r="K405" s="7"/>
      <c r="L405" s="6"/>
      <c r="M405" s="6"/>
      <c r="N405" s="7"/>
      <c r="O405" s="6"/>
      <c r="P405" s="6"/>
      <c r="Q405" s="7"/>
      <c r="R405" s="6" t="str">
        <f aca="false">IF(AND($A405="",$B405=""),"",IF(Q405="Complete","Onboarded",IF(OR(M405="Member",M405="Ambassador"),"Sponsored",IF(K405&lt;&gt;"","Follow-Up",IF(I405&lt;&gt;"","Presented",IF(F405&lt;&gt;"","Contacted","New Lead"))))))</f>
        <v/>
      </c>
      <c r="S405" s="6"/>
      <c r="T405" s="6" t="str">
        <f aca="true">IF(MAX(F405,I405,K405)=0,"",TODAY()-MAX(F405,I405,K405))</f>
        <v/>
      </c>
      <c r="U405" s="6"/>
      <c r="V405" s="6"/>
      <c r="W405" s="6" t="str">
        <f aca="false">IF(AND($A405="",$B405=""),"",IF(M405="Ambassador","1 - Ambassador",IF(M405="Member","2 - Member",IF(J405="Completed","3 - Presented",IF(H405&lt;&gt;"","4 - Sent",IF(F405&lt;&gt;"","5 - Contacted","6 - No Activity"))))))</f>
        <v/>
      </c>
      <c r="X405" s="6" t="n">
        <f aca="false">IF(AND($A405="",$B405=""),9999999+(ROW()-4),VALUE(LEFT($W405,1))*10000+(ROW()-4))</f>
        <v>10000400</v>
      </c>
    </row>
    <row r="406" customFormat="false" ht="15" hidden="false" customHeight="true" outlineLevel="0" collapsed="false">
      <c r="A406" s="6"/>
      <c r="B406" s="6"/>
      <c r="C406" s="6"/>
      <c r="D406" s="6"/>
      <c r="E406" s="6"/>
      <c r="F406" s="7"/>
      <c r="G406" s="6"/>
      <c r="H406" s="6"/>
      <c r="I406" s="7"/>
      <c r="J406" s="6"/>
      <c r="K406" s="7"/>
      <c r="L406" s="6"/>
      <c r="M406" s="6"/>
      <c r="N406" s="7"/>
      <c r="O406" s="6"/>
      <c r="P406" s="6"/>
      <c r="Q406" s="7"/>
      <c r="R406" s="6" t="str">
        <f aca="false">IF(AND($A406="",$B406=""),"",IF(Q406="Complete","Onboarded",IF(OR(M406="Member",M406="Ambassador"),"Sponsored",IF(K406&lt;&gt;"","Follow-Up",IF(I406&lt;&gt;"","Presented",IF(F406&lt;&gt;"","Contacted","New Lead"))))))</f>
        <v/>
      </c>
      <c r="S406" s="6"/>
      <c r="T406" s="6" t="str">
        <f aca="true">IF(MAX(F406,I406,K406)=0,"",TODAY()-MAX(F406,I406,K406))</f>
        <v/>
      </c>
      <c r="U406" s="6"/>
      <c r="V406" s="6"/>
      <c r="W406" s="6" t="str">
        <f aca="false">IF(AND($A406="",$B406=""),"",IF(M406="Ambassador","1 - Ambassador",IF(M406="Member","2 - Member",IF(J406="Completed","3 - Presented",IF(H406&lt;&gt;"","4 - Sent",IF(F406&lt;&gt;"","5 - Contacted","6 - No Activity"))))))</f>
        <v/>
      </c>
      <c r="X406" s="6" t="n">
        <f aca="false">IF(AND($A406="",$B406=""),9999999+(ROW()-4),VALUE(LEFT($W406,1))*10000+(ROW()-4))</f>
        <v>10000401</v>
      </c>
    </row>
    <row r="407" customFormat="false" ht="15" hidden="false" customHeight="true" outlineLevel="0" collapsed="false">
      <c r="A407" s="6"/>
      <c r="B407" s="6"/>
      <c r="C407" s="6"/>
      <c r="D407" s="6"/>
      <c r="E407" s="6"/>
      <c r="F407" s="7"/>
      <c r="G407" s="6"/>
      <c r="H407" s="6"/>
      <c r="I407" s="7"/>
      <c r="J407" s="6"/>
      <c r="K407" s="7"/>
      <c r="L407" s="6"/>
      <c r="M407" s="6"/>
      <c r="N407" s="7"/>
      <c r="O407" s="6"/>
      <c r="P407" s="6"/>
      <c r="Q407" s="7"/>
      <c r="R407" s="6" t="str">
        <f aca="false">IF(AND($A407="",$B407=""),"",IF(Q407="Complete","Onboarded",IF(OR(M407="Member",M407="Ambassador"),"Sponsored",IF(K407&lt;&gt;"","Follow-Up",IF(I407&lt;&gt;"","Presented",IF(F407&lt;&gt;"","Contacted","New Lead"))))))</f>
        <v/>
      </c>
      <c r="S407" s="6"/>
      <c r="T407" s="6" t="str">
        <f aca="true">IF(MAX(F407,I407,K407)=0,"",TODAY()-MAX(F407,I407,K407))</f>
        <v/>
      </c>
      <c r="U407" s="6"/>
      <c r="V407" s="6"/>
      <c r="W407" s="6" t="str">
        <f aca="false">IF(AND($A407="",$B407=""),"",IF(M407="Ambassador","1 - Ambassador",IF(M407="Member","2 - Member",IF(J407="Completed","3 - Presented",IF(H407&lt;&gt;"","4 - Sent",IF(F407&lt;&gt;"","5 - Contacted","6 - No Activity"))))))</f>
        <v/>
      </c>
      <c r="X407" s="6" t="n">
        <f aca="false">IF(AND($A407="",$B407=""),9999999+(ROW()-4),VALUE(LEFT($W407,1))*10000+(ROW()-4))</f>
        <v>10000402</v>
      </c>
    </row>
    <row r="408" customFormat="false" ht="15" hidden="false" customHeight="true" outlineLevel="0" collapsed="false">
      <c r="A408" s="6"/>
      <c r="B408" s="6"/>
      <c r="C408" s="6"/>
      <c r="D408" s="6"/>
      <c r="E408" s="6"/>
      <c r="F408" s="7"/>
      <c r="G408" s="6"/>
      <c r="H408" s="6"/>
      <c r="I408" s="7"/>
      <c r="J408" s="6"/>
      <c r="K408" s="7"/>
      <c r="L408" s="6"/>
      <c r="M408" s="6"/>
      <c r="N408" s="7"/>
      <c r="O408" s="6"/>
      <c r="P408" s="6"/>
      <c r="Q408" s="7"/>
      <c r="R408" s="6" t="str">
        <f aca="false">IF(AND($A408="",$B408=""),"",IF(Q408="Complete","Onboarded",IF(OR(M408="Member",M408="Ambassador"),"Sponsored",IF(K408&lt;&gt;"","Follow-Up",IF(I408&lt;&gt;"","Presented",IF(F408&lt;&gt;"","Contacted","New Lead"))))))</f>
        <v/>
      </c>
      <c r="S408" s="6"/>
      <c r="T408" s="6" t="str">
        <f aca="true">IF(MAX(F408,I408,K408)=0,"",TODAY()-MAX(F408,I408,K408))</f>
        <v/>
      </c>
      <c r="U408" s="6"/>
      <c r="V408" s="6"/>
      <c r="W408" s="6" t="str">
        <f aca="false">IF(AND($A408="",$B408=""),"",IF(M408="Ambassador","1 - Ambassador",IF(M408="Member","2 - Member",IF(J408="Completed","3 - Presented",IF(H408&lt;&gt;"","4 - Sent",IF(F408&lt;&gt;"","5 - Contacted","6 - No Activity"))))))</f>
        <v/>
      </c>
      <c r="X408" s="6" t="n">
        <f aca="false">IF(AND($A408="",$B408=""),9999999+(ROW()-4),VALUE(LEFT($W408,1))*10000+(ROW()-4))</f>
        <v>10000403</v>
      </c>
    </row>
    <row r="409" customFormat="false" ht="15" hidden="false" customHeight="true" outlineLevel="0" collapsed="false">
      <c r="A409" s="6"/>
      <c r="B409" s="6"/>
      <c r="C409" s="6"/>
      <c r="D409" s="6"/>
      <c r="E409" s="6"/>
      <c r="F409" s="7"/>
      <c r="G409" s="6"/>
      <c r="H409" s="6"/>
      <c r="I409" s="7"/>
      <c r="J409" s="6"/>
      <c r="K409" s="7"/>
      <c r="L409" s="6"/>
      <c r="M409" s="6"/>
      <c r="N409" s="7"/>
      <c r="O409" s="6"/>
      <c r="P409" s="6"/>
      <c r="Q409" s="7"/>
      <c r="R409" s="6" t="str">
        <f aca="false">IF(AND($A409="",$B409=""),"",IF(Q409="Complete","Onboarded",IF(OR(M409="Member",M409="Ambassador"),"Sponsored",IF(K409&lt;&gt;"","Follow-Up",IF(I409&lt;&gt;"","Presented",IF(F409&lt;&gt;"","Contacted","New Lead"))))))</f>
        <v/>
      </c>
      <c r="S409" s="6"/>
      <c r="T409" s="6" t="str">
        <f aca="true">IF(MAX(F409,I409,K409)=0,"",TODAY()-MAX(F409,I409,K409))</f>
        <v/>
      </c>
      <c r="U409" s="6"/>
      <c r="V409" s="6"/>
      <c r="W409" s="6" t="str">
        <f aca="false">IF(AND($A409="",$B409=""),"",IF(M409="Ambassador","1 - Ambassador",IF(M409="Member","2 - Member",IF(J409="Completed","3 - Presented",IF(H409&lt;&gt;"","4 - Sent",IF(F409&lt;&gt;"","5 - Contacted","6 - No Activity"))))))</f>
        <v/>
      </c>
      <c r="X409" s="6" t="n">
        <f aca="false">IF(AND($A409="",$B409=""),9999999+(ROW()-4),VALUE(LEFT($W409,1))*10000+(ROW()-4))</f>
        <v>10000404</v>
      </c>
    </row>
    <row r="410" customFormat="false" ht="15" hidden="false" customHeight="true" outlineLevel="0" collapsed="false">
      <c r="A410" s="6"/>
      <c r="B410" s="6"/>
      <c r="C410" s="6"/>
      <c r="D410" s="6"/>
      <c r="E410" s="6"/>
      <c r="F410" s="7"/>
      <c r="G410" s="6"/>
      <c r="H410" s="6"/>
      <c r="I410" s="7"/>
      <c r="J410" s="6"/>
      <c r="K410" s="7"/>
      <c r="L410" s="6"/>
      <c r="M410" s="6"/>
      <c r="N410" s="7"/>
      <c r="O410" s="6"/>
      <c r="P410" s="6"/>
      <c r="Q410" s="7"/>
      <c r="R410" s="6" t="str">
        <f aca="false">IF(AND($A410="",$B410=""),"",IF(Q410="Complete","Onboarded",IF(OR(M410="Member",M410="Ambassador"),"Sponsored",IF(K410&lt;&gt;"","Follow-Up",IF(I410&lt;&gt;"","Presented",IF(F410&lt;&gt;"","Contacted","New Lead"))))))</f>
        <v/>
      </c>
      <c r="S410" s="6"/>
      <c r="T410" s="6" t="str">
        <f aca="true">IF(MAX(F410,I410,K410)=0,"",TODAY()-MAX(F410,I410,K410))</f>
        <v/>
      </c>
      <c r="U410" s="6"/>
      <c r="V410" s="6"/>
      <c r="W410" s="6" t="str">
        <f aca="false">IF(AND($A410="",$B410=""),"",IF(M410="Ambassador","1 - Ambassador",IF(M410="Member","2 - Member",IF(J410="Completed","3 - Presented",IF(H410&lt;&gt;"","4 - Sent",IF(F410&lt;&gt;"","5 - Contacted","6 - No Activity"))))))</f>
        <v/>
      </c>
      <c r="X410" s="6" t="n">
        <f aca="false">IF(AND($A410="",$B410=""),9999999+(ROW()-4),VALUE(LEFT($W410,1))*10000+(ROW()-4))</f>
        <v>10000405</v>
      </c>
    </row>
    <row r="411" customFormat="false" ht="15" hidden="false" customHeight="true" outlineLevel="0" collapsed="false">
      <c r="A411" s="6"/>
      <c r="B411" s="6"/>
      <c r="C411" s="6"/>
      <c r="D411" s="6"/>
      <c r="E411" s="6"/>
      <c r="F411" s="7"/>
      <c r="G411" s="6"/>
      <c r="H411" s="6"/>
      <c r="I411" s="7"/>
      <c r="J411" s="6"/>
      <c r="K411" s="7"/>
      <c r="L411" s="6"/>
      <c r="M411" s="6"/>
      <c r="N411" s="7"/>
      <c r="O411" s="6"/>
      <c r="P411" s="6"/>
      <c r="Q411" s="7"/>
      <c r="R411" s="6" t="str">
        <f aca="false">IF(AND($A411="",$B411=""),"",IF(Q411="Complete","Onboarded",IF(OR(M411="Member",M411="Ambassador"),"Sponsored",IF(K411&lt;&gt;"","Follow-Up",IF(I411&lt;&gt;"","Presented",IF(F411&lt;&gt;"","Contacted","New Lead"))))))</f>
        <v/>
      </c>
      <c r="S411" s="6"/>
      <c r="T411" s="6" t="str">
        <f aca="true">IF(MAX(F411,I411,K411)=0,"",TODAY()-MAX(F411,I411,K411))</f>
        <v/>
      </c>
      <c r="U411" s="6"/>
      <c r="V411" s="6"/>
      <c r="W411" s="6" t="str">
        <f aca="false">IF(AND($A411="",$B411=""),"",IF(M411="Ambassador","1 - Ambassador",IF(M411="Member","2 - Member",IF(J411="Completed","3 - Presented",IF(H411&lt;&gt;"","4 - Sent",IF(F411&lt;&gt;"","5 - Contacted","6 - No Activity"))))))</f>
        <v/>
      </c>
      <c r="X411" s="6" t="n">
        <f aca="false">IF(AND($A411="",$B411=""),9999999+(ROW()-4),VALUE(LEFT($W411,1))*10000+(ROW()-4))</f>
        <v>10000406</v>
      </c>
    </row>
    <row r="412" customFormat="false" ht="15" hidden="false" customHeight="true" outlineLevel="0" collapsed="false">
      <c r="A412" s="6"/>
      <c r="B412" s="6"/>
      <c r="C412" s="6"/>
      <c r="D412" s="6"/>
      <c r="E412" s="6"/>
      <c r="F412" s="7"/>
      <c r="G412" s="6"/>
      <c r="H412" s="6"/>
      <c r="I412" s="7"/>
      <c r="J412" s="6"/>
      <c r="K412" s="7"/>
      <c r="L412" s="6"/>
      <c r="M412" s="6"/>
      <c r="N412" s="7"/>
      <c r="O412" s="6"/>
      <c r="P412" s="6"/>
      <c r="Q412" s="7"/>
      <c r="R412" s="6" t="str">
        <f aca="false">IF(AND($A412="",$B412=""),"",IF(Q412="Complete","Onboarded",IF(OR(M412="Member",M412="Ambassador"),"Sponsored",IF(K412&lt;&gt;"","Follow-Up",IF(I412&lt;&gt;"","Presented",IF(F412&lt;&gt;"","Contacted","New Lead"))))))</f>
        <v/>
      </c>
      <c r="S412" s="6"/>
      <c r="T412" s="6" t="str">
        <f aca="true">IF(MAX(F412,I412,K412)=0,"",TODAY()-MAX(F412,I412,K412))</f>
        <v/>
      </c>
      <c r="U412" s="6"/>
      <c r="V412" s="6"/>
      <c r="W412" s="6" t="str">
        <f aca="false">IF(AND($A412="",$B412=""),"",IF(M412="Ambassador","1 - Ambassador",IF(M412="Member","2 - Member",IF(J412="Completed","3 - Presented",IF(H412&lt;&gt;"","4 - Sent",IF(F412&lt;&gt;"","5 - Contacted","6 - No Activity"))))))</f>
        <v/>
      </c>
      <c r="X412" s="6" t="n">
        <f aca="false">IF(AND($A412="",$B412=""),9999999+(ROW()-4),VALUE(LEFT($W412,1))*10000+(ROW()-4))</f>
        <v>10000407</v>
      </c>
    </row>
    <row r="413" customFormat="false" ht="15" hidden="false" customHeight="true" outlineLevel="0" collapsed="false">
      <c r="A413" s="6"/>
      <c r="B413" s="6"/>
      <c r="C413" s="6"/>
      <c r="D413" s="6"/>
      <c r="E413" s="6"/>
      <c r="F413" s="7"/>
      <c r="G413" s="6"/>
      <c r="H413" s="6"/>
      <c r="I413" s="7"/>
      <c r="J413" s="6"/>
      <c r="K413" s="7"/>
      <c r="L413" s="6"/>
      <c r="M413" s="6"/>
      <c r="N413" s="7"/>
      <c r="O413" s="6"/>
      <c r="P413" s="6"/>
      <c r="Q413" s="7"/>
      <c r="R413" s="6" t="str">
        <f aca="false">IF(AND($A413="",$B413=""),"",IF(Q413="Complete","Onboarded",IF(OR(M413="Member",M413="Ambassador"),"Sponsored",IF(K413&lt;&gt;"","Follow-Up",IF(I413&lt;&gt;"","Presented",IF(F413&lt;&gt;"","Contacted","New Lead"))))))</f>
        <v/>
      </c>
      <c r="S413" s="6"/>
      <c r="T413" s="6" t="str">
        <f aca="true">IF(MAX(F413,I413,K413)=0,"",TODAY()-MAX(F413,I413,K413))</f>
        <v/>
      </c>
      <c r="U413" s="6"/>
      <c r="V413" s="6"/>
      <c r="W413" s="6" t="str">
        <f aca="false">IF(AND($A413="",$B413=""),"",IF(M413="Ambassador","1 - Ambassador",IF(M413="Member","2 - Member",IF(J413="Completed","3 - Presented",IF(H413&lt;&gt;"","4 - Sent",IF(F413&lt;&gt;"","5 - Contacted","6 - No Activity"))))))</f>
        <v/>
      </c>
      <c r="X413" s="6" t="n">
        <f aca="false">IF(AND($A413="",$B413=""),9999999+(ROW()-4),VALUE(LEFT($W413,1))*10000+(ROW()-4))</f>
        <v>10000408</v>
      </c>
    </row>
    <row r="414" customFormat="false" ht="15" hidden="false" customHeight="true" outlineLevel="0" collapsed="false">
      <c r="A414" s="6"/>
      <c r="B414" s="6"/>
      <c r="C414" s="6"/>
      <c r="D414" s="6"/>
      <c r="E414" s="6"/>
      <c r="F414" s="7"/>
      <c r="G414" s="6"/>
      <c r="H414" s="6"/>
      <c r="I414" s="7"/>
      <c r="J414" s="6"/>
      <c r="K414" s="7"/>
      <c r="L414" s="6"/>
      <c r="M414" s="6"/>
      <c r="N414" s="7"/>
      <c r="O414" s="6"/>
      <c r="P414" s="6"/>
      <c r="Q414" s="7"/>
      <c r="R414" s="6" t="str">
        <f aca="false">IF(AND($A414="",$B414=""),"",IF(Q414="Complete","Onboarded",IF(OR(M414="Member",M414="Ambassador"),"Sponsored",IF(K414&lt;&gt;"","Follow-Up",IF(I414&lt;&gt;"","Presented",IF(F414&lt;&gt;"","Contacted","New Lead"))))))</f>
        <v/>
      </c>
      <c r="S414" s="6"/>
      <c r="T414" s="6" t="str">
        <f aca="true">IF(MAX(F414,I414,K414)=0,"",TODAY()-MAX(F414,I414,K414))</f>
        <v/>
      </c>
      <c r="U414" s="6"/>
      <c r="V414" s="6"/>
      <c r="W414" s="6" t="str">
        <f aca="false">IF(AND($A414="",$B414=""),"",IF(M414="Ambassador","1 - Ambassador",IF(M414="Member","2 - Member",IF(J414="Completed","3 - Presented",IF(H414&lt;&gt;"","4 - Sent",IF(F414&lt;&gt;"","5 - Contacted","6 - No Activity"))))))</f>
        <v/>
      </c>
      <c r="X414" s="6" t="n">
        <f aca="false">IF(AND($A414="",$B414=""),9999999+(ROW()-4),VALUE(LEFT($W414,1))*10000+(ROW()-4))</f>
        <v>10000409</v>
      </c>
    </row>
    <row r="415" customFormat="false" ht="15" hidden="false" customHeight="true" outlineLevel="0" collapsed="false">
      <c r="A415" s="6"/>
      <c r="B415" s="6"/>
      <c r="C415" s="6"/>
      <c r="D415" s="6"/>
      <c r="E415" s="6"/>
      <c r="F415" s="7"/>
      <c r="G415" s="6"/>
      <c r="H415" s="6"/>
      <c r="I415" s="7"/>
      <c r="J415" s="6"/>
      <c r="K415" s="7"/>
      <c r="L415" s="6"/>
      <c r="M415" s="6"/>
      <c r="N415" s="7"/>
      <c r="O415" s="6"/>
      <c r="P415" s="6"/>
      <c r="Q415" s="7"/>
      <c r="R415" s="6" t="str">
        <f aca="false">IF(AND($A415="",$B415=""),"",IF(Q415="Complete","Onboarded",IF(OR(M415="Member",M415="Ambassador"),"Sponsored",IF(K415&lt;&gt;"","Follow-Up",IF(I415&lt;&gt;"","Presented",IF(F415&lt;&gt;"","Contacted","New Lead"))))))</f>
        <v/>
      </c>
      <c r="S415" s="6"/>
      <c r="T415" s="6" t="str">
        <f aca="true">IF(MAX(F415,I415,K415)=0,"",TODAY()-MAX(F415,I415,K415))</f>
        <v/>
      </c>
      <c r="U415" s="6"/>
      <c r="V415" s="6"/>
      <c r="W415" s="6" t="str">
        <f aca="false">IF(AND($A415="",$B415=""),"",IF(M415="Ambassador","1 - Ambassador",IF(M415="Member","2 - Member",IF(J415="Completed","3 - Presented",IF(H415&lt;&gt;"","4 - Sent",IF(F415&lt;&gt;"","5 - Contacted","6 - No Activity"))))))</f>
        <v/>
      </c>
      <c r="X415" s="6" t="n">
        <f aca="false">IF(AND($A415="",$B415=""),9999999+(ROW()-4),VALUE(LEFT($W415,1))*10000+(ROW()-4))</f>
        <v>10000410</v>
      </c>
    </row>
    <row r="416" customFormat="false" ht="15" hidden="false" customHeight="true" outlineLevel="0" collapsed="false">
      <c r="A416" s="6"/>
      <c r="B416" s="6"/>
      <c r="C416" s="6"/>
      <c r="D416" s="6"/>
      <c r="E416" s="6"/>
      <c r="F416" s="7"/>
      <c r="G416" s="6"/>
      <c r="H416" s="6"/>
      <c r="I416" s="7"/>
      <c r="J416" s="6"/>
      <c r="K416" s="7"/>
      <c r="L416" s="6"/>
      <c r="M416" s="6"/>
      <c r="N416" s="7"/>
      <c r="O416" s="6"/>
      <c r="P416" s="6"/>
      <c r="Q416" s="7"/>
      <c r="R416" s="6" t="str">
        <f aca="false">IF(AND($A416="",$B416=""),"",IF(Q416="Complete","Onboarded",IF(OR(M416="Member",M416="Ambassador"),"Sponsored",IF(K416&lt;&gt;"","Follow-Up",IF(I416&lt;&gt;"","Presented",IF(F416&lt;&gt;"","Contacted","New Lead"))))))</f>
        <v/>
      </c>
      <c r="S416" s="6"/>
      <c r="T416" s="6" t="str">
        <f aca="true">IF(MAX(F416,I416,K416)=0,"",TODAY()-MAX(F416,I416,K416))</f>
        <v/>
      </c>
      <c r="U416" s="6"/>
      <c r="V416" s="6"/>
      <c r="W416" s="6" t="str">
        <f aca="false">IF(AND($A416="",$B416=""),"",IF(M416="Ambassador","1 - Ambassador",IF(M416="Member","2 - Member",IF(J416="Completed","3 - Presented",IF(H416&lt;&gt;"","4 - Sent",IF(F416&lt;&gt;"","5 - Contacted","6 - No Activity"))))))</f>
        <v/>
      </c>
      <c r="X416" s="6" t="n">
        <f aca="false">IF(AND($A416="",$B416=""),9999999+(ROW()-4),VALUE(LEFT($W416,1))*10000+(ROW()-4))</f>
        <v>10000411</v>
      </c>
    </row>
    <row r="417" customFormat="false" ht="15" hidden="false" customHeight="true" outlineLevel="0" collapsed="false">
      <c r="A417" s="6"/>
      <c r="B417" s="6"/>
      <c r="C417" s="6"/>
      <c r="D417" s="6"/>
      <c r="E417" s="6"/>
      <c r="F417" s="7"/>
      <c r="G417" s="6"/>
      <c r="H417" s="6"/>
      <c r="I417" s="7"/>
      <c r="J417" s="6"/>
      <c r="K417" s="7"/>
      <c r="L417" s="6"/>
      <c r="M417" s="6"/>
      <c r="N417" s="7"/>
      <c r="O417" s="6"/>
      <c r="P417" s="6"/>
      <c r="Q417" s="7"/>
      <c r="R417" s="6" t="str">
        <f aca="false">IF(AND($A417="",$B417=""),"",IF(Q417="Complete","Onboarded",IF(OR(M417="Member",M417="Ambassador"),"Sponsored",IF(K417&lt;&gt;"","Follow-Up",IF(I417&lt;&gt;"","Presented",IF(F417&lt;&gt;"","Contacted","New Lead"))))))</f>
        <v/>
      </c>
      <c r="S417" s="6"/>
      <c r="T417" s="6" t="str">
        <f aca="true">IF(MAX(F417,I417,K417)=0,"",TODAY()-MAX(F417,I417,K417))</f>
        <v/>
      </c>
      <c r="U417" s="6"/>
      <c r="V417" s="6"/>
      <c r="W417" s="6" t="str">
        <f aca="false">IF(AND($A417="",$B417=""),"",IF(M417="Ambassador","1 - Ambassador",IF(M417="Member","2 - Member",IF(J417="Completed","3 - Presented",IF(H417&lt;&gt;"","4 - Sent",IF(F417&lt;&gt;"","5 - Contacted","6 - No Activity"))))))</f>
        <v/>
      </c>
      <c r="X417" s="6" t="n">
        <f aca="false">IF(AND($A417="",$B417=""),9999999+(ROW()-4),VALUE(LEFT($W417,1))*10000+(ROW()-4))</f>
        <v>10000412</v>
      </c>
    </row>
    <row r="418" customFormat="false" ht="15" hidden="false" customHeight="true" outlineLevel="0" collapsed="false">
      <c r="A418" s="6"/>
      <c r="B418" s="6"/>
      <c r="C418" s="6"/>
      <c r="D418" s="6"/>
      <c r="E418" s="6"/>
      <c r="F418" s="7"/>
      <c r="G418" s="6"/>
      <c r="H418" s="6"/>
      <c r="I418" s="7"/>
      <c r="J418" s="6"/>
      <c r="K418" s="7"/>
      <c r="L418" s="6"/>
      <c r="M418" s="6"/>
      <c r="N418" s="7"/>
      <c r="O418" s="6"/>
      <c r="P418" s="6"/>
      <c r="Q418" s="7"/>
      <c r="R418" s="6" t="str">
        <f aca="false">IF(AND($A418="",$B418=""),"",IF(Q418="Complete","Onboarded",IF(OR(M418="Member",M418="Ambassador"),"Sponsored",IF(K418&lt;&gt;"","Follow-Up",IF(I418&lt;&gt;"","Presented",IF(F418&lt;&gt;"","Contacted","New Lead"))))))</f>
        <v/>
      </c>
      <c r="S418" s="6"/>
      <c r="T418" s="6" t="str">
        <f aca="true">IF(MAX(F418,I418,K418)=0,"",TODAY()-MAX(F418,I418,K418))</f>
        <v/>
      </c>
      <c r="U418" s="6"/>
      <c r="V418" s="6"/>
      <c r="W418" s="6" t="str">
        <f aca="false">IF(AND($A418="",$B418=""),"",IF(M418="Ambassador","1 - Ambassador",IF(M418="Member","2 - Member",IF(J418="Completed","3 - Presented",IF(H418&lt;&gt;"","4 - Sent",IF(F418&lt;&gt;"","5 - Contacted","6 - No Activity"))))))</f>
        <v/>
      </c>
      <c r="X418" s="6" t="n">
        <f aca="false">IF(AND($A418="",$B418=""),9999999+(ROW()-4),VALUE(LEFT($W418,1))*10000+(ROW()-4))</f>
        <v>10000413</v>
      </c>
    </row>
    <row r="419" customFormat="false" ht="15" hidden="false" customHeight="true" outlineLevel="0" collapsed="false">
      <c r="A419" s="6"/>
      <c r="B419" s="6"/>
      <c r="C419" s="6"/>
      <c r="D419" s="6"/>
      <c r="E419" s="6"/>
      <c r="F419" s="7"/>
      <c r="G419" s="6"/>
      <c r="H419" s="6"/>
      <c r="I419" s="7"/>
      <c r="J419" s="6"/>
      <c r="K419" s="7"/>
      <c r="L419" s="6"/>
      <c r="M419" s="6"/>
      <c r="N419" s="7"/>
      <c r="O419" s="6"/>
      <c r="P419" s="6"/>
      <c r="Q419" s="7"/>
      <c r="R419" s="6" t="str">
        <f aca="false">IF(AND($A419="",$B419=""),"",IF(Q419="Complete","Onboarded",IF(OR(M419="Member",M419="Ambassador"),"Sponsored",IF(K419&lt;&gt;"","Follow-Up",IF(I419&lt;&gt;"","Presented",IF(F419&lt;&gt;"","Contacted","New Lead"))))))</f>
        <v/>
      </c>
      <c r="S419" s="6"/>
      <c r="T419" s="6" t="str">
        <f aca="true">IF(MAX(F419,I419,K419)=0,"",TODAY()-MAX(F419,I419,K419))</f>
        <v/>
      </c>
      <c r="U419" s="6"/>
      <c r="V419" s="6"/>
      <c r="W419" s="6" t="str">
        <f aca="false">IF(AND($A419="",$B419=""),"",IF(M419="Ambassador","1 - Ambassador",IF(M419="Member","2 - Member",IF(J419="Completed","3 - Presented",IF(H419&lt;&gt;"","4 - Sent",IF(F419&lt;&gt;"","5 - Contacted","6 - No Activity"))))))</f>
        <v/>
      </c>
      <c r="X419" s="6" t="n">
        <f aca="false">IF(AND($A419="",$B419=""),9999999+(ROW()-4),VALUE(LEFT($W419,1))*10000+(ROW()-4))</f>
        <v>10000414</v>
      </c>
    </row>
    <row r="420" customFormat="false" ht="15" hidden="false" customHeight="true" outlineLevel="0" collapsed="false">
      <c r="A420" s="6"/>
      <c r="B420" s="6"/>
      <c r="C420" s="6"/>
      <c r="D420" s="6"/>
      <c r="E420" s="6"/>
      <c r="F420" s="7"/>
      <c r="G420" s="6"/>
      <c r="H420" s="6"/>
      <c r="I420" s="7"/>
      <c r="J420" s="6"/>
      <c r="K420" s="7"/>
      <c r="L420" s="6"/>
      <c r="M420" s="6"/>
      <c r="N420" s="7"/>
      <c r="O420" s="6"/>
      <c r="P420" s="6"/>
      <c r="Q420" s="7"/>
      <c r="R420" s="6" t="str">
        <f aca="false">IF(AND($A420="",$B420=""),"",IF(Q420="Complete","Onboarded",IF(OR(M420="Member",M420="Ambassador"),"Sponsored",IF(K420&lt;&gt;"","Follow-Up",IF(I420&lt;&gt;"","Presented",IF(F420&lt;&gt;"","Contacted","New Lead"))))))</f>
        <v/>
      </c>
      <c r="S420" s="6"/>
      <c r="T420" s="6" t="str">
        <f aca="true">IF(MAX(F420,I420,K420)=0,"",TODAY()-MAX(F420,I420,K420))</f>
        <v/>
      </c>
      <c r="U420" s="6"/>
      <c r="V420" s="6"/>
      <c r="W420" s="6" t="str">
        <f aca="false">IF(AND($A420="",$B420=""),"",IF(M420="Ambassador","1 - Ambassador",IF(M420="Member","2 - Member",IF(J420="Completed","3 - Presented",IF(H420&lt;&gt;"","4 - Sent",IF(F420&lt;&gt;"","5 - Contacted","6 - No Activity"))))))</f>
        <v/>
      </c>
      <c r="X420" s="6" t="n">
        <f aca="false">IF(AND($A420="",$B420=""),9999999+(ROW()-4),VALUE(LEFT($W420,1))*10000+(ROW()-4))</f>
        <v>10000415</v>
      </c>
    </row>
    <row r="421" customFormat="false" ht="15" hidden="false" customHeight="true" outlineLevel="0" collapsed="false">
      <c r="A421" s="6"/>
      <c r="B421" s="6"/>
      <c r="C421" s="6"/>
      <c r="D421" s="6"/>
      <c r="E421" s="6"/>
      <c r="F421" s="7"/>
      <c r="G421" s="6"/>
      <c r="H421" s="6"/>
      <c r="I421" s="7"/>
      <c r="J421" s="6"/>
      <c r="K421" s="7"/>
      <c r="L421" s="6"/>
      <c r="M421" s="6"/>
      <c r="N421" s="7"/>
      <c r="O421" s="6"/>
      <c r="P421" s="6"/>
      <c r="Q421" s="7"/>
      <c r="R421" s="6" t="str">
        <f aca="false">IF(AND($A421="",$B421=""),"",IF(Q421="Complete","Onboarded",IF(OR(M421="Member",M421="Ambassador"),"Sponsored",IF(K421&lt;&gt;"","Follow-Up",IF(I421&lt;&gt;"","Presented",IF(F421&lt;&gt;"","Contacted","New Lead"))))))</f>
        <v/>
      </c>
      <c r="S421" s="6"/>
      <c r="T421" s="6" t="str">
        <f aca="true">IF(MAX(F421,I421,K421)=0,"",TODAY()-MAX(F421,I421,K421))</f>
        <v/>
      </c>
      <c r="U421" s="6"/>
      <c r="V421" s="6"/>
      <c r="W421" s="6" t="str">
        <f aca="false">IF(AND($A421="",$B421=""),"",IF(M421="Ambassador","1 - Ambassador",IF(M421="Member","2 - Member",IF(J421="Completed","3 - Presented",IF(H421&lt;&gt;"","4 - Sent",IF(F421&lt;&gt;"","5 - Contacted","6 - No Activity"))))))</f>
        <v/>
      </c>
      <c r="X421" s="6" t="n">
        <f aca="false">IF(AND($A421="",$B421=""),9999999+(ROW()-4),VALUE(LEFT($W421,1))*10000+(ROW()-4))</f>
        <v>10000416</v>
      </c>
    </row>
    <row r="422" customFormat="false" ht="15" hidden="false" customHeight="true" outlineLevel="0" collapsed="false">
      <c r="A422" s="6"/>
      <c r="B422" s="6"/>
      <c r="C422" s="6"/>
      <c r="D422" s="6"/>
      <c r="E422" s="6"/>
      <c r="F422" s="7"/>
      <c r="G422" s="6"/>
      <c r="H422" s="6"/>
      <c r="I422" s="7"/>
      <c r="J422" s="6"/>
      <c r="K422" s="7"/>
      <c r="L422" s="6"/>
      <c r="M422" s="6"/>
      <c r="N422" s="7"/>
      <c r="O422" s="6"/>
      <c r="P422" s="6"/>
      <c r="Q422" s="7"/>
      <c r="R422" s="6" t="str">
        <f aca="false">IF(AND($A422="",$B422=""),"",IF(Q422="Complete","Onboarded",IF(OR(M422="Member",M422="Ambassador"),"Sponsored",IF(K422&lt;&gt;"","Follow-Up",IF(I422&lt;&gt;"","Presented",IF(F422&lt;&gt;"","Contacted","New Lead"))))))</f>
        <v/>
      </c>
      <c r="S422" s="6"/>
      <c r="T422" s="6" t="str">
        <f aca="true">IF(MAX(F422,I422,K422)=0,"",TODAY()-MAX(F422,I422,K422))</f>
        <v/>
      </c>
      <c r="U422" s="6"/>
      <c r="V422" s="6"/>
      <c r="W422" s="6" t="str">
        <f aca="false">IF(AND($A422="",$B422=""),"",IF(M422="Ambassador","1 - Ambassador",IF(M422="Member","2 - Member",IF(J422="Completed","3 - Presented",IF(H422&lt;&gt;"","4 - Sent",IF(F422&lt;&gt;"","5 - Contacted","6 - No Activity"))))))</f>
        <v/>
      </c>
      <c r="X422" s="6" t="n">
        <f aca="false">IF(AND($A422="",$B422=""),9999999+(ROW()-4),VALUE(LEFT($W422,1))*10000+(ROW()-4))</f>
        <v>10000417</v>
      </c>
    </row>
    <row r="423" customFormat="false" ht="15" hidden="false" customHeight="true" outlineLevel="0" collapsed="false">
      <c r="A423" s="6"/>
      <c r="B423" s="6"/>
      <c r="C423" s="6"/>
      <c r="D423" s="6"/>
      <c r="E423" s="6"/>
      <c r="F423" s="7"/>
      <c r="G423" s="6"/>
      <c r="H423" s="6"/>
      <c r="I423" s="7"/>
      <c r="J423" s="6"/>
      <c r="K423" s="7"/>
      <c r="L423" s="6"/>
      <c r="M423" s="6"/>
      <c r="N423" s="7"/>
      <c r="O423" s="6"/>
      <c r="P423" s="6"/>
      <c r="Q423" s="7"/>
      <c r="R423" s="6" t="str">
        <f aca="false">IF(AND($A423="",$B423=""),"",IF(Q423="Complete","Onboarded",IF(OR(M423="Member",M423="Ambassador"),"Sponsored",IF(K423&lt;&gt;"","Follow-Up",IF(I423&lt;&gt;"","Presented",IF(F423&lt;&gt;"","Contacted","New Lead"))))))</f>
        <v/>
      </c>
      <c r="S423" s="6"/>
      <c r="T423" s="6" t="str">
        <f aca="true">IF(MAX(F423,I423,K423)=0,"",TODAY()-MAX(F423,I423,K423))</f>
        <v/>
      </c>
      <c r="U423" s="6"/>
      <c r="V423" s="6"/>
      <c r="W423" s="6" t="str">
        <f aca="false">IF(AND($A423="",$B423=""),"",IF(M423="Ambassador","1 - Ambassador",IF(M423="Member","2 - Member",IF(J423="Completed","3 - Presented",IF(H423&lt;&gt;"","4 - Sent",IF(F423&lt;&gt;"","5 - Contacted","6 - No Activity"))))))</f>
        <v/>
      </c>
      <c r="X423" s="6" t="n">
        <f aca="false">IF(AND($A423="",$B423=""),9999999+(ROW()-4),VALUE(LEFT($W423,1))*10000+(ROW()-4))</f>
        <v>10000418</v>
      </c>
    </row>
    <row r="424" customFormat="false" ht="15" hidden="false" customHeight="true" outlineLevel="0" collapsed="false">
      <c r="A424" s="6"/>
      <c r="B424" s="6"/>
      <c r="C424" s="6"/>
      <c r="D424" s="6"/>
      <c r="E424" s="6"/>
      <c r="F424" s="7"/>
      <c r="G424" s="6"/>
      <c r="H424" s="6"/>
      <c r="I424" s="7"/>
      <c r="J424" s="6"/>
      <c r="K424" s="7"/>
      <c r="L424" s="6"/>
      <c r="M424" s="6"/>
      <c r="N424" s="7"/>
      <c r="O424" s="6"/>
      <c r="P424" s="6"/>
      <c r="Q424" s="7"/>
      <c r="R424" s="6" t="str">
        <f aca="false">IF(AND($A424="",$B424=""),"",IF(Q424="Complete","Onboarded",IF(OR(M424="Member",M424="Ambassador"),"Sponsored",IF(K424&lt;&gt;"","Follow-Up",IF(I424&lt;&gt;"","Presented",IF(F424&lt;&gt;"","Contacted","New Lead"))))))</f>
        <v/>
      </c>
      <c r="S424" s="6"/>
      <c r="T424" s="6" t="str">
        <f aca="true">IF(MAX(F424,I424,K424)=0,"",TODAY()-MAX(F424,I424,K424))</f>
        <v/>
      </c>
      <c r="U424" s="6"/>
      <c r="V424" s="6"/>
      <c r="W424" s="6" t="str">
        <f aca="false">IF(AND($A424="",$B424=""),"",IF(M424="Ambassador","1 - Ambassador",IF(M424="Member","2 - Member",IF(J424="Completed","3 - Presented",IF(H424&lt;&gt;"","4 - Sent",IF(F424&lt;&gt;"","5 - Contacted","6 - No Activity"))))))</f>
        <v/>
      </c>
      <c r="X424" s="6" t="n">
        <f aca="false">IF(AND($A424="",$B424=""),9999999+(ROW()-4),VALUE(LEFT($W424,1))*10000+(ROW()-4))</f>
        <v>10000419</v>
      </c>
    </row>
    <row r="425" customFormat="false" ht="15" hidden="false" customHeight="true" outlineLevel="0" collapsed="false">
      <c r="A425" s="6"/>
      <c r="B425" s="6"/>
      <c r="C425" s="6"/>
      <c r="D425" s="6"/>
      <c r="E425" s="6"/>
      <c r="F425" s="7"/>
      <c r="G425" s="6"/>
      <c r="H425" s="6"/>
      <c r="I425" s="7"/>
      <c r="J425" s="6"/>
      <c r="K425" s="7"/>
      <c r="L425" s="6"/>
      <c r="M425" s="6"/>
      <c r="N425" s="7"/>
      <c r="O425" s="6"/>
      <c r="P425" s="6"/>
      <c r="Q425" s="7"/>
      <c r="R425" s="6" t="str">
        <f aca="false">IF(AND($A425="",$B425=""),"",IF(Q425="Complete","Onboarded",IF(OR(M425="Member",M425="Ambassador"),"Sponsored",IF(K425&lt;&gt;"","Follow-Up",IF(I425&lt;&gt;"","Presented",IF(F425&lt;&gt;"","Contacted","New Lead"))))))</f>
        <v/>
      </c>
      <c r="S425" s="6"/>
      <c r="T425" s="6" t="str">
        <f aca="true">IF(MAX(F425,I425,K425)=0,"",TODAY()-MAX(F425,I425,K425))</f>
        <v/>
      </c>
      <c r="U425" s="6"/>
      <c r="V425" s="6"/>
      <c r="W425" s="6" t="str">
        <f aca="false">IF(AND($A425="",$B425=""),"",IF(M425="Ambassador","1 - Ambassador",IF(M425="Member","2 - Member",IF(J425="Completed","3 - Presented",IF(H425&lt;&gt;"","4 - Sent",IF(F425&lt;&gt;"","5 - Contacted","6 - No Activity"))))))</f>
        <v/>
      </c>
      <c r="X425" s="6" t="n">
        <f aca="false">IF(AND($A425="",$B425=""),9999999+(ROW()-4),VALUE(LEFT($W425,1))*10000+(ROW()-4))</f>
        <v>10000420</v>
      </c>
    </row>
    <row r="426" customFormat="false" ht="15" hidden="false" customHeight="true" outlineLevel="0" collapsed="false">
      <c r="A426" s="6"/>
      <c r="B426" s="6"/>
      <c r="C426" s="6"/>
      <c r="D426" s="6"/>
      <c r="E426" s="6"/>
      <c r="F426" s="7"/>
      <c r="G426" s="6"/>
      <c r="H426" s="6"/>
      <c r="I426" s="7"/>
      <c r="J426" s="6"/>
      <c r="K426" s="7"/>
      <c r="L426" s="6"/>
      <c r="M426" s="6"/>
      <c r="N426" s="7"/>
      <c r="O426" s="6"/>
      <c r="P426" s="6"/>
      <c r="Q426" s="7"/>
      <c r="R426" s="6" t="str">
        <f aca="false">IF(AND($A426="",$B426=""),"",IF(Q426="Complete","Onboarded",IF(OR(M426="Member",M426="Ambassador"),"Sponsored",IF(K426&lt;&gt;"","Follow-Up",IF(I426&lt;&gt;"","Presented",IF(F426&lt;&gt;"","Contacted","New Lead"))))))</f>
        <v/>
      </c>
      <c r="S426" s="6"/>
      <c r="T426" s="6" t="str">
        <f aca="true">IF(MAX(F426,I426,K426)=0,"",TODAY()-MAX(F426,I426,K426))</f>
        <v/>
      </c>
      <c r="U426" s="6"/>
      <c r="V426" s="6"/>
      <c r="W426" s="6" t="str">
        <f aca="false">IF(AND($A426="",$B426=""),"",IF(M426="Ambassador","1 - Ambassador",IF(M426="Member","2 - Member",IF(J426="Completed","3 - Presented",IF(H426&lt;&gt;"","4 - Sent",IF(F426&lt;&gt;"","5 - Contacted","6 - No Activity"))))))</f>
        <v/>
      </c>
      <c r="X426" s="6" t="n">
        <f aca="false">IF(AND($A426="",$B426=""),9999999+(ROW()-4),VALUE(LEFT($W426,1))*10000+(ROW()-4))</f>
        <v>10000421</v>
      </c>
    </row>
    <row r="427" customFormat="false" ht="15" hidden="false" customHeight="true" outlineLevel="0" collapsed="false">
      <c r="A427" s="6"/>
      <c r="B427" s="6"/>
      <c r="C427" s="6"/>
      <c r="D427" s="6"/>
      <c r="E427" s="6"/>
      <c r="F427" s="7"/>
      <c r="G427" s="6"/>
      <c r="H427" s="6"/>
      <c r="I427" s="7"/>
      <c r="J427" s="6"/>
      <c r="K427" s="7"/>
      <c r="L427" s="6"/>
      <c r="M427" s="6"/>
      <c r="N427" s="7"/>
      <c r="O427" s="6"/>
      <c r="P427" s="6"/>
      <c r="Q427" s="7"/>
      <c r="R427" s="6" t="str">
        <f aca="false">IF(AND($A427="",$B427=""),"",IF(Q427="Complete","Onboarded",IF(OR(M427="Member",M427="Ambassador"),"Sponsored",IF(K427&lt;&gt;"","Follow-Up",IF(I427&lt;&gt;"","Presented",IF(F427&lt;&gt;"","Contacted","New Lead"))))))</f>
        <v/>
      </c>
      <c r="S427" s="6"/>
      <c r="T427" s="6" t="str">
        <f aca="true">IF(MAX(F427,I427,K427)=0,"",TODAY()-MAX(F427,I427,K427))</f>
        <v/>
      </c>
      <c r="U427" s="6"/>
      <c r="V427" s="6"/>
      <c r="W427" s="6" t="str">
        <f aca="false">IF(AND($A427="",$B427=""),"",IF(M427="Ambassador","1 - Ambassador",IF(M427="Member","2 - Member",IF(J427="Completed","3 - Presented",IF(H427&lt;&gt;"","4 - Sent",IF(F427&lt;&gt;"","5 - Contacted","6 - No Activity"))))))</f>
        <v/>
      </c>
      <c r="X427" s="6" t="n">
        <f aca="false">IF(AND($A427="",$B427=""),9999999+(ROW()-4),VALUE(LEFT($W427,1))*10000+(ROW()-4))</f>
        <v>10000422</v>
      </c>
    </row>
    <row r="428" customFormat="false" ht="15" hidden="false" customHeight="true" outlineLevel="0" collapsed="false">
      <c r="A428" s="6"/>
      <c r="B428" s="6"/>
      <c r="C428" s="6"/>
      <c r="D428" s="6"/>
      <c r="E428" s="6"/>
      <c r="F428" s="7"/>
      <c r="G428" s="6"/>
      <c r="H428" s="6"/>
      <c r="I428" s="7"/>
      <c r="J428" s="6"/>
      <c r="K428" s="7"/>
      <c r="L428" s="6"/>
      <c r="M428" s="6"/>
      <c r="N428" s="7"/>
      <c r="O428" s="6"/>
      <c r="P428" s="6"/>
      <c r="Q428" s="7"/>
      <c r="R428" s="6" t="str">
        <f aca="false">IF(AND($A428="",$B428=""),"",IF(Q428="Complete","Onboarded",IF(OR(M428="Member",M428="Ambassador"),"Sponsored",IF(K428&lt;&gt;"","Follow-Up",IF(I428&lt;&gt;"","Presented",IF(F428&lt;&gt;"","Contacted","New Lead"))))))</f>
        <v/>
      </c>
      <c r="S428" s="6"/>
      <c r="T428" s="6" t="str">
        <f aca="true">IF(MAX(F428,I428,K428)=0,"",TODAY()-MAX(F428,I428,K428))</f>
        <v/>
      </c>
      <c r="U428" s="6"/>
      <c r="V428" s="6"/>
      <c r="W428" s="6" t="str">
        <f aca="false">IF(AND($A428="",$B428=""),"",IF(M428="Ambassador","1 - Ambassador",IF(M428="Member","2 - Member",IF(J428="Completed","3 - Presented",IF(H428&lt;&gt;"","4 - Sent",IF(F428&lt;&gt;"","5 - Contacted","6 - No Activity"))))))</f>
        <v/>
      </c>
      <c r="X428" s="6" t="n">
        <f aca="false">IF(AND($A428="",$B428=""),9999999+(ROW()-4),VALUE(LEFT($W428,1))*10000+(ROW()-4))</f>
        <v>10000423</v>
      </c>
    </row>
    <row r="429" customFormat="false" ht="15" hidden="false" customHeight="true" outlineLevel="0" collapsed="false">
      <c r="A429" s="6"/>
      <c r="B429" s="6"/>
      <c r="C429" s="6"/>
      <c r="D429" s="6"/>
      <c r="E429" s="6"/>
      <c r="F429" s="7"/>
      <c r="G429" s="6"/>
      <c r="H429" s="6"/>
      <c r="I429" s="7"/>
      <c r="J429" s="6"/>
      <c r="K429" s="7"/>
      <c r="L429" s="6"/>
      <c r="M429" s="6"/>
      <c r="N429" s="7"/>
      <c r="O429" s="6"/>
      <c r="P429" s="6"/>
      <c r="Q429" s="7"/>
      <c r="R429" s="6" t="str">
        <f aca="false">IF(AND($A429="",$B429=""),"",IF(Q429="Complete","Onboarded",IF(OR(M429="Member",M429="Ambassador"),"Sponsored",IF(K429&lt;&gt;"","Follow-Up",IF(I429&lt;&gt;"","Presented",IF(F429&lt;&gt;"","Contacted","New Lead"))))))</f>
        <v/>
      </c>
      <c r="S429" s="6"/>
      <c r="T429" s="6" t="str">
        <f aca="true">IF(MAX(F429,I429,K429)=0,"",TODAY()-MAX(F429,I429,K429))</f>
        <v/>
      </c>
      <c r="U429" s="6"/>
      <c r="V429" s="6"/>
      <c r="W429" s="6" t="str">
        <f aca="false">IF(AND($A429="",$B429=""),"",IF(M429="Ambassador","1 - Ambassador",IF(M429="Member","2 - Member",IF(J429="Completed","3 - Presented",IF(H429&lt;&gt;"","4 - Sent",IF(F429&lt;&gt;"","5 - Contacted","6 - No Activity"))))))</f>
        <v/>
      </c>
      <c r="X429" s="6" t="n">
        <f aca="false">IF(AND($A429="",$B429=""),9999999+(ROW()-4),VALUE(LEFT($W429,1))*10000+(ROW()-4))</f>
        <v>10000424</v>
      </c>
    </row>
    <row r="430" customFormat="false" ht="15" hidden="false" customHeight="true" outlineLevel="0" collapsed="false">
      <c r="A430" s="6"/>
      <c r="B430" s="6"/>
      <c r="C430" s="6"/>
      <c r="D430" s="6"/>
      <c r="E430" s="6"/>
      <c r="F430" s="7"/>
      <c r="G430" s="6"/>
      <c r="H430" s="6"/>
      <c r="I430" s="7"/>
      <c r="J430" s="6"/>
      <c r="K430" s="7"/>
      <c r="L430" s="6"/>
      <c r="M430" s="6"/>
      <c r="N430" s="7"/>
      <c r="O430" s="6"/>
      <c r="P430" s="6"/>
      <c r="Q430" s="7"/>
      <c r="R430" s="6" t="str">
        <f aca="false">IF(AND($A430="",$B430=""),"",IF(Q430="Complete","Onboarded",IF(OR(M430="Member",M430="Ambassador"),"Sponsored",IF(K430&lt;&gt;"","Follow-Up",IF(I430&lt;&gt;"","Presented",IF(F430&lt;&gt;"","Contacted","New Lead"))))))</f>
        <v/>
      </c>
      <c r="S430" s="6"/>
      <c r="T430" s="6" t="str">
        <f aca="true">IF(MAX(F430,I430,K430)=0,"",TODAY()-MAX(F430,I430,K430))</f>
        <v/>
      </c>
      <c r="U430" s="6"/>
      <c r="V430" s="6"/>
      <c r="W430" s="6" t="str">
        <f aca="false">IF(AND($A430="",$B430=""),"",IF(M430="Ambassador","1 - Ambassador",IF(M430="Member","2 - Member",IF(J430="Completed","3 - Presented",IF(H430&lt;&gt;"","4 - Sent",IF(F430&lt;&gt;"","5 - Contacted","6 - No Activity"))))))</f>
        <v/>
      </c>
      <c r="X430" s="6" t="n">
        <f aca="false">IF(AND($A430="",$B430=""),9999999+(ROW()-4),VALUE(LEFT($W430,1))*10000+(ROW()-4))</f>
        <v>10000425</v>
      </c>
    </row>
    <row r="431" customFormat="false" ht="15" hidden="false" customHeight="true" outlineLevel="0" collapsed="false">
      <c r="A431" s="6"/>
      <c r="B431" s="6"/>
      <c r="C431" s="6"/>
      <c r="D431" s="6"/>
      <c r="E431" s="6"/>
      <c r="F431" s="7"/>
      <c r="G431" s="6"/>
      <c r="H431" s="6"/>
      <c r="I431" s="7"/>
      <c r="J431" s="6"/>
      <c r="K431" s="7"/>
      <c r="L431" s="6"/>
      <c r="M431" s="6"/>
      <c r="N431" s="7"/>
      <c r="O431" s="6"/>
      <c r="P431" s="6"/>
      <c r="Q431" s="7"/>
      <c r="R431" s="6" t="str">
        <f aca="false">IF(AND($A431="",$B431=""),"",IF(Q431="Complete","Onboarded",IF(OR(M431="Member",M431="Ambassador"),"Sponsored",IF(K431&lt;&gt;"","Follow-Up",IF(I431&lt;&gt;"","Presented",IF(F431&lt;&gt;"","Contacted","New Lead"))))))</f>
        <v/>
      </c>
      <c r="S431" s="6"/>
      <c r="T431" s="6" t="str">
        <f aca="true">IF(MAX(F431,I431,K431)=0,"",TODAY()-MAX(F431,I431,K431))</f>
        <v/>
      </c>
      <c r="U431" s="6"/>
      <c r="V431" s="6"/>
      <c r="W431" s="6" t="str">
        <f aca="false">IF(AND($A431="",$B431=""),"",IF(M431="Ambassador","1 - Ambassador",IF(M431="Member","2 - Member",IF(J431="Completed","3 - Presented",IF(H431&lt;&gt;"","4 - Sent",IF(F431&lt;&gt;"","5 - Contacted","6 - No Activity"))))))</f>
        <v/>
      </c>
      <c r="X431" s="6" t="n">
        <f aca="false">IF(AND($A431="",$B431=""),9999999+(ROW()-4),VALUE(LEFT($W431,1))*10000+(ROW()-4))</f>
        <v>10000426</v>
      </c>
    </row>
    <row r="432" customFormat="false" ht="15" hidden="false" customHeight="true" outlineLevel="0" collapsed="false">
      <c r="A432" s="6"/>
      <c r="B432" s="6"/>
      <c r="C432" s="6"/>
      <c r="D432" s="6"/>
      <c r="E432" s="6"/>
      <c r="F432" s="7"/>
      <c r="G432" s="6"/>
      <c r="H432" s="6"/>
      <c r="I432" s="7"/>
      <c r="J432" s="6"/>
      <c r="K432" s="7"/>
      <c r="L432" s="6"/>
      <c r="M432" s="6"/>
      <c r="N432" s="7"/>
      <c r="O432" s="6"/>
      <c r="P432" s="6"/>
      <c r="Q432" s="7"/>
      <c r="R432" s="6" t="str">
        <f aca="false">IF(AND($A432="",$B432=""),"",IF(Q432="Complete","Onboarded",IF(OR(M432="Member",M432="Ambassador"),"Sponsored",IF(K432&lt;&gt;"","Follow-Up",IF(I432&lt;&gt;"","Presented",IF(F432&lt;&gt;"","Contacted","New Lead"))))))</f>
        <v/>
      </c>
      <c r="S432" s="6"/>
      <c r="T432" s="6" t="str">
        <f aca="true">IF(MAX(F432,I432,K432)=0,"",TODAY()-MAX(F432,I432,K432))</f>
        <v/>
      </c>
      <c r="U432" s="6"/>
      <c r="V432" s="6"/>
      <c r="W432" s="6" t="str">
        <f aca="false">IF(AND($A432="",$B432=""),"",IF(M432="Ambassador","1 - Ambassador",IF(M432="Member","2 - Member",IF(J432="Completed","3 - Presented",IF(H432&lt;&gt;"","4 - Sent",IF(F432&lt;&gt;"","5 - Contacted","6 - No Activity"))))))</f>
        <v/>
      </c>
      <c r="X432" s="6" t="n">
        <f aca="false">IF(AND($A432="",$B432=""),9999999+(ROW()-4),VALUE(LEFT($W432,1))*10000+(ROW()-4))</f>
        <v>10000427</v>
      </c>
    </row>
    <row r="433" customFormat="false" ht="15" hidden="false" customHeight="true" outlineLevel="0" collapsed="false">
      <c r="A433" s="6"/>
      <c r="B433" s="6"/>
      <c r="C433" s="6"/>
      <c r="D433" s="6"/>
      <c r="E433" s="6"/>
      <c r="F433" s="7"/>
      <c r="G433" s="6"/>
      <c r="H433" s="6"/>
      <c r="I433" s="7"/>
      <c r="J433" s="6"/>
      <c r="K433" s="7"/>
      <c r="L433" s="6"/>
      <c r="M433" s="6"/>
      <c r="N433" s="7"/>
      <c r="O433" s="6"/>
      <c r="P433" s="6"/>
      <c r="Q433" s="7"/>
      <c r="R433" s="6" t="str">
        <f aca="false">IF(AND($A433="",$B433=""),"",IF(Q433="Complete","Onboarded",IF(OR(M433="Member",M433="Ambassador"),"Sponsored",IF(K433&lt;&gt;"","Follow-Up",IF(I433&lt;&gt;"","Presented",IF(F433&lt;&gt;"","Contacted","New Lead"))))))</f>
        <v/>
      </c>
      <c r="S433" s="6"/>
      <c r="T433" s="6" t="str">
        <f aca="true">IF(MAX(F433,I433,K433)=0,"",TODAY()-MAX(F433,I433,K433))</f>
        <v/>
      </c>
      <c r="U433" s="6"/>
      <c r="V433" s="6"/>
      <c r="W433" s="6" t="str">
        <f aca="false">IF(AND($A433="",$B433=""),"",IF(M433="Ambassador","1 - Ambassador",IF(M433="Member","2 - Member",IF(J433="Completed","3 - Presented",IF(H433&lt;&gt;"","4 - Sent",IF(F433&lt;&gt;"","5 - Contacted","6 - No Activity"))))))</f>
        <v/>
      </c>
      <c r="X433" s="6" t="n">
        <f aca="false">IF(AND($A433="",$B433=""),9999999+(ROW()-4),VALUE(LEFT($W433,1))*10000+(ROW()-4))</f>
        <v>10000428</v>
      </c>
    </row>
    <row r="434" customFormat="false" ht="15" hidden="false" customHeight="true" outlineLevel="0" collapsed="false">
      <c r="A434" s="6"/>
      <c r="B434" s="6"/>
      <c r="C434" s="6"/>
      <c r="D434" s="6"/>
      <c r="E434" s="6"/>
      <c r="F434" s="7"/>
      <c r="G434" s="6"/>
      <c r="H434" s="6"/>
      <c r="I434" s="7"/>
      <c r="J434" s="6"/>
      <c r="K434" s="7"/>
      <c r="L434" s="6"/>
      <c r="M434" s="6"/>
      <c r="N434" s="7"/>
      <c r="O434" s="6"/>
      <c r="P434" s="6"/>
      <c r="Q434" s="7"/>
      <c r="R434" s="6" t="str">
        <f aca="false">IF(AND($A434="",$B434=""),"",IF(Q434="Complete","Onboarded",IF(OR(M434="Member",M434="Ambassador"),"Sponsored",IF(K434&lt;&gt;"","Follow-Up",IF(I434&lt;&gt;"","Presented",IF(F434&lt;&gt;"","Contacted","New Lead"))))))</f>
        <v/>
      </c>
      <c r="S434" s="6"/>
      <c r="T434" s="6" t="str">
        <f aca="true">IF(MAX(F434,I434,K434)=0,"",TODAY()-MAX(F434,I434,K434))</f>
        <v/>
      </c>
      <c r="U434" s="6"/>
      <c r="V434" s="6"/>
      <c r="W434" s="6" t="str">
        <f aca="false">IF(AND($A434="",$B434=""),"",IF(M434="Ambassador","1 - Ambassador",IF(M434="Member","2 - Member",IF(J434="Completed","3 - Presented",IF(H434&lt;&gt;"","4 - Sent",IF(F434&lt;&gt;"","5 - Contacted","6 - No Activity"))))))</f>
        <v/>
      </c>
      <c r="X434" s="6" t="n">
        <f aca="false">IF(AND($A434="",$B434=""),9999999+(ROW()-4),VALUE(LEFT($W434,1))*10000+(ROW()-4))</f>
        <v>10000429</v>
      </c>
    </row>
    <row r="435" customFormat="false" ht="15" hidden="false" customHeight="true" outlineLevel="0" collapsed="false">
      <c r="A435" s="6"/>
      <c r="B435" s="6"/>
      <c r="C435" s="6"/>
      <c r="D435" s="6"/>
      <c r="E435" s="6"/>
      <c r="F435" s="7"/>
      <c r="G435" s="6"/>
      <c r="H435" s="6"/>
      <c r="I435" s="7"/>
      <c r="J435" s="6"/>
      <c r="K435" s="7"/>
      <c r="L435" s="6"/>
      <c r="M435" s="6"/>
      <c r="N435" s="7"/>
      <c r="O435" s="6"/>
      <c r="P435" s="6"/>
      <c r="Q435" s="7"/>
      <c r="R435" s="6" t="str">
        <f aca="false">IF(AND($A435="",$B435=""),"",IF(Q435="Complete","Onboarded",IF(OR(M435="Member",M435="Ambassador"),"Sponsored",IF(K435&lt;&gt;"","Follow-Up",IF(I435&lt;&gt;"","Presented",IF(F435&lt;&gt;"","Contacted","New Lead"))))))</f>
        <v/>
      </c>
      <c r="S435" s="6"/>
      <c r="T435" s="6" t="str">
        <f aca="true">IF(MAX(F435,I435,K435)=0,"",TODAY()-MAX(F435,I435,K435))</f>
        <v/>
      </c>
      <c r="U435" s="6"/>
      <c r="V435" s="6"/>
      <c r="W435" s="6" t="str">
        <f aca="false">IF(AND($A435="",$B435=""),"",IF(M435="Ambassador","1 - Ambassador",IF(M435="Member","2 - Member",IF(J435="Completed","3 - Presented",IF(H435&lt;&gt;"","4 - Sent",IF(F435&lt;&gt;"","5 - Contacted","6 - No Activity"))))))</f>
        <v/>
      </c>
      <c r="X435" s="6" t="n">
        <f aca="false">IF(AND($A435="",$B435=""),9999999+(ROW()-4),VALUE(LEFT($W435,1))*10000+(ROW()-4))</f>
        <v>10000430</v>
      </c>
    </row>
    <row r="436" customFormat="false" ht="15" hidden="false" customHeight="true" outlineLevel="0" collapsed="false">
      <c r="A436" s="6"/>
      <c r="B436" s="6"/>
      <c r="C436" s="6"/>
      <c r="D436" s="6"/>
      <c r="E436" s="6"/>
      <c r="F436" s="7"/>
      <c r="G436" s="6"/>
      <c r="H436" s="6"/>
      <c r="I436" s="7"/>
      <c r="J436" s="6"/>
      <c r="K436" s="7"/>
      <c r="L436" s="6"/>
      <c r="M436" s="6"/>
      <c r="N436" s="7"/>
      <c r="O436" s="6"/>
      <c r="P436" s="6"/>
      <c r="Q436" s="7"/>
      <c r="R436" s="6" t="str">
        <f aca="false">IF(AND($A436="",$B436=""),"",IF(Q436="Complete","Onboarded",IF(OR(M436="Member",M436="Ambassador"),"Sponsored",IF(K436&lt;&gt;"","Follow-Up",IF(I436&lt;&gt;"","Presented",IF(F436&lt;&gt;"","Contacted","New Lead"))))))</f>
        <v/>
      </c>
      <c r="S436" s="6"/>
      <c r="T436" s="6" t="str">
        <f aca="true">IF(MAX(F436,I436,K436)=0,"",TODAY()-MAX(F436,I436,K436))</f>
        <v/>
      </c>
      <c r="U436" s="6"/>
      <c r="V436" s="6"/>
      <c r="W436" s="6" t="str">
        <f aca="false">IF(AND($A436="",$B436=""),"",IF(M436="Ambassador","1 - Ambassador",IF(M436="Member","2 - Member",IF(J436="Completed","3 - Presented",IF(H436&lt;&gt;"","4 - Sent",IF(F436&lt;&gt;"","5 - Contacted","6 - No Activity"))))))</f>
        <v/>
      </c>
      <c r="X436" s="6" t="n">
        <f aca="false">IF(AND($A436="",$B436=""),9999999+(ROW()-4),VALUE(LEFT($W436,1))*10000+(ROW()-4))</f>
        <v>10000431</v>
      </c>
    </row>
    <row r="437" customFormat="false" ht="15" hidden="false" customHeight="true" outlineLevel="0" collapsed="false">
      <c r="A437" s="6"/>
      <c r="B437" s="6"/>
      <c r="C437" s="6"/>
      <c r="D437" s="6"/>
      <c r="E437" s="6"/>
      <c r="F437" s="7"/>
      <c r="G437" s="6"/>
      <c r="H437" s="6"/>
      <c r="I437" s="7"/>
      <c r="J437" s="6"/>
      <c r="K437" s="7"/>
      <c r="L437" s="6"/>
      <c r="M437" s="6"/>
      <c r="N437" s="7"/>
      <c r="O437" s="6"/>
      <c r="P437" s="6"/>
      <c r="Q437" s="7"/>
      <c r="R437" s="6" t="str">
        <f aca="false">IF(AND($A437="",$B437=""),"",IF(Q437="Complete","Onboarded",IF(OR(M437="Member",M437="Ambassador"),"Sponsored",IF(K437&lt;&gt;"","Follow-Up",IF(I437&lt;&gt;"","Presented",IF(F437&lt;&gt;"","Contacted","New Lead"))))))</f>
        <v/>
      </c>
      <c r="S437" s="6"/>
      <c r="T437" s="6" t="str">
        <f aca="true">IF(MAX(F437,I437,K437)=0,"",TODAY()-MAX(F437,I437,K437))</f>
        <v/>
      </c>
      <c r="U437" s="6"/>
      <c r="V437" s="6"/>
      <c r="W437" s="6" t="str">
        <f aca="false">IF(AND($A437="",$B437=""),"",IF(M437="Ambassador","1 - Ambassador",IF(M437="Member","2 - Member",IF(J437="Completed","3 - Presented",IF(H437&lt;&gt;"","4 - Sent",IF(F437&lt;&gt;"","5 - Contacted","6 - No Activity"))))))</f>
        <v/>
      </c>
      <c r="X437" s="6" t="n">
        <f aca="false">IF(AND($A437="",$B437=""),9999999+(ROW()-4),VALUE(LEFT($W437,1))*10000+(ROW()-4))</f>
        <v>10000432</v>
      </c>
    </row>
    <row r="438" customFormat="false" ht="15" hidden="false" customHeight="true" outlineLevel="0" collapsed="false">
      <c r="A438" s="6"/>
      <c r="B438" s="6"/>
      <c r="C438" s="6"/>
      <c r="D438" s="6"/>
      <c r="E438" s="6"/>
      <c r="F438" s="7"/>
      <c r="G438" s="6"/>
      <c r="H438" s="6"/>
      <c r="I438" s="7"/>
      <c r="J438" s="6"/>
      <c r="K438" s="7"/>
      <c r="L438" s="6"/>
      <c r="M438" s="6"/>
      <c r="N438" s="7"/>
      <c r="O438" s="6"/>
      <c r="P438" s="6"/>
      <c r="Q438" s="7"/>
      <c r="R438" s="6" t="str">
        <f aca="false">IF(AND($A438="",$B438=""),"",IF(Q438="Complete","Onboarded",IF(OR(M438="Member",M438="Ambassador"),"Sponsored",IF(K438&lt;&gt;"","Follow-Up",IF(I438&lt;&gt;"","Presented",IF(F438&lt;&gt;"","Contacted","New Lead"))))))</f>
        <v/>
      </c>
      <c r="S438" s="6"/>
      <c r="T438" s="6" t="str">
        <f aca="true">IF(MAX(F438,I438,K438)=0,"",TODAY()-MAX(F438,I438,K438))</f>
        <v/>
      </c>
      <c r="U438" s="6"/>
      <c r="V438" s="6"/>
      <c r="W438" s="6" t="str">
        <f aca="false">IF(AND($A438="",$B438=""),"",IF(M438="Ambassador","1 - Ambassador",IF(M438="Member","2 - Member",IF(J438="Completed","3 - Presented",IF(H438&lt;&gt;"","4 - Sent",IF(F438&lt;&gt;"","5 - Contacted","6 - No Activity"))))))</f>
        <v/>
      </c>
      <c r="X438" s="6" t="n">
        <f aca="false">IF(AND($A438="",$B438=""),9999999+(ROW()-4),VALUE(LEFT($W438,1))*10000+(ROW()-4))</f>
        <v>10000433</v>
      </c>
    </row>
    <row r="439" customFormat="false" ht="15" hidden="false" customHeight="true" outlineLevel="0" collapsed="false">
      <c r="A439" s="6"/>
      <c r="B439" s="6"/>
      <c r="C439" s="6"/>
      <c r="D439" s="6"/>
      <c r="E439" s="6"/>
      <c r="F439" s="7"/>
      <c r="G439" s="6"/>
      <c r="H439" s="6"/>
      <c r="I439" s="7"/>
      <c r="J439" s="6"/>
      <c r="K439" s="7"/>
      <c r="L439" s="6"/>
      <c r="M439" s="6"/>
      <c r="N439" s="7"/>
      <c r="O439" s="6"/>
      <c r="P439" s="6"/>
      <c r="Q439" s="7"/>
      <c r="R439" s="6" t="str">
        <f aca="false">IF(AND($A439="",$B439=""),"",IF(Q439="Complete","Onboarded",IF(OR(M439="Member",M439="Ambassador"),"Sponsored",IF(K439&lt;&gt;"","Follow-Up",IF(I439&lt;&gt;"","Presented",IF(F439&lt;&gt;"","Contacted","New Lead"))))))</f>
        <v/>
      </c>
      <c r="S439" s="6"/>
      <c r="T439" s="6" t="str">
        <f aca="true">IF(MAX(F439,I439,K439)=0,"",TODAY()-MAX(F439,I439,K439))</f>
        <v/>
      </c>
      <c r="U439" s="6"/>
      <c r="V439" s="6"/>
      <c r="W439" s="6" t="str">
        <f aca="false">IF(AND($A439="",$B439=""),"",IF(M439="Ambassador","1 - Ambassador",IF(M439="Member","2 - Member",IF(J439="Completed","3 - Presented",IF(H439&lt;&gt;"","4 - Sent",IF(F439&lt;&gt;"","5 - Contacted","6 - No Activity"))))))</f>
        <v/>
      </c>
      <c r="X439" s="6" t="n">
        <f aca="false">IF(AND($A439="",$B439=""),9999999+(ROW()-4),VALUE(LEFT($W439,1))*10000+(ROW()-4))</f>
        <v>10000434</v>
      </c>
    </row>
    <row r="440" customFormat="false" ht="15" hidden="false" customHeight="true" outlineLevel="0" collapsed="false">
      <c r="A440" s="6"/>
      <c r="B440" s="6"/>
      <c r="C440" s="6"/>
      <c r="D440" s="6"/>
      <c r="E440" s="6"/>
      <c r="F440" s="7"/>
      <c r="G440" s="6"/>
      <c r="H440" s="6"/>
      <c r="I440" s="7"/>
      <c r="J440" s="6"/>
      <c r="K440" s="7"/>
      <c r="L440" s="6"/>
      <c r="M440" s="6"/>
      <c r="N440" s="7"/>
      <c r="O440" s="6"/>
      <c r="P440" s="6"/>
      <c r="Q440" s="7"/>
      <c r="R440" s="6" t="str">
        <f aca="false">IF(AND($A440="",$B440=""),"",IF(Q440="Complete","Onboarded",IF(OR(M440="Member",M440="Ambassador"),"Sponsored",IF(K440&lt;&gt;"","Follow-Up",IF(I440&lt;&gt;"","Presented",IF(F440&lt;&gt;"","Contacted","New Lead"))))))</f>
        <v/>
      </c>
      <c r="S440" s="6"/>
      <c r="T440" s="6" t="str">
        <f aca="true">IF(MAX(F440,I440,K440)=0,"",TODAY()-MAX(F440,I440,K440))</f>
        <v/>
      </c>
      <c r="U440" s="6"/>
      <c r="V440" s="6"/>
      <c r="W440" s="6" t="str">
        <f aca="false">IF(AND($A440="",$B440=""),"",IF(M440="Ambassador","1 - Ambassador",IF(M440="Member","2 - Member",IF(J440="Completed","3 - Presented",IF(H440&lt;&gt;"","4 - Sent",IF(F440&lt;&gt;"","5 - Contacted","6 - No Activity"))))))</f>
        <v/>
      </c>
      <c r="X440" s="6" t="n">
        <f aca="false">IF(AND($A440="",$B440=""),9999999+(ROW()-4),VALUE(LEFT($W440,1))*10000+(ROW()-4))</f>
        <v>10000435</v>
      </c>
    </row>
    <row r="441" customFormat="false" ht="15" hidden="false" customHeight="true" outlineLevel="0" collapsed="false">
      <c r="A441" s="6"/>
      <c r="B441" s="6"/>
      <c r="C441" s="6"/>
      <c r="D441" s="6"/>
      <c r="E441" s="6"/>
      <c r="F441" s="7"/>
      <c r="G441" s="6"/>
      <c r="H441" s="6"/>
      <c r="I441" s="7"/>
      <c r="J441" s="6"/>
      <c r="K441" s="7"/>
      <c r="L441" s="6"/>
      <c r="M441" s="6"/>
      <c r="N441" s="7"/>
      <c r="O441" s="6"/>
      <c r="P441" s="6"/>
      <c r="Q441" s="7"/>
      <c r="R441" s="6" t="str">
        <f aca="false">IF(AND($A441="",$B441=""),"",IF(Q441="Complete","Onboarded",IF(OR(M441="Member",M441="Ambassador"),"Sponsored",IF(K441&lt;&gt;"","Follow-Up",IF(I441&lt;&gt;"","Presented",IF(F441&lt;&gt;"","Contacted","New Lead"))))))</f>
        <v/>
      </c>
      <c r="S441" s="6"/>
      <c r="T441" s="6" t="str">
        <f aca="true">IF(MAX(F441,I441,K441)=0,"",TODAY()-MAX(F441,I441,K441))</f>
        <v/>
      </c>
      <c r="U441" s="6"/>
      <c r="V441" s="6"/>
      <c r="W441" s="6" t="str">
        <f aca="false">IF(AND($A441="",$B441=""),"",IF(M441="Ambassador","1 - Ambassador",IF(M441="Member","2 - Member",IF(J441="Completed","3 - Presented",IF(H441&lt;&gt;"","4 - Sent",IF(F441&lt;&gt;"","5 - Contacted","6 - No Activity"))))))</f>
        <v/>
      </c>
      <c r="X441" s="6" t="n">
        <f aca="false">IF(AND($A441="",$B441=""),9999999+(ROW()-4),VALUE(LEFT($W441,1))*10000+(ROW()-4))</f>
        <v>10000436</v>
      </c>
    </row>
    <row r="442" customFormat="false" ht="15" hidden="false" customHeight="true" outlineLevel="0" collapsed="false">
      <c r="A442" s="6"/>
      <c r="B442" s="6"/>
      <c r="C442" s="6"/>
      <c r="D442" s="6"/>
      <c r="E442" s="6"/>
      <c r="F442" s="7"/>
      <c r="G442" s="6"/>
      <c r="H442" s="6"/>
      <c r="I442" s="7"/>
      <c r="J442" s="6"/>
      <c r="K442" s="7"/>
      <c r="L442" s="6"/>
      <c r="M442" s="6"/>
      <c r="N442" s="7"/>
      <c r="O442" s="6"/>
      <c r="P442" s="6"/>
      <c r="Q442" s="7"/>
      <c r="R442" s="6" t="str">
        <f aca="false">IF(AND($A442="",$B442=""),"",IF(Q442="Complete","Onboarded",IF(OR(M442="Member",M442="Ambassador"),"Sponsored",IF(K442&lt;&gt;"","Follow-Up",IF(I442&lt;&gt;"","Presented",IF(F442&lt;&gt;"","Contacted","New Lead"))))))</f>
        <v/>
      </c>
      <c r="S442" s="6"/>
      <c r="T442" s="6" t="str">
        <f aca="true">IF(MAX(F442,I442,K442)=0,"",TODAY()-MAX(F442,I442,K442))</f>
        <v/>
      </c>
      <c r="U442" s="6"/>
      <c r="V442" s="6"/>
      <c r="W442" s="6" t="str">
        <f aca="false">IF(AND($A442="",$B442=""),"",IF(M442="Ambassador","1 - Ambassador",IF(M442="Member","2 - Member",IF(J442="Completed","3 - Presented",IF(H442&lt;&gt;"","4 - Sent",IF(F442&lt;&gt;"","5 - Contacted","6 - No Activity"))))))</f>
        <v/>
      </c>
      <c r="X442" s="6" t="n">
        <f aca="false">IF(AND($A442="",$B442=""),9999999+(ROW()-4),VALUE(LEFT($W442,1))*10000+(ROW()-4))</f>
        <v>10000437</v>
      </c>
    </row>
    <row r="443" customFormat="false" ht="15" hidden="false" customHeight="true" outlineLevel="0" collapsed="false">
      <c r="A443" s="6"/>
      <c r="B443" s="6"/>
      <c r="C443" s="6"/>
      <c r="D443" s="6"/>
      <c r="E443" s="6"/>
      <c r="F443" s="7"/>
      <c r="G443" s="6"/>
      <c r="H443" s="6"/>
      <c r="I443" s="7"/>
      <c r="J443" s="6"/>
      <c r="K443" s="7"/>
      <c r="L443" s="6"/>
      <c r="M443" s="6"/>
      <c r="N443" s="7"/>
      <c r="O443" s="6"/>
      <c r="P443" s="6"/>
      <c r="Q443" s="7"/>
      <c r="R443" s="6" t="str">
        <f aca="false">IF(AND($A443="",$B443=""),"",IF(Q443="Complete","Onboarded",IF(OR(M443="Member",M443="Ambassador"),"Sponsored",IF(K443&lt;&gt;"","Follow-Up",IF(I443&lt;&gt;"","Presented",IF(F443&lt;&gt;"","Contacted","New Lead"))))))</f>
        <v/>
      </c>
      <c r="S443" s="6"/>
      <c r="T443" s="6" t="str">
        <f aca="true">IF(MAX(F443,I443,K443)=0,"",TODAY()-MAX(F443,I443,K443))</f>
        <v/>
      </c>
      <c r="U443" s="6"/>
      <c r="V443" s="6"/>
      <c r="W443" s="6" t="str">
        <f aca="false">IF(AND($A443="",$B443=""),"",IF(M443="Ambassador","1 - Ambassador",IF(M443="Member","2 - Member",IF(J443="Completed","3 - Presented",IF(H443&lt;&gt;"","4 - Sent",IF(F443&lt;&gt;"","5 - Contacted","6 - No Activity"))))))</f>
        <v/>
      </c>
      <c r="X443" s="6" t="n">
        <f aca="false">IF(AND($A443="",$B443=""),9999999+(ROW()-4),VALUE(LEFT($W443,1))*10000+(ROW()-4))</f>
        <v>10000438</v>
      </c>
    </row>
    <row r="444" customFormat="false" ht="15" hidden="false" customHeight="true" outlineLevel="0" collapsed="false">
      <c r="A444" s="6"/>
      <c r="B444" s="6"/>
      <c r="C444" s="6"/>
      <c r="D444" s="6"/>
      <c r="E444" s="6"/>
      <c r="F444" s="7"/>
      <c r="G444" s="6"/>
      <c r="H444" s="6"/>
      <c r="I444" s="7"/>
      <c r="J444" s="6"/>
      <c r="K444" s="7"/>
      <c r="L444" s="6"/>
      <c r="M444" s="6"/>
      <c r="N444" s="7"/>
      <c r="O444" s="6"/>
      <c r="P444" s="6"/>
      <c r="Q444" s="7"/>
      <c r="R444" s="6" t="str">
        <f aca="false">IF(AND($A444="",$B444=""),"",IF(Q444="Complete","Onboarded",IF(OR(M444="Member",M444="Ambassador"),"Sponsored",IF(K444&lt;&gt;"","Follow-Up",IF(I444&lt;&gt;"","Presented",IF(F444&lt;&gt;"","Contacted","New Lead"))))))</f>
        <v/>
      </c>
      <c r="S444" s="6"/>
      <c r="T444" s="6" t="str">
        <f aca="true">IF(MAX(F444,I444,K444)=0,"",TODAY()-MAX(F444,I444,K444))</f>
        <v/>
      </c>
      <c r="U444" s="6"/>
      <c r="V444" s="6"/>
      <c r="W444" s="6" t="str">
        <f aca="false">IF(AND($A444="",$B444=""),"",IF(M444="Ambassador","1 - Ambassador",IF(M444="Member","2 - Member",IF(J444="Completed","3 - Presented",IF(H444&lt;&gt;"","4 - Sent",IF(F444&lt;&gt;"","5 - Contacted","6 - No Activity"))))))</f>
        <v/>
      </c>
      <c r="X444" s="6" t="n">
        <f aca="false">IF(AND($A444="",$B444=""),9999999+(ROW()-4),VALUE(LEFT($W444,1))*10000+(ROW()-4))</f>
        <v>10000439</v>
      </c>
    </row>
    <row r="445" customFormat="false" ht="15" hidden="false" customHeight="true" outlineLevel="0" collapsed="false">
      <c r="A445" s="6"/>
      <c r="B445" s="6"/>
      <c r="C445" s="6"/>
      <c r="D445" s="6"/>
      <c r="E445" s="6"/>
      <c r="F445" s="7"/>
      <c r="G445" s="6"/>
      <c r="H445" s="6"/>
      <c r="I445" s="7"/>
      <c r="J445" s="6"/>
      <c r="K445" s="7"/>
      <c r="L445" s="6"/>
      <c r="M445" s="6"/>
      <c r="N445" s="7"/>
      <c r="O445" s="6"/>
      <c r="P445" s="6"/>
      <c r="Q445" s="7"/>
      <c r="R445" s="6" t="str">
        <f aca="false">IF(AND($A445="",$B445=""),"",IF(Q445="Complete","Onboarded",IF(OR(M445="Member",M445="Ambassador"),"Sponsored",IF(K445&lt;&gt;"","Follow-Up",IF(I445&lt;&gt;"","Presented",IF(F445&lt;&gt;"","Contacted","New Lead"))))))</f>
        <v/>
      </c>
      <c r="S445" s="6"/>
      <c r="T445" s="6" t="str">
        <f aca="true">IF(MAX(F445,I445,K445)=0,"",TODAY()-MAX(F445,I445,K445))</f>
        <v/>
      </c>
      <c r="U445" s="6"/>
      <c r="V445" s="6"/>
      <c r="W445" s="6" t="str">
        <f aca="false">IF(AND($A445="",$B445=""),"",IF(M445="Ambassador","1 - Ambassador",IF(M445="Member","2 - Member",IF(J445="Completed","3 - Presented",IF(H445&lt;&gt;"","4 - Sent",IF(F445&lt;&gt;"","5 - Contacted","6 - No Activity"))))))</f>
        <v/>
      </c>
      <c r="X445" s="6" t="n">
        <f aca="false">IF(AND($A445="",$B445=""),9999999+(ROW()-4),VALUE(LEFT($W445,1))*10000+(ROW()-4))</f>
        <v>10000440</v>
      </c>
    </row>
    <row r="446" customFormat="false" ht="15" hidden="false" customHeight="true" outlineLevel="0" collapsed="false">
      <c r="A446" s="6"/>
      <c r="B446" s="6"/>
      <c r="C446" s="6"/>
      <c r="D446" s="6"/>
      <c r="E446" s="6"/>
      <c r="F446" s="7"/>
      <c r="G446" s="6"/>
      <c r="H446" s="6"/>
      <c r="I446" s="7"/>
      <c r="J446" s="6"/>
      <c r="K446" s="7"/>
      <c r="L446" s="6"/>
      <c r="M446" s="6"/>
      <c r="N446" s="7"/>
      <c r="O446" s="6"/>
      <c r="P446" s="6"/>
      <c r="Q446" s="7"/>
      <c r="R446" s="6" t="str">
        <f aca="false">IF(AND($A446="",$B446=""),"",IF(Q446="Complete","Onboarded",IF(OR(M446="Member",M446="Ambassador"),"Sponsored",IF(K446&lt;&gt;"","Follow-Up",IF(I446&lt;&gt;"","Presented",IF(F446&lt;&gt;"","Contacted","New Lead"))))))</f>
        <v/>
      </c>
      <c r="S446" s="6"/>
      <c r="T446" s="6" t="str">
        <f aca="true">IF(MAX(F446,I446,K446)=0,"",TODAY()-MAX(F446,I446,K446))</f>
        <v/>
      </c>
      <c r="U446" s="6"/>
      <c r="V446" s="6"/>
      <c r="W446" s="6" t="str">
        <f aca="false">IF(AND($A446="",$B446=""),"",IF(M446="Ambassador","1 - Ambassador",IF(M446="Member","2 - Member",IF(J446="Completed","3 - Presented",IF(H446&lt;&gt;"","4 - Sent",IF(F446&lt;&gt;"","5 - Contacted","6 - No Activity"))))))</f>
        <v/>
      </c>
      <c r="X446" s="6" t="n">
        <f aca="false">IF(AND($A446="",$B446=""),9999999+(ROW()-4),VALUE(LEFT($W446,1))*10000+(ROW()-4))</f>
        <v>10000441</v>
      </c>
    </row>
    <row r="447" customFormat="false" ht="15" hidden="false" customHeight="true" outlineLevel="0" collapsed="false">
      <c r="A447" s="6"/>
      <c r="B447" s="6"/>
      <c r="C447" s="6"/>
      <c r="D447" s="6"/>
      <c r="E447" s="6"/>
      <c r="F447" s="7"/>
      <c r="G447" s="6"/>
      <c r="H447" s="6"/>
      <c r="I447" s="7"/>
      <c r="J447" s="6"/>
      <c r="K447" s="7"/>
      <c r="L447" s="6"/>
      <c r="M447" s="6"/>
      <c r="N447" s="7"/>
      <c r="O447" s="6"/>
      <c r="P447" s="6"/>
      <c r="Q447" s="7"/>
      <c r="R447" s="6" t="str">
        <f aca="false">IF(AND($A447="",$B447=""),"",IF(Q447="Complete","Onboarded",IF(OR(M447="Member",M447="Ambassador"),"Sponsored",IF(K447&lt;&gt;"","Follow-Up",IF(I447&lt;&gt;"","Presented",IF(F447&lt;&gt;"","Contacted","New Lead"))))))</f>
        <v/>
      </c>
      <c r="S447" s="6"/>
      <c r="T447" s="6" t="str">
        <f aca="true">IF(MAX(F447,I447,K447)=0,"",TODAY()-MAX(F447,I447,K447))</f>
        <v/>
      </c>
      <c r="U447" s="6"/>
      <c r="V447" s="6"/>
      <c r="W447" s="6" t="str">
        <f aca="false">IF(AND($A447="",$B447=""),"",IF(M447="Ambassador","1 - Ambassador",IF(M447="Member","2 - Member",IF(J447="Completed","3 - Presented",IF(H447&lt;&gt;"","4 - Sent",IF(F447&lt;&gt;"","5 - Contacted","6 - No Activity"))))))</f>
        <v/>
      </c>
      <c r="X447" s="6" t="n">
        <f aca="false">IF(AND($A447="",$B447=""),9999999+(ROW()-4),VALUE(LEFT($W447,1))*10000+(ROW()-4))</f>
        <v>10000442</v>
      </c>
    </row>
    <row r="448" customFormat="false" ht="15" hidden="false" customHeight="true" outlineLevel="0" collapsed="false">
      <c r="A448" s="6"/>
      <c r="B448" s="6"/>
      <c r="C448" s="6"/>
      <c r="D448" s="6"/>
      <c r="E448" s="6"/>
      <c r="F448" s="7"/>
      <c r="G448" s="6"/>
      <c r="H448" s="6"/>
      <c r="I448" s="7"/>
      <c r="J448" s="6"/>
      <c r="K448" s="7"/>
      <c r="L448" s="6"/>
      <c r="M448" s="6"/>
      <c r="N448" s="7"/>
      <c r="O448" s="6"/>
      <c r="P448" s="6"/>
      <c r="Q448" s="7"/>
      <c r="R448" s="6" t="str">
        <f aca="false">IF(AND($A448="",$B448=""),"",IF(Q448="Complete","Onboarded",IF(OR(M448="Member",M448="Ambassador"),"Sponsored",IF(K448&lt;&gt;"","Follow-Up",IF(I448&lt;&gt;"","Presented",IF(F448&lt;&gt;"","Contacted","New Lead"))))))</f>
        <v/>
      </c>
      <c r="S448" s="6"/>
      <c r="T448" s="6" t="str">
        <f aca="true">IF(MAX(F448,I448,K448)=0,"",TODAY()-MAX(F448,I448,K448))</f>
        <v/>
      </c>
      <c r="U448" s="6"/>
      <c r="V448" s="6"/>
      <c r="W448" s="6" t="str">
        <f aca="false">IF(AND($A448="",$B448=""),"",IF(M448="Ambassador","1 - Ambassador",IF(M448="Member","2 - Member",IF(J448="Completed","3 - Presented",IF(H448&lt;&gt;"","4 - Sent",IF(F448&lt;&gt;"","5 - Contacted","6 - No Activity"))))))</f>
        <v/>
      </c>
      <c r="X448" s="6" t="n">
        <f aca="false">IF(AND($A448="",$B448=""),9999999+(ROW()-4),VALUE(LEFT($W448,1))*10000+(ROW()-4))</f>
        <v>10000443</v>
      </c>
    </row>
    <row r="449" customFormat="false" ht="15" hidden="false" customHeight="true" outlineLevel="0" collapsed="false">
      <c r="A449" s="6"/>
      <c r="B449" s="6"/>
      <c r="C449" s="6"/>
      <c r="D449" s="6"/>
      <c r="E449" s="6"/>
      <c r="F449" s="7"/>
      <c r="G449" s="6"/>
      <c r="H449" s="6"/>
      <c r="I449" s="7"/>
      <c r="J449" s="6"/>
      <c r="K449" s="7"/>
      <c r="L449" s="6"/>
      <c r="M449" s="6"/>
      <c r="N449" s="7"/>
      <c r="O449" s="6"/>
      <c r="P449" s="6"/>
      <c r="Q449" s="7"/>
      <c r="R449" s="6" t="str">
        <f aca="false">IF(AND($A449="",$B449=""),"",IF(Q449="Complete","Onboarded",IF(OR(M449="Member",M449="Ambassador"),"Sponsored",IF(K449&lt;&gt;"","Follow-Up",IF(I449&lt;&gt;"","Presented",IF(F449&lt;&gt;"","Contacted","New Lead"))))))</f>
        <v/>
      </c>
      <c r="S449" s="6"/>
      <c r="T449" s="6" t="str">
        <f aca="true">IF(MAX(F449,I449,K449)=0,"",TODAY()-MAX(F449,I449,K449))</f>
        <v/>
      </c>
      <c r="U449" s="6"/>
      <c r="V449" s="6"/>
      <c r="W449" s="6" t="str">
        <f aca="false">IF(AND($A449="",$B449=""),"",IF(M449="Ambassador","1 - Ambassador",IF(M449="Member","2 - Member",IF(J449="Completed","3 - Presented",IF(H449&lt;&gt;"","4 - Sent",IF(F449&lt;&gt;"","5 - Contacted","6 - No Activity"))))))</f>
        <v/>
      </c>
      <c r="X449" s="6" t="n">
        <f aca="false">IF(AND($A449="",$B449=""),9999999+(ROW()-4),VALUE(LEFT($W449,1))*10000+(ROW()-4))</f>
        <v>10000444</v>
      </c>
    </row>
    <row r="450" customFormat="false" ht="15" hidden="false" customHeight="true" outlineLevel="0" collapsed="false">
      <c r="A450" s="6"/>
      <c r="B450" s="6"/>
      <c r="C450" s="6"/>
      <c r="D450" s="6"/>
      <c r="E450" s="6"/>
      <c r="F450" s="7"/>
      <c r="G450" s="6"/>
      <c r="H450" s="6"/>
      <c r="I450" s="7"/>
      <c r="J450" s="6"/>
      <c r="K450" s="7"/>
      <c r="L450" s="6"/>
      <c r="M450" s="6"/>
      <c r="N450" s="7"/>
      <c r="O450" s="6"/>
      <c r="P450" s="6"/>
      <c r="Q450" s="7"/>
      <c r="R450" s="6" t="str">
        <f aca="false">IF(AND($A450="",$B450=""),"",IF(Q450="Complete","Onboarded",IF(OR(M450="Member",M450="Ambassador"),"Sponsored",IF(K450&lt;&gt;"","Follow-Up",IF(I450&lt;&gt;"","Presented",IF(F450&lt;&gt;"","Contacted","New Lead"))))))</f>
        <v/>
      </c>
      <c r="S450" s="6"/>
      <c r="T450" s="6" t="str">
        <f aca="true">IF(MAX(F450,I450,K450)=0,"",TODAY()-MAX(F450,I450,K450))</f>
        <v/>
      </c>
      <c r="U450" s="6"/>
      <c r="V450" s="6"/>
      <c r="W450" s="6" t="str">
        <f aca="false">IF(AND($A450="",$B450=""),"",IF(M450="Ambassador","1 - Ambassador",IF(M450="Member","2 - Member",IF(J450="Completed","3 - Presented",IF(H450&lt;&gt;"","4 - Sent",IF(F450&lt;&gt;"","5 - Contacted","6 - No Activity"))))))</f>
        <v/>
      </c>
      <c r="X450" s="6" t="n">
        <f aca="false">IF(AND($A450="",$B450=""),9999999+(ROW()-4),VALUE(LEFT($W450,1))*10000+(ROW()-4))</f>
        <v>10000445</v>
      </c>
    </row>
    <row r="451" customFormat="false" ht="15" hidden="false" customHeight="true" outlineLevel="0" collapsed="false">
      <c r="A451" s="6"/>
      <c r="B451" s="6"/>
      <c r="C451" s="6"/>
      <c r="D451" s="6"/>
      <c r="E451" s="6"/>
      <c r="F451" s="7"/>
      <c r="G451" s="6"/>
      <c r="H451" s="6"/>
      <c r="I451" s="7"/>
      <c r="J451" s="6"/>
      <c r="K451" s="7"/>
      <c r="L451" s="6"/>
      <c r="M451" s="6"/>
      <c r="N451" s="7"/>
      <c r="O451" s="6"/>
      <c r="P451" s="6"/>
      <c r="Q451" s="7"/>
      <c r="R451" s="6" t="str">
        <f aca="false">IF(AND($A451="",$B451=""),"",IF(Q451="Complete","Onboarded",IF(OR(M451="Member",M451="Ambassador"),"Sponsored",IF(K451&lt;&gt;"","Follow-Up",IF(I451&lt;&gt;"","Presented",IF(F451&lt;&gt;"","Contacted","New Lead"))))))</f>
        <v/>
      </c>
      <c r="S451" s="6"/>
      <c r="T451" s="6" t="str">
        <f aca="true">IF(MAX(F451,I451,K451)=0,"",TODAY()-MAX(F451,I451,K451))</f>
        <v/>
      </c>
      <c r="U451" s="6"/>
      <c r="V451" s="6"/>
      <c r="W451" s="6" t="str">
        <f aca="false">IF(AND($A451="",$B451=""),"",IF(M451="Ambassador","1 - Ambassador",IF(M451="Member","2 - Member",IF(J451="Completed","3 - Presented",IF(H451&lt;&gt;"","4 - Sent",IF(F451&lt;&gt;"","5 - Contacted","6 - No Activity"))))))</f>
        <v/>
      </c>
      <c r="X451" s="6" t="n">
        <f aca="false">IF(AND($A451="",$B451=""),9999999+(ROW()-4),VALUE(LEFT($W451,1))*10000+(ROW()-4))</f>
        <v>10000446</v>
      </c>
    </row>
    <row r="452" customFormat="false" ht="15" hidden="false" customHeight="true" outlineLevel="0" collapsed="false">
      <c r="A452" s="6"/>
      <c r="B452" s="6"/>
      <c r="C452" s="6"/>
      <c r="D452" s="6"/>
      <c r="E452" s="6"/>
      <c r="F452" s="7"/>
      <c r="G452" s="6"/>
      <c r="H452" s="6"/>
      <c r="I452" s="7"/>
      <c r="J452" s="6"/>
      <c r="K452" s="7"/>
      <c r="L452" s="6"/>
      <c r="M452" s="6"/>
      <c r="N452" s="7"/>
      <c r="O452" s="6"/>
      <c r="P452" s="6"/>
      <c r="Q452" s="7"/>
      <c r="R452" s="6" t="str">
        <f aca="false">IF(AND($A452="",$B452=""),"",IF(Q452="Complete","Onboarded",IF(OR(M452="Member",M452="Ambassador"),"Sponsored",IF(K452&lt;&gt;"","Follow-Up",IF(I452&lt;&gt;"","Presented",IF(F452&lt;&gt;"","Contacted","New Lead"))))))</f>
        <v/>
      </c>
      <c r="S452" s="6"/>
      <c r="T452" s="6" t="str">
        <f aca="true">IF(MAX(F452,I452,K452)=0,"",TODAY()-MAX(F452,I452,K452))</f>
        <v/>
      </c>
      <c r="U452" s="6"/>
      <c r="V452" s="6"/>
      <c r="W452" s="6" t="str">
        <f aca="false">IF(AND($A452="",$B452=""),"",IF(M452="Ambassador","1 - Ambassador",IF(M452="Member","2 - Member",IF(J452="Completed","3 - Presented",IF(H452&lt;&gt;"","4 - Sent",IF(F452&lt;&gt;"","5 - Contacted","6 - No Activity"))))))</f>
        <v/>
      </c>
      <c r="X452" s="6" t="n">
        <f aca="false">IF(AND($A452="",$B452=""),9999999+(ROW()-4),VALUE(LEFT($W452,1))*10000+(ROW()-4))</f>
        <v>10000447</v>
      </c>
    </row>
    <row r="453" customFormat="false" ht="15" hidden="false" customHeight="true" outlineLevel="0" collapsed="false">
      <c r="A453" s="6"/>
      <c r="B453" s="6"/>
      <c r="C453" s="6"/>
      <c r="D453" s="6"/>
      <c r="E453" s="6"/>
      <c r="F453" s="7"/>
      <c r="G453" s="6"/>
      <c r="H453" s="6"/>
      <c r="I453" s="7"/>
      <c r="J453" s="6"/>
      <c r="K453" s="7"/>
      <c r="L453" s="6"/>
      <c r="M453" s="6"/>
      <c r="N453" s="7"/>
      <c r="O453" s="6"/>
      <c r="P453" s="6"/>
      <c r="Q453" s="7"/>
      <c r="R453" s="6" t="str">
        <f aca="false">IF(AND($A453="",$B453=""),"",IF(Q453="Complete","Onboarded",IF(OR(M453="Member",M453="Ambassador"),"Sponsored",IF(K453&lt;&gt;"","Follow-Up",IF(I453&lt;&gt;"","Presented",IF(F453&lt;&gt;"","Contacted","New Lead"))))))</f>
        <v/>
      </c>
      <c r="S453" s="6"/>
      <c r="T453" s="6" t="str">
        <f aca="true">IF(MAX(F453,I453,K453)=0,"",TODAY()-MAX(F453,I453,K453))</f>
        <v/>
      </c>
      <c r="U453" s="6"/>
      <c r="V453" s="6"/>
      <c r="W453" s="6" t="str">
        <f aca="false">IF(AND($A453="",$B453=""),"",IF(M453="Ambassador","1 - Ambassador",IF(M453="Member","2 - Member",IF(J453="Completed","3 - Presented",IF(H453&lt;&gt;"","4 - Sent",IF(F453&lt;&gt;"","5 - Contacted","6 - No Activity"))))))</f>
        <v/>
      </c>
      <c r="X453" s="6" t="n">
        <f aca="false">IF(AND($A453="",$B453=""),9999999+(ROW()-4),VALUE(LEFT($W453,1))*10000+(ROW()-4))</f>
        <v>10000448</v>
      </c>
    </row>
    <row r="454" customFormat="false" ht="15" hidden="false" customHeight="true" outlineLevel="0" collapsed="false">
      <c r="A454" s="6"/>
      <c r="B454" s="6"/>
      <c r="C454" s="6"/>
      <c r="D454" s="6"/>
      <c r="E454" s="6"/>
      <c r="F454" s="7"/>
      <c r="G454" s="6"/>
      <c r="H454" s="6"/>
      <c r="I454" s="7"/>
      <c r="J454" s="6"/>
      <c r="K454" s="7"/>
      <c r="L454" s="6"/>
      <c r="M454" s="6"/>
      <c r="N454" s="7"/>
      <c r="O454" s="6"/>
      <c r="P454" s="6"/>
      <c r="Q454" s="7"/>
      <c r="R454" s="6" t="str">
        <f aca="false">IF(AND($A454="",$B454=""),"",IF(Q454="Complete","Onboarded",IF(OR(M454="Member",M454="Ambassador"),"Sponsored",IF(K454&lt;&gt;"","Follow-Up",IF(I454&lt;&gt;"","Presented",IF(F454&lt;&gt;"","Contacted","New Lead"))))))</f>
        <v/>
      </c>
      <c r="S454" s="6"/>
      <c r="T454" s="6" t="str">
        <f aca="true">IF(MAX(F454,I454,K454)=0,"",TODAY()-MAX(F454,I454,K454))</f>
        <v/>
      </c>
      <c r="U454" s="6"/>
      <c r="V454" s="6"/>
      <c r="W454" s="6" t="str">
        <f aca="false">IF(AND($A454="",$B454=""),"",IF(M454="Ambassador","1 - Ambassador",IF(M454="Member","2 - Member",IF(J454="Completed","3 - Presented",IF(H454&lt;&gt;"","4 - Sent",IF(F454&lt;&gt;"","5 - Contacted","6 - No Activity"))))))</f>
        <v/>
      </c>
      <c r="X454" s="6" t="n">
        <f aca="false">IF(AND($A454="",$B454=""),9999999+(ROW()-4),VALUE(LEFT($W454,1))*10000+(ROW()-4))</f>
        <v>10000449</v>
      </c>
    </row>
    <row r="455" customFormat="false" ht="15" hidden="false" customHeight="true" outlineLevel="0" collapsed="false">
      <c r="A455" s="6"/>
      <c r="B455" s="6"/>
      <c r="C455" s="6"/>
      <c r="D455" s="6"/>
      <c r="E455" s="6"/>
      <c r="F455" s="7"/>
      <c r="G455" s="6"/>
      <c r="H455" s="6"/>
      <c r="I455" s="7"/>
      <c r="J455" s="6"/>
      <c r="K455" s="7"/>
      <c r="L455" s="6"/>
      <c r="M455" s="6"/>
      <c r="N455" s="7"/>
      <c r="O455" s="6"/>
      <c r="P455" s="6"/>
      <c r="Q455" s="7"/>
      <c r="R455" s="6" t="str">
        <f aca="false">IF(AND($A455="",$B455=""),"",IF(Q455="Complete","Onboarded",IF(OR(M455="Member",M455="Ambassador"),"Sponsored",IF(K455&lt;&gt;"","Follow-Up",IF(I455&lt;&gt;"","Presented",IF(F455&lt;&gt;"","Contacted","New Lead"))))))</f>
        <v/>
      </c>
      <c r="S455" s="6"/>
      <c r="T455" s="6" t="str">
        <f aca="true">IF(MAX(F455,I455,K455)=0,"",TODAY()-MAX(F455,I455,K455))</f>
        <v/>
      </c>
      <c r="U455" s="6"/>
      <c r="V455" s="6"/>
      <c r="W455" s="6" t="str">
        <f aca="false">IF(AND($A455="",$B455=""),"",IF(M455="Ambassador","1 - Ambassador",IF(M455="Member","2 - Member",IF(J455="Completed","3 - Presented",IF(H455&lt;&gt;"","4 - Sent",IF(F455&lt;&gt;"","5 - Contacted","6 - No Activity"))))))</f>
        <v/>
      </c>
      <c r="X455" s="6" t="n">
        <f aca="false">IF(AND($A455="",$B455=""),9999999+(ROW()-4),VALUE(LEFT($W455,1))*10000+(ROW()-4))</f>
        <v>10000450</v>
      </c>
    </row>
    <row r="456" customFormat="false" ht="15" hidden="false" customHeight="true" outlineLevel="0" collapsed="false">
      <c r="A456" s="6"/>
      <c r="B456" s="6"/>
      <c r="C456" s="6"/>
      <c r="D456" s="6"/>
      <c r="E456" s="6"/>
      <c r="F456" s="7"/>
      <c r="G456" s="6"/>
      <c r="H456" s="6"/>
      <c r="I456" s="7"/>
      <c r="J456" s="6"/>
      <c r="K456" s="7"/>
      <c r="L456" s="6"/>
      <c r="M456" s="6"/>
      <c r="N456" s="7"/>
      <c r="O456" s="6"/>
      <c r="P456" s="6"/>
      <c r="Q456" s="7"/>
      <c r="R456" s="6" t="str">
        <f aca="false">IF(AND($A456="",$B456=""),"",IF(Q456="Complete","Onboarded",IF(OR(M456="Member",M456="Ambassador"),"Sponsored",IF(K456&lt;&gt;"","Follow-Up",IF(I456&lt;&gt;"","Presented",IF(F456&lt;&gt;"","Contacted","New Lead"))))))</f>
        <v/>
      </c>
      <c r="S456" s="6"/>
      <c r="T456" s="6" t="str">
        <f aca="true">IF(MAX(F456,I456,K456)=0,"",TODAY()-MAX(F456,I456,K456))</f>
        <v/>
      </c>
      <c r="U456" s="6"/>
      <c r="V456" s="6"/>
      <c r="W456" s="6" t="str">
        <f aca="false">IF(AND($A456="",$B456=""),"",IF(M456="Ambassador","1 - Ambassador",IF(M456="Member","2 - Member",IF(J456="Completed","3 - Presented",IF(H456&lt;&gt;"","4 - Sent",IF(F456&lt;&gt;"","5 - Contacted","6 - No Activity"))))))</f>
        <v/>
      </c>
      <c r="X456" s="6" t="n">
        <f aca="false">IF(AND($A456="",$B456=""),9999999+(ROW()-4),VALUE(LEFT($W456,1))*10000+(ROW()-4))</f>
        <v>10000451</v>
      </c>
    </row>
    <row r="457" customFormat="false" ht="15" hidden="false" customHeight="true" outlineLevel="0" collapsed="false">
      <c r="A457" s="6"/>
      <c r="B457" s="6"/>
      <c r="C457" s="6"/>
      <c r="D457" s="6"/>
      <c r="E457" s="6"/>
      <c r="F457" s="7"/>
      <c r="G457" s="6"/>
      <c r="H457" s="6"/>
      <c r="I457" s="7"/>
      <c r="J457" s="6"/>
      <c r="K457" s="7"/>
      <c r="L457" s="6"/>
      <c r="M457" s="6"/>
      <c r="N457" s="7"/>
      <c r="O457" s="6"/>
      <c r="P457" s="6"/>
      <c r="Q457" s="7"/>
      <c r="R457" s="6" t="str">
        <f aca="false">IF(AND($A457="",$B457=""),"",IF(Q457="Complete","Onboarded",IF(OR(M457="Member",M457="Ambassador"),"Sponsored",IF(K457&lt;&gt;"","Follow-Up",IF(I457&lt;&gt;"","Presented",IF(F457&lt;&gt;"","Contacted","New Lead"))))))</f>
        <v/>
      </c>
      <c r="S457" s="6"/>
      <c r="T457" s="6" t="str">
        <f aca="true">IF(MAX(F457,I457,K457)=0,"",TODAY()-MAX(F457,I457,K457))</f>
        <v/>
      </c>
      <c r="U457" s="6"/>
      <c r="V457" s="6"/>
      <c r="W457" s="6" t="str">
        <f aca="false">IF(AND($A457="",$B457=""),"",IF(M457="Ambassador","1 - Ambassador",IF(M457="Member","2 - Member",IF(J457="Completed","3 - Presented",IF(H457&lt;&gt;"","4 - Sent",IF(F457&lt;&gt;"","5 - Contacted","6 - No Activity"))))))</f>
        <v/>
      </c>
      <c r="X457" s="6" t="n">
        <f aca="false">IF(AND($A457="",$B457=""),9999999+(ROW()-4),VALUE(LEFT($W457,1))*10000+(ROW()-4))</f>
        <v>10000452</v>
      </c>
    </row>
    <row r="458" customFormat="false" ht="15" hidden="false" customHeight="true" outlineLevel="0" collapsed="false">
      <c r="A458" s="6"/>
      <c r="B458" s="6"/>
      <c r="C458" s="6"/>
      <c r="D458" s="6"/>
      <c r="E458" s="6"/>
      <c r="F458" s="7"/>
      <c r="G458" s="6"/>
      <c r="H458" s="6"/>
      <c r="I458" s="7"/>
      <c r="J458" s="6"/>
      <c r="K458" s="7"/>
      <c r="L458" s="6"/>
      <c r="M458" s="6"/>
      <c r="N458" s="7"/>
      <c r="O458" s="6"/>
      <c r="P458" s="6"/>
      <c r="Q458" s="7"/>
      <c r="R458" s="6" t="str">
        <f aca="false">IF(AND($A458="",$B458=""),"",IF(Q458="Complete","Onboarded",IF(OR(M458="Member",M458="Ambassador"),"Sponsored",IF(K458&lt;&gt;"","Follow-Up",IF(I458&lt;&gt;"","Presented",IF(F458&lt;&gt;"","Contacted","New Lead"))))))</f>
        <v/>
      </c>
      <c r="S458" s="6"/>
      <c r="T458" s="6" t="str">
        <f aca="true">IF(MAX(F458,I458,K458)=0,"",TODAY()-MAX(F458,I458,K458))</f>
        <v/>
      </c>
      <c r="U458" s="6"/>
      <c r="V458" s="6"/>
      <c r="W458" s="6" t="str">
        <f aca="false">IF(AND($A458="",$B458=""),"",IF(M458="Ambassador","1 - Ambassador",IF(M458="Member","2 - Member",IF(J458="Completed","3 - Presented",IF(H458&lt;&gt;"","4 - Sent",IF(F458&lt;&gt;"","5 - Contacted","6 - No Activity"))))))</f>
        <v/>
      </c>
      <c r="X458" s="6" t="n">
        <f aca="false">IF(AND($A458="",$B458=""),9999999+(ROW()-4),VALUE(LEFT($W458,1))*10000+(ROW()-4))</f>
        <v>10000453</v>
      </c>
    </row>
    <row r="459" customFormat="false" ht="15" hidden="false" customHeight="true" outlineLevel="0" collapsed="false">
      <c r="A459" s="6"/>
      <c r="B459" s="6"/>
      <c r="C459" s="6"/>
      <c r="D459" s="6"/>
      <c r="E459" s="6"/>
      <c r="F459" s="7"/>
      <c r="G459" s="6"/>
      <c r="H459" s="6"/>
      <c r="I459" s="7"/>
      <c r="J459" s="6"/>
      <c r="K459" s="7"/>
      <c r="L459" s="6"/>
      <c r="M459" s="6"/>
      <c r="N459" s="7"/>
      <c r="O459" s="6"/>
      <c r="P459" s="6"/>
      <c r="Q459" s="7"/>
      <c r="R459" s="6" t="str">
        <f aca="false">IF(AND($A459="",$B459=""),"",IF(Q459="Complete","Onboarded",IF(OR(M459="Member",M459="Ambassador"),"Sponsored",IF(K459&lt;&gt;"","Follow-Up",IF(I459&lt;&gt;"","Presented",IF(F459&lt;&gt;"","Contacted","New Lead"))))))</f>
        <v/>
      </c>
      <c r="S459" s="6"/>
      <c r="T459" s="6" t="str">
        <f aca="true">IF(MAX(F459,I459,K459)=0,"",TODAY()-MAX(F459,I459,K459))</f>
        <v/>
      </c>
      <c r="U459" s="6"/>
      <c r="V459" s="6"/>
      <c r="W459" s="6" t="str">
        <f aca="false">IF(AND($A459="",$B459=""),"",IF(M459="Ambassador","1 - Ambassador",IF(M459="Member","2 - Member",IF(J459="Completed","3 - Presented",IF(H459&lt;&gt;"","4 - Sent",IF(F459&lt;&gt;"","5 - Contacted","6 - No Activity"))))))</f>
        <v/>
      </c>
      <c r="X459" s="6" t="n">
        <f aca="false">IF(AND($A459="",$B459=""),9999999+(ROW()-4),VALUE(LEFT($W459,1))*10000+(ROW()-4))</f>
        <v>10000454</v>
      </c>
    </row>
    <row r="460" customFormat="false" ht="15" hidden="false" customHeight="true" outlineLevel="0" collapsed="false">
      <c r="A460" s="6"/>
      <c r="B460" s="6"/>
      <c r="C460" s="6"/>
      <c r="D460" s="6"/>
      <c r="E460" s="6"/>
      <c r="F460" s="7"/>
      <c r="G460" s="6"/>
      <c r="H460" s="6"/>
      <c r="I460" s="7"/>
      <c r="J460" s="6"/>
      <c r="K460" s="7"/>
      <c r="L460" s="6"/>
      <c r="M460" s="6"/>
      <c r="N460" s="7"/>
      <c r="O460" s="6"/>
      <c r="P460" s="6"/>
      <c r="Q460" s="7"/>
      <c r="R460" s="6" t="str">
        <f aca="false">IF(AND($A460="",$B460=""),"",IF(Q460="Complete","Onboarded",IF(OR(M460="Member",M460="Ambassador"),"Sponsored",IF(K460&lt;&gt;"","Follow-Up",IF(I460&lt;&gt;"","Presented",IF(F460&lt;&gt;"","Contacted","New Lead"))))))</f>
        <v/>
      </c>
      <c r="S460" s="6"/>
      <c r="T460" s="6" t="str">
        <f aca="true">IF(MAX(F460,I460,K460)=0,"",TODAY()-MAX(F460,I460,K460))</f>
        <v/>
      </c>
      <c r="U460" s="6"/>
      <c r="V460" s="6"/>
      <c r="W460" s="6" t="str">
        <f aca="false">IF(AND($A460="",$B460=""),"",IF(M460="Ambassador","1 - Ambassador",IF(M460="Member","2 - Member",IF(J460="Completed","3 - Presented",IF(H460&lt;&gt;"","4 - Sent",IF(F460&lt;&gt;"","5 - Contacted","6 - No Activity"))))))</f>
        <v/>
      </c>
      <c r="X460" s="6" t="n">
        <f aca="false">IF(AND($A460="",$B460=""),9999999+(ROW()-4),VALUE(LEFT($W460,1))*10000+(ROW()-4))</f>
        <v>10000455</v>
      </c>
    </row>
    <row r="461" customFormat="false" ht="15" hidden="false" customHeight="true" outlineLevel="0" collapsed="false">
      <c r="A461" s="6"/>
      <c r="B461" s="6"/>
      <c r="C461" s="6"/>
      <c r="D461" s="6"/>
      <c r="E461" s="6"/>
      <c r="F461" s="7"/>
      <c r="G461" s="6"/>
      <c r="H461" s="6"/>
      <c r="I461" s="7"/>
      <c r="J461" s="6"/>
      <c r="K461" s="7"/>
      <c r="L461" s="6"/>
      <c r="M461" s="6"/>
      <c r="N461" s="7"/>
      <c r="O461" s="6"/>
      <c r="P461" s="6"/>
      <c r="Q461" s="7"/>
      <c r="R461" s="6" t="str">
        <f aca="false">IF(AND($A461="",$B461=""),"",IF(Q461="Complete","Onboarded",IF(OR(M461="Member",M461="Ambassador"),"Sponsored",IF(K461&lt;&gt;"","Follow-Up",IF(I461&lt;&gt;"","Presented",IF(F461&lt;&gt;"","Contacted","New Lead"))))))</f>
        <v/>
      </c>
      <c r="S461" s="6"/>
      <c r="T461" s="6" t="str">
        <f aca="true">IF(MAX(F461,I461,K461)=0,"",TODAY()-MAX(F461,I461,K461))</f>
        <v/>
      </c>
      <c r="U461" s="6"/>
      <c r="V461" s="6"/>
      <c r="W461" s="6" t="str">
        <f aca="false">IF(AND($A461="",$B461=""),"",IF(M461="Ambassador","1 - Ambassador",IF(M461="Member","2 - Member",IF(J461="Completed","3 - Presented",IF(H461&lt;&gt;"","4 - Sent",IF(F461&lt;&gt;"","5 - Contacted","6 - No Activity"))))))</f>
        <v/>
      </c>
      <c r="X461" s="6" t="n">
        <f aca="false">IF(AND($A461="",$B461=""),9999999+(ROW()-4),VALUE(LEFT($W461,1))*10000+(ROW()-4))</f>
        <v>10000456</v>
      </c>
    </row>
    <row r="462" customFormat="false" ht="15" hidden="false" customHeight="true" outlineLevel="0" collapsed="false">
      <c r="A462" s="6"/>
      <c r="B462" s="6"/>
      <c r="C462" s="6"/>
      <c r="D462" s="6"/>
      <c r="E462" s="6"/>
      <c r="F462" s="7"/>
      <c r="G462" s="6"/>
      <c r="H462" s="6"/>
      <c r="I462" s="7"/>
      <c r="J462" s="6"/>
      <c r="K462" s="7"/>
      <c r="L462" s="6"/>
      <c r="M462" s="6"/>
      <c r="N462" s="7"/>
      <c r="O462" s="6"/>
      <c r="P462" s="6"/>
      <c r="Q462" s="7"/>
      <c r="R462" s="6" t="str">
        <f aca="false">IF(AND($A462="",$B462=""),"",IF(Q462="Complete","Onboarded",IF(OR(M462="Member",M462="Ambassador"),"Sponsored",IF(K462&lt;&gt;"","Follow-Up",IF(I462&lt;&gt;"","Presented",IF(F462&lt;&gt;"","Contacted","New Lead"))))))</f>
        <v/>
      </c>
      <c r="S462" s="6"/>
      <c r="T462" s="6" t="str">
        <f aca="true">IF(MAX(F462,I462,K462)=0,"",TODAY()-MAX(F462,I462,K462))</f>
        <v/>
      </c>
      <c r="U462" s="6"/>
      <c r="V462" s="6"/>
      <c r="W462" s="6" t="str">
        <f aca="false">IF(AND($A462="",$B462=""),"",IF(M462="Ambassador","1 - Ambassador",IF(M462="Member","2 - Member",IF(J462="Completed","3 - Presented",IF(H462&lt;&gt;"","4 - Sent",IF(F462&lt;&gt;"","5 - Contacted","6 - No Activity"))))))</f>
        <v/>
      </c>
      <c r="X462" s="6" t="n">
        <f aca="false">IF(AND($A462="",$B462=""),9999999+(ROW()-4),VALUE(LEFT($W462,1))*10000+(ROW()-4))</f>
        <v>10000457</v>
      </c>
    </row>
    <row r="463" customFormat="false" ht="15" hidden="false" customHeight="true" outlineLevel="0" collapsed="false">
      <c r="A463" s="6"/>
      <c r="B463" s="6"/>
      <c r="C463" s="6"/>
      <c r="D463" s="6"/>
      <c r="E463" s="6"/>
      <c r="F463" s="7"/>
      <c r="G463" s="6"/>
      <c r="H463" s="6"/>
      <c r="I463" s="7"/>
      <c r="J463" s="6"/>
      <c r="K463" s="7"/>
      <c r="L463" s="6"/>
      <c r="M463" s="6"/>
      <c r="N463" s="7"/>
      <c r="O463" s="6"/>
      <c r="P463" s="6"/>
      <c r="Q463" s="7"/>
      <c r="R463" s="6" t="str">
        <f aca="false">IF(AND($A463="",$B463=""),"",IF(Q463="Complete","Onboarded",IF(OR(M463="Member",M463="Ambassador"),"Sponsored",IF(K463&lt;&gt;"","Follow-Up",IF(I463&lt;&gt;"","Presented",IF(F463&lt;&gt;"","Contacted","New Lead"))))))</f>
        <v/>
      </c>
      <c r="S463" s="6"/>
      <c r="T463" s="6" t="str">
        <f aca="true">IF(MAX(F463,I463,K463)=0,"",TODAY()-MAX(F463,I463,K463))</f>
        <v/>
      </c>
      <c r="U463" s="6"/>
      <c r="V463" s="6"/>
      <c r="W463" s="6" t="str">
        <f aca="false">IF(AND($A463="",$B463=""),"",IF(M463="Ambassador","1 - Ambassador",IF(M463="Member","2 - Member",IF(J463="Completed","3 - Presented",IF(H463&lt;&gt;"","4 - Sent",IF(F463&lt;&gt;"","5 - Contacted","6 - No Activity"))))))</f>
        <v/>
      </c>
      <c r="X463" s="6" t="n">
        <f aca="false">IF(AND($A463="",$B463=""),9999999+(ROW()-4),VALUE(LEFT($W463,1))*10000+(ROW()-4))</f>
        <v>10000458</v>
      </c>
    </row>
    <row r="464" customFormat="false" ht="15" hidden="false" customHeight="true" outlineLevel="0" collapsed="false">
      <c r="A464" s="6"/>
      <c r="B464" s="6"/>
      <c r="C464" s="6"/>
      <c r="D464" s="6"/>
      <c r="E464" s="6"/>
      <c r="F464" s="7"/>
      <c r="G464" s="6"/>
      <c r="H464" s="6"/>
      <c r="I464" s="7"/>
      <c r="J464" s="6"/>
      <c r="K464" s="7"/>
      <c r="L464" s="6"/>
      <c r="M464" s="6"/>
      <c r="N464" s="7"/>
      <c r="O464" s="6"/>
      <c r="P464" s="6"/>
      <c r="Q464" s="7"/>
      <c r="R464" s="6" t="str">
        <f aca="false">IF(AND($A464="",$B464=""),"",IF(Q464="Complete","Onboarded",IF(OR(M464="Member",M464="Ambassador"),"Sponsored",IF(K464&lt;&gt;"","Follow-Up",IF(I464&lt;&gt;"","Presented",IF(F464&lt;&gt;"","Contacted","New Lead"))))))</f>
        <v/>
      </c>
      <c r="S464" s="6"/>
      <c r="T464" s="6" t="str">
        <f aca="true">IF(MAX(F464,I464,K464)=0,"",TODAY()-MAX(F464,I464,K464))</f>
        <v/>
      </c>
      <c r="U464" s="6"/>
      <c r="V464" s="6"/>
      <c r="W464" s="6" t="str">
        <f aca="false">IF(AND($A464="",$B464=""),"",IF(M464="Ambassador","1 - Ambassador",IF(M464="Member","2 - Member",IF(J464="Completed","3 - Presented",IF(H464&lt;&gt;"","4 - Sent",IF(F464&lt;&gt;"","5 - Contacted","6 - No Activity"))))))</f>
        <v/>
      </c>
      <c r="X464" s="6" t="n">
        <f aca="false">IF(AND($A464="",$B464=""),9999999+(ROW()-4),VALUE(LEFT($W464,1))*10000+(ROW()-4))</f>
        <v>10000459</v>
      </c>
    </row>
    <row r="465" customFormat="false" ht="15" hidden="false" customHeight="true" outlineLevel="0" collapsed="false">
      <c r="A465" s="6"/>
      <c r="B465" s="6"/>
      <c r="C465" s="6"/>
      <c r="D465" s="6"/>
      <c r="E465" s="6"/>
      <c r="F465" s="7"/>
      <c r="G465" s="6"/>
      <c r="H465" s="6"/>
      <c r="I465" s="7"/>
      <c r="J465" s="6"/>
      <c r="K465" s="7"/>
      <c r="L465" s="6"/>
      <c r="M465" s="6"/>
      <c r="N465" s="7"/>
      <c r="O465" s="6"/>
      <c r="P465" s="6"/>
      <c r="Q465" s="7"/>
      <c r="R465" s="6" t="str">
        <f aca="false">IF(AND($A465="",$B465=""),"",IF(Q465="Complete","Onboarded",IF(OR(M465="Member",M465="Ambassador"),"Sponsored",IF(K465&lt;&gt;"","Follow-Up",IF(I465&lt;&gt;"","Presented",IF(F465&lt;&gt;"","Contacted","New Lead"))))))</f>
        <v/>
      </c>
      <c r="S465" s="6"/>
      <c r="T465" s="6" t="str">
        <f aca="true">IF(MAX(F465,I465,K465)=0,"",TODAY()-MAX(F465,I465,K465))</f>
        <v/>
      </c>
      <c r="U465" s="6"/>
      <c r="V465" s="6"/>
      <c r="W465" s="6" t="str">
        <f aca="false">IF(AND($A465="",$B465=""),"",IF(M465="Ambassador","1 - Ambassador",IF(M465="Member","2 - Member",IF(J465="Completed","3 - Presented",IF(H465&lt;&gt;"","4 - Sent",IF(F465&lt;&gt;"","5 - Contacted","6 - No Activity"))))))</f>
        <v/>
      </c>
      <c r="X465" s="6" t="n">
        <f aca="false">IF(AND($A465="",$B465=""),9999999+(ROW()-4),VALUE(LEFT($W465,1))*10000+(ROW()-4))</f>
        <v>10000460</v>
      </c>
    </row>
    <row r="466" customFormat="false" ht="15" hidden="false" customHeight="true" outlineLevel="0" collapsed="false">
      <c r="A466" s="6"/>
      <c r="B466" s="6"/>
      <c r="C466" s="6"/>
      <c r="D466" s="6"/>
      <c r="E466" s="6"/>
      <c r="F466" s="7"/>
      <c r="G466" s="6"/>
      <c r="H466" s="6"/>
      <c r="I466" s="7"/>
      <c r="J466" s="6"/>
      <c r="K466" s="7"/>
      <c r="L466" s="6"/>
      <c r="M466" s="6"/>
      <c r="N466" s="7"/>
      <c r="O466" s="6"/>
      <c r="P466" s="6"/>
      <c r="Q466" s="7"/>
      <c r="R466" s="6" t="str">
        <f aca="false">IF(AND($A466="",$B466=""),"",IF(Q466="Complete","Onboarded",IF(OR(M466="Member",M466="Ambassador"),"Sponsored",IF(K466&lt;&gt;"","Follow-Up",IF(I466&lt;&gt;"","Presented",IF(F466&lt;&gt;"","Contacted","New Lead"))))))</f>
        <v/>
      </c>
      <c r="S466" s="6"/>
      <c r="T466" s="6" t="str">
        <f aca="true">IF(MAX(F466,I466,K466)=0,"",TODAY()-MAX(F466,I466,K466))</f>
        <v/>
      </c>
      <c r="U466" s="6"/>
      <c r="V466" s="6"/>
      <c r="W466" s="6" t="str">
        <f aca="false">IF(AND($A466="",$B466=""),"",IF(M466="Ambassador","1 - Ambassador",IF(M466="Member","2 - Member",IF(J466="Completed","3 - Presented",IF(H466&lt;&gt;"","4 - Sent",IF(F466&lt;&gt;"","5 - Contacted","6 - No Activity"))))))</f>
        <v/>
      </c>
      <c r="X466" s="6" t="n">
        <f aca="false">IF(AND($A466="",$B466=""),9999999+(ROW()-4),VALUE(LEFT($W466,1))*10000+(ROW()-4))</f>
        <v>10000461</v>
      </c>
    </row>
    <row r="467" customFormat="false" ht="15" hidden="false" customHeight="true" outlineLevel="0" collapsed="false">
      <c r="A467" s="6"/>
      <c r="B467" s="6"/>
      <c r="C467" s="6"/>
      <c r="D467" s="6"/>
      <c r="E467" s="6"/>
      <c r="F467" s="7"/>
      <c r="G467" s="6"/>
      <c r="H467" s="6"/>
      <c r="I467" s="7"/>
      <c r="J467" s="6"/>
      <c r="K467" s="7"/>
      <c r="L467" s="6"/>
      <c r="M467" s="6"/>
      <c r="N467" s="7"/>
      <c r="O467" s="6"/>
      <c r="P467" s="6"/>
      <c r="Q467" s="7"/>
      <c r="R467" s="6" t="str">
        <f aca="false">IF(AND($A467="",$B467=""),"",IF(Q467="Complete","Onboarded",IF(OR(M467="Member",M467="Ambassador"),"Sponsored",IF(K467&lt;&gt;"","Follow-Up",IF(I467&lt;&gt;"","Presented",IF(F467&lt;&gt;"","Contacted","New Lead"))))))</f>
        <v/>
      </c>
      <c r="S467" s="6"/>
      <c r="T467" s="6" t="str">
        <f aca="true">IF(MAX(F467,I467,K467)=0,"",TODAY()-MAX(F467,I467,K467))</f>
        <v/>
      </c>
      <c r="U467" s="6"/>
      <c r="V467" s="6"/>
      <c r="W467" s="6" t="str">
        <f aca="false">IF(AND($A467="",$B467=""),"",IF(M467="Ambassador","1 - Ambassador",IF(M467="Member","2 - Member",IF(J467="Completed","3 - Presented",IF(H467&lt;&gt;"","4 - Sent",IF(F467&lt;&gt;"","5 - Contacted","6 - No Activity"))))))</f>
        <v/>
      </c>
      <c r="X467" s="6" t="n">
        <f aca="false">IF(AND($A467="",$B467=""),9999999+(ROW()-4),VALUE(LEFT($W467,1))*10000+(ROW()-4))</f>
        <v>10000462</v>
      </c>
    </row>
    <row r="468" customFormat="false" ht="15" hidden="false" customHeight="true" outlineLevel="0" collapsed="false">
      <c r="A468" s="6"/>
      <c r="B468" s="6"/>
      <c r="C468" s="6"/>
      <c r="D468" s="6"/>
      <c r="E468" s="6"/>
      <c r="F468" s="7"/>
      <c r="G468" s="6"/>
      <c r="H468" s="6"/>
      <c r="I468" s="7"/>
      <c r="J468" s="6"/>
      <c r="K468" s="7"/>
      <c r="L468" s="6"/>
      <c r="M468" s="6"/>
      <c r="N468" s="7"/>
      <c r="O468" s="6"/>
      <c r="P468" s="6"/>
      <c r="Q468" s="7"/>
      <c r="R468" s="6" t="str">
        <f aca="false">IF(AND($A468="",$B468=""),"",IF(Q468="Complete","Onboarded",IF(OR(M468="Member",M468="Ambassador"),"Sponsored",IF(K468&lt;&gt;"","Follow-Up",IF(I468&lt;&gt;"","Presented",IF(F468&lt;&gt;"","Contacted","New Lead"))))))</f>
        <v/>
      </c>
      <c r="S468" s="6"/>
      <c r="T468" s="6" t="str">
        <f aca="true">IF(MAX(F468,I468,K468)=0,"",TODAY()-MAX(F468,I468,K468))</f>
        <v/>
      </c>
      <c r="U468" s="6"/>
      <c r="V468" s="6"/>
      <c r="W468" s="6" t="str">
        <f aca="false">IF(AND($A468="",$B468=""),"",IF(M468="Ambassador","1 - Ambassador",IF(M468="Member","2 - Member",IF(J468="Completed","3 - Presented",IF(H468&lt;&gt;"","4 - Sent",IF(F468&lt;&gt;"","5 - Contacted","6 - No Activity"))))))</f>
        <v/>
      </c>
      <c r="X468" s="6" t="n">
        <f aca="false">IF(AND($A468="",$B468=""),9999999+(ROW()-4),VALUE(LEFT($W468,1))*10000+(ROW()-4))</f>
        <v>10000463</v>
      </c>
    </row>
    <row r="469" customFormat="false" ht="15" hidden="false" customHeight="true" outlineLevel="0" collapsed="false">
      <c r="A469" s="6"/>
      <c r="B469" s="6"/>
      <c r="C469" s="6"/>
      <c r="D469" s="6"/>
      <c r="E469" s="6"/>
      <c r="F469" s="7"/>
      <c r="G469" s="6"/>
      <c r="H469" s="6"/>
      <c r="I469" s="7"/>
      <c r="J469" s="6"/>
      <c r="K469" s="7"/>
      <c r="L469" s="6"/>
      <c r="M469" s="6"/>
      <c r="N469" s="7"/>
      <c r="O469" s="6"/>
      <c r="P469" s="6"/>
      <c r="Q469" s="7"/>
      <c r="R469" s="6" t="str">
        <f aca="false">IF(AND($A469="",$B469=""),"",IF(Q469="Complete","Onboarded",IF(OR(M469="Member",M469="Ambassador"),"Sponsored",IF(K469&lt;&gt;"","Follow-Up",IF(I469&lt;&gt;"","Presented",IF(F469&lt;&gt;"","Contacted","New Lead"))))))</f>
        <v/>
      </c>
      <c r="S469" s="6"/>
      <c r="T469" s="6" t="str">
        <f aca="true">IF(MAX(F469,I469,K469)=0,"",TODAY()-MAX(F469,I469,K469))</f>
        <v/>
      </c>
      <c r="U469" s="6"/>
      <c r="V469" s="6"/>
      <c r="W469" s="6" t="str">
        <f aca="false">IF(AND($A469="",$B469=""),"",IF(M469="Ambassador","1 - Ambassador",IF(M469="Member","2 - Member",IF(J469="Completed","3 - Presented",IF(H469&lt;&gt;"","4 - Sent",IF(F469&lt;&gt;"","5 - Contacted","6 - No Activity"))))))</f>
        <v/>
      </c>
      <c r="X469" s="6" t="n">
        <f aca="false">IF(AND($A469="",$B469=""),9999999+(ROW()-4),VALUE(LEFT($W469,1))*10000+(ROW()-4))</f>
        <v>10000464</v>
      </c>
    </row>
    <row r="470" customFormat="false" ht="15" hidden="false" customHeight="true" outlineLevel="0" collapsed="false">
      <c r="A470" s="6"/>
      <c r="B470" s="6"/>
      <c r="C470" s="6"/>
      <c r="D470" s="6"/>
      <c r="E470" s="6"/>
      <c r="F470" s="7"/>
      <c r="G470" s="6"/>
      <c r="H470" s="6"/>
      <c r="I470" s="7"/>
      <c r="J470" s="6"/>
      <c r="K470" s="7"/>
      <c r="L470" s="6"/>
      <c r="M470" s="6"/>
      <c r="N470" s="7"/>
      <c r="O470" s="6"/>
      <c r="P470" s="6"/>
      <c r="Q470" s="7"/>
      <c r="R470" s="6" t="str">
        <f aca="false">IF(AND($A470="",$B470=""),"",IF(Q470="Complete","Onboarded",IF(OR(M470="Member",M470="Ambassador"),"Sponsored",IF(K470&lt;&gt;"","Follow-Up",IF(I470&lt;&gt;"","Presented",IF(F470&lt;&gt;"","Contacted","New Lead"))))))</f>
        <v/>
      </c>
      <c r="S470" s="6"/>
      <c r="T470" s="6" t="str">
        <f aca="true">IF(MAX(F470,I470,K470)=0,"",TODAY()-MAX(F470,I470,K470))</f>
        <v/>
      </c>
      <c r="U470" s="6"/>
      <c r="V470" s="6"/>
      <c r="W470" s="6" t="str">
        <f aca="false">IF(AND($A470="",$B470=""),"",IF(M470="Ambassador","1 - Ambassador",IF(M470="Member","2 - Member",IF(J470="Completed","3 - Presented",IF(H470&lt;&gt;"","4 - Sent",IF(F470&lt;&gt;"","5 - Contacted","6 - No Activity"))))))</f>
        <v/>
      </c>
      <c r="X470" s="6" t="n">
        <f aca="false">IF(AND($A470="",$B470=""),9999999+(ROW()-4),VALUE(LEFT($W470,1))*10000+(ROW()-4))</f>
        <v>10000465</v>
      </c>
    </row>
    <row r="471" customFormat="false" ht="15" hidden="false" customHeight="true" outlineLevel="0" collapsed="false">
      <c r="A471" s="6"/>
      <c r="B471" s="6"/>
      <c r="C471" s="6"/>
      <c r="D471" s="6"/>
      <c r="E471" s="6"/>
      <c r="F471" s="7"/>
      <c r="G471" s="6"/>
      <c r="H471" s="6"/>
      <c r="I471" s="7"/>
      <c r="J471" s="6"/>
      <c r="K471" s="7"/>
      <c r="L471" s="6"/>
      <c r="M471" s="6"/>
      <c r="N471" s="7"/>
      <c r="O471" s="6"/>
      <c r="P471" s="6"/>
      <c r="Q471" s="7"/>
      <c r="R471" s="6" t="str">
        <f aca="false">IF(AND($A471="",$B471=""),"",IF(Q471="Complete","Onboarded",IF(OR(M471="Member",M471="Ambassador"),"Sponsored",IF(K471&lt;&gt;"","Follow-Up",IF(I471&lt;&gt;"","Presented",IF(F471&lt;&gt;"","Contacted","New Lead"))))))</f>
        <v/>
      </c>
      <c r="S471" s="6"/>
      <c r="T471" s="6" t="str">
        <f aca="true">IF(MAX(F471,I471,K471)=0,"",TODAY()-MAX(F471,I471,K471))</f>
        <v/>
      </c>
      <c r="U471" s="6"/>
      <c r="V471" s="6"/>
      <c r="W471" s="6" t="str">
        <f aca="false">IF(AND($A471="",$B471=""),"",IF(M471="Ambassador","1 - Ambassador",IF(M471="Member","2 - Member",IF(J471="Completed","3 - Presented",IF(H471&lt;&gt;"","4 - Sent",IF(F471&lt;&gt;"","5 - Contacted","6 - No Activity"))))))</f>
        <v/>
      </c>
      <c r="X471" s="6" t="n">
        <f aca="false">IF(AND($A471="",$B471=""),9999999+(ROW()-4),VALUE(LEFT($W471,1))*10000+(ROW()-4))</f>
        <v>10000466</v>
      </c>
    </row>
    <row r="472" customFormat="false" ht="15" hidden="false" customHeight="true" outlineLevel="0" collapsed="false">
      <c r="A472" s="6"/>
      <c r="B472" s="6"/>
      <c r="C472" s="6"/>
      <c r="D472" s="6"/>
      <c r="E472" s="6"/>
      <c r="F472" s="7"/>
      <c r="G472" s="6"/>
      <c r="H472" s="6"/>
      <c r="I472" s="7"/>
      <c r="J472" s="6"/>
      <c r="K472" s="7"/>
      <c r="L472" s="6"/>
      <c r="M472" s="6"/>
      <c r="N472" s="7"/>
      <c r="O472" s="6"/>
      <c r="P472" s="6"/>
      <c r="Q472" s="7"/>
      <c r="R472" s="6" t="str">
        <f aca="false">IF(AND($A472="",$B472=""),"",IF(Q472="Complete","Onboarded",IF(OR(M472="Member",M472="Ambassador"),"Sponsored",IF(K472&lt;&gt;"","Follow-Up",IF(I472&lt;&gt;"","Presented",IF(F472&lt;&gt;"","Contacted","New Lead"))))))</f>
        <v/>
      </c>
      <c r="S472" s="6"/>
      <c r="T472" s="6" t="str">
        <f aca="true">IF(MAX(F472,I472,K472)=0,"",TODAY()-MAX(F472,I472,K472))</f>
        <v/>
      </c>
      <c r="U472" s="6"/>
      <c r="V472" s="6"/>
      <c r="W472" s="6" t="str">
        <f aca="false">IF(AND($A472="",$B472=""),"",IF(M472="Ambassador","1 - Ambassador",IF(M472="Member","2 - Member",IF(J472="Completed","3 - Presented",IF(H472&lt;&gt;"","4 - Sent",IF(F472&lt;&gt;"","5 - Contacted","6 - No Activity"))))))</f>
        <v/>
      </c>
      <c r="X472" s="6" t="n">
        <f aca="false">IF(AND($A472="",$B472=""),9999999+(ROW()-4),VALUE(LEFT($W472,1))*10000+(ROW()-4))</f>
        <v>10000467</v>
      </c>
    </row>
    <row r="473" customFormat="false" ht="15" hidden="false" customHeight="true" outlineLevel="0" collapsed="false">
      <c r="A473" s="6"/>
      <c r="B473" s="6"/>
      <c r="C473" s="6"/>
      <c r="D473" s="6"/>
      <c r="E473" s="6"/>
      <c r="F473" s="7"/>
      <c r="G473" s="6"/>
      <c r="H473" s="6"/>
      <c r="I473" s="7"/>
      <c r="J473" s="6"/>
      <c r="K473" s="7"/>
      <c r="L473" s="6"/>
      <c r="M473" s="6"/>
      <c r="N473" s="7"/>
      <c r="O473" s="6"/>
      <c r="P473" s="6"/>
      <c r="Q473" s="7"/>
      <c r="R473" s="6" t="str">
        <f aca="false">IF(AND($A473="",$B473=""),"",IF(Q473="Complete","Onboarded",IF(OR(M473="Member",M473="Ambassador"),"Sponsored",IF(K473&lt;&gt;"","Follow-Up",IF(I473&lt;&gt;"","Presented",IF(F473&lt;&gt;"","Contacted","New Lead"))))))</f>
        <v/>
      </c>
      <c r="S473" s="6"/>
      <c r="T473" s="6" t="str">
        <f aca="true">IF(MAX(F473,I473,K473)=0,"",TODAY()-MAX(F473,I473,K473))</f>
        <v/>
      </c>
      <c r="U473" s="6"/>
      <c r="V473" s="6"/>
      <c r="W473" s="6" t="str">
        <f aca="false">IF(AND($A473="",$B473=""),"",IF(M473="Ambassador","1 - Ambassador",IF(M473="Member","2 - Member",IF(J473="Completed","3 - Presented",IF(H473&lt;&gt;"","4 - Sent",IF(F473&lt;&gt;"","5 - Contacted","6 - No Activity"))))))</f>
        <v/>
      </c>
      <c r="X473" s="6" t="n">
        <f aca="false">IF(AND($A473="",$B473=""),9999999+(ROW()-4),VALUE(LEFT($W473,1))*10000+(ROW()-4))</f>
        <v>10000468</v>
      </c>
    </row>
    <row r="474" customFormat="false" ht="15" hidden="false" customHeight="true" outlineLevel="0" collapsed="false">
      <c r="A474" s="6"/>
      <c r="B474" s="6"/>
      <c r="C474" s="6"/>
      <c r="D474" s="6"/>
      <c r="E474" s="6"/>
      <c r="F474" s="7"/>
      <c r="G474" s="6"/>
      <c r="H474" s="6"/>
      <c r="I474" s="7"/>
      <c r="J474" s="6"/>
      <c r="K474" s="7"/>
      <c r="L474" s="6"/>
      <c r="M474" s="6"/>
      <c r="N474" s="7"/>
      <c r="O474" s="6"/>
      <c r="P474" s="6"/>
      <c r="Q474" s="7"/>
      <c r="R474" s="6" t="str">
        <f aca="false">IF(AND($A474="",$B474=""),"",IF(Q474="Complete","Onboarded",IF(OR(M474="Member",M474="Ambassador"),"Sponsored",IF(K474&lt;&gt;"","Follow-Up",IF(I474&lt;&gt;"","Presented",IF(F474&lt;&gt;"","Contacted","New Lead"))))))</f>
        <v/>
      </c>
      <c r="S474" s="6"/>
      <c r="T474" s="6" t="str">
        <f aca="true">IF(MAX(F474,I474,K474)=0,"",TODAY()-MAX(F474,I474,K474))</f>
        <v/>
      </c>
      <c r="U474" s="6"/>
      <c r="V474" s="6"/>
      <c r="W474" s="6" t="str">
        <f aca="false">IF(AND($A474="",$B474=""),"",IF(M474="Ambassador","1 - Ambassador",IF(M474="Member","2 - Member",IF(J474="Completed","3 - Presented",IF(H474&lt;&gt;"","4 - Sent",IF(F474&lt;&gt;"","5 - Contacted","6 - No Activity"))))))</f>
        <v/>
      </c>
      <c r="X474" s="6" t="n">
        <f aca="false">IF(AND($A474="",$B474=""),9999999+(ROW()-4),VALUE(LEFT($W474,1))*10000+(ROW()-4))</f>
        <v>10000469</v>
      </c>
    </row>
    <row r="475" customFormat="false" ht="15" hidden="false" customHeight="true" outlineLevel="0" collapsed="false">
      <c r="A475" s="6"/>
      <c r="B475" s="6"/>
      <c r="C475" s="6"/>
      <c r="D475" s="6"/>
      <c r="E475" s="6"/>
      <c r="F475" s="7"/>
      <c r="G475" s="6"/>
      <c r="H475" s="6"/>
      <c r="I475" s="7"/>
      <c r="J475" s="6"/>
      <c r="K475" s="7"/>
      <c r="L475" s="6"/>
      <c r="M475" s="6"/>
      <c r="N475" s="7"/>
      <c r="O475" s="6"/>
      <c r="P475" s="6"/>
      <c r="Q475" s="7"/>
      <c r="R475" s="6" t="str">
        <f aca="false">IF(AND($A475="",$B475=""),"",IF(Q475="Complete","Onboarded",IF(OR(M475="Member",M475="Ambassador"),"Sponsored",IF(K475&lt;&gt;"","Follow-Up",IF(I475&lt;&gt;"","Presented",IF(F475&lt;&gt;"","Contacted","New Lead"))))))</f>
        <v/>
      </c>
      <c r="S475" s="6"/>
      <c r="T475" s="6" t="str">
        <f aca="true">IF(MAX(F475,I475,K475)=0,"",TODAY()-MAX(F475,I475,K475))</f>
        <v/>
      </c>
      <c r="U475" s="6"/>
      <c r="V475" s="6"/>
      <c r="W475" s="6" t="str">
        <f aca="false">IF(AND($A475="",$B475=""),"",IF(M475="Ambassador","1 - Ambassador",IF(M475="Member","2 - Member",IF(J475="Completed","3 - Presented",IF(H475&lt;&gt;"","4 - Sent",IF(F475&lt;&gt;"","5 - Contacted","6 - No Activity"))))))</f>
        <v/>
      </c>
      <c r="X475" s="6" t="n">
        <f aca="false">IF(AND($A475="",$B475=""),9999999+(ROW()-4),VALUE(LEFT($W475,1))*10000+(ROW()-4))</f>
        <v>10000470</v>
      </c>
    </row>
    <row r="476" customFormat="false" ht="15" hidden="false" customHeight="true" outlineLevel="0" collapsed="false">
      <c r="A476" s="6"/>
      <c r="B476" s="6"/>
      <c r="C476" s="6"/>
      <c r="D476" s="6"/>
      <c r="E476" s="6"/>
      <c r="F476" s="7"/>
      <c r="G476" s="6"/>
      <c r="H476" s="6"/>
      <c r="I476" s="7"/>
      <c r="J476" s="6"/>
      <c r="K476" s="7"/>
      <c r="L476" s="6"/>
      <c r="M476" s="6"/>
      <c r="N476" s="7"/>
      <c r="O476" s="6"/>
      <c r="P476" s="6"/>
      <c r="Q476" s="7"/>
      <c r="R476" s="6" t="str">
        <f aca="false">IF(AND($A476="",$B476=""),"",IF(Q476="Complete","Onboarded",IF(OR(M476="Member",M476="Ambassador"),"Sponsored",IF(K476&lt;&gt;"","Follow-Up",IF(I476&lt;&gt;"","Presented",IF(F476&lt;&gt;"","Contacted","New Lead"))))))</f>
        <v/>
      </c>
      <c r="S476" s="6"/>
      <c r="T476" s="6" t="str">
        <f aca="true">IF(MAX(F476,I476,K476)=0,"",TODAY()-MAX(F476,I476,K476))</f>
        <v/>
      </c>
      <c r="U476" s="6"/>
      <c r="V476" s="6"/>
      <c r="W476" s="6" t="str">
        <f aca="false">IF(AND($A476="",$B476=""),"",IF(M476="Ambassador","1 - Ambassador",IF(M476="Member","2 - Member",IF(J476="Completed","3 - Presented",IF(H476&lt;&gt;"","4 - Sent",IF(F476&lt;&gt;"","5 - Contacted","6 - No Activity"))))))</f>
        <v/>
      </c>
      <c r="X476" s="6" t="n">
        <f aca="false">IF(AND($A476="",$B476=""),9999999+(ROW()-4),VALUE(LEFT($W476,1))*10000+(ROW()-4))</f>
        <v>10000471</v>
      </c>
    </row>
    <row r="477" customFormat="false" ht="15" hidden="false" customHeight="true" outlineLevel="0" collapsed="false">
      <c r="A477" s="6"/>
      <c r="B477" s="6"/>
      <c r="C477" s="6"/>
      <c r="D477" s="6"/>
      <c r="E477" s="6"/>
      <c r="F477" s="7"/>
      <c r="G477" s="6"/>
      <c r="H477" s="6"/>
      <c r="I477" s="7"/>
      <c r="J477" s="6"/>
      <c r="K477" s="7"/>
      <c r="L477" s="6"/>
      <c r="M477" s="6"/>
      <c r="N477" s="7"/>
      <c r="O477" s="6"/>
      <c r="P477" s="6"/>
      <c r="Q477" s="7"/>
      <c r="R477" s="6" t="str">
        <f aca="false">IF(AND($A477="",$B477=""),"",IF(Q477="Complete","Onboarded",IF(OR(M477="Member",M477="Ambassador"),"Sponsored",IF(K477&lt;&gt;"","Follow-Up",IF(I477&lt;&gt;"","Presented",IF(F477&lt;&gt;"","Contacted","New Lead"))))))</f>
        <v/>
      </c>
      <c r="S477" s="6"/>
      <c r="T477" s="6" t="str">
        <f aca="true">IF(MAX(F477,I477,K477)=0,"",TODAY()-MAX(F477,I477,K477))</f>
        <v/>
      </c>
      <c r="U477" s="6"/>
      <c r="V477" s="6"/>
      <c r="W477" s="6" t="str">
        <f aca="false">IF(AND($A477="",$B477=""),"",IF(M477="Ambassador","1 - Ambassador",IF(M477="Member","2 - Member",IF(J477="Completed","3 - Presented",IF(H477&lt;&gt;"","4 - Sent",IF(F477&lt;&gt;"","5 - Contacted","6 - No Activity"))))))</f>
        <v/>
      </c>
      <c r="X477" s="6" t="n">
        <f aca="false">IF(AND($A477="",$B477=""),9999999+(ROW()-4),VALUE(LEFT($W477,1))*10000+(ROW()-4))</f>
        <v>10000472</v>
      </c>
    </row>
    <row r="478" customFormat="false" ht="15" hidden="false" customHeight="true" outlineLevel="0" collapsed="false">
      <c r="A478" s="6"/>
      <c r="B478" s="6"/>
      <c r="C478" s="6"/>
      <c r="D478" s="6"/>
      <c r="E478" s="6"/>
      <c r="F478" s="7"/>
      <c r="G478" s="6"/>
      <c r="H478" s="6"/>
      <c r="I478" s="7"/>
      <c r="J478" s="6"/>
      <c r="K478" s="7"/>
      <c r="L478" s="6"/>
      <c r="M478" s="6"/>
      <c r="N478" s="7"/>
      <c r="O478" s="6"/>
      <c r="P478" s="6"/>
      <c r="Q478" s="7"/>
      <c r="R478" s="6" t="str">
        <f aca="false">IF(AND($A478="",$B478=""),"",IF(Q478="Complete","Onboarded",IF(OR(M478="Member",M478="Ambassador"),"Sponsored",IF(K478&lt;&gt;"","Follow-Up",IF(I478&lt;&gt;"","Presented",IF(F478&lt;&gt;"","Contacted","New Lead"))))))</f>
        <v/>
      </c>
      <c r="S478" s="6"/>
      <c r="T478" s="6" t="str">
        <f aca="true">IF(MAX(F478,I478,K478)=0,"",TODAY()-MAX(F478,I478,K478))</f>
        <v/>
      </c>
      <c r="U478" s="6"/>
      <c r="V478" s="6"/>
      <c r="W478" s="6" t="str">
        <f aca="false">IF(AND($A478="",$B478=""),"",IF(M478="Ambassador","1 - Ambassador",IF(M478="Member","2 - Member",IF(J478="Completed","3 - Presented",IF(H478&lt;&gt;"","4 - Sent",IF(F478&lt;&gt;"","5 - Contacted","6 - No Activity"))))))</f>
        <v/>
      </c>
      <c r="X478" s="6" t="n">
        <f aca="false">IF(AND($A478="",$B478=""),9999999+(ROW()-4),VALUE(LEFT($W478,1))*10000+(ROW()-4))</f>
        <v>10000473</v>
      </c>
    </row>
    <row r="479" customFormat="false" ht="15" hidden="false" customHeight="true" outlineLevel="0" collapsed="false">
      <c r="A479" s="6"/>
      <c r="B479" s="6"/>
      <c r="C479" s="6"/>
      <c r="D479" s="6"/>
      <c r="E479" s="6"/>
      <c r="F479" s="7"/>
      <c r="G479" s="6"/>
      <c r="H479" s="6"/>
      <c r="I479" s="7"/>
      <c r="J479" s="6"/>
      <c r="K479" s="7"/>
      <c r="L479" s="6"/>
      <c r="M479" s="6"/>
      <c r="N479" s="7"/>
      <c r="O479" s="6"/>
      <c r="P479" s="6"/>
      <c r="Q479" s="7"/>
      <c r="R479" s="6" t="str">
        <f aca="false">IF(AND($A479="",$B479=""),"",IF(Q479="Complete","Onboarded",IF(OR(M479="Member",M479="Ambassador"),"Sponsored",IF(K479&lt;&gt;"","Follow-Up",IF(I479&lt;&gt;"","Presented",IF(F479&lt;&gt;"","Contacted","New Lead"))))))</f>
        <v/>
      </c>
      <c r="S479" s="6"/>
      <c r="T479" s="6" t="str">
        <f aca="true">IF(MAX(F479,I479,K479)=0,"",TODAY()-MAX(F479,I479,K479))</f>
        <v/>
      </c>
      <c r="U479" s="6"/>
      <c r="V479" s="6"/>
      <c r="W479" s="6" t="str">
        <f aca="false">IF(AND($A479="",$B479=""),"",IF(M479="Ambassador","1 - Ambassador",IF(M479="Member","2 - Member",IF(J479="Completed","3 - Presented",IF(H479&lt;&gt;"","4 - Sent",IF(F479&lt;&gt;"","5 - Contacted","6 - No Activity"))))))</f>
        <v/>
      </c>
      <c r="X479" s="6" t="n">
        <f aca="false">IF(AND($A479="",$B479=""),9999999+(ROW()-4),VALUE(LEFT($W479,1))*10000+(ROW()-4))</f>
        <v>10000474</v>
      </c>
    </row>
    <row r="480" customFormat="false" ht="15" hidden="false" customHeight="true" outlineLevel="0" collapsed="false">
      <c r="A480" s="6"/>
      <c r="B480" s="6"/>
      <c r="C480" s="6"/>
      <c r="D480" s="6"/>
      <c r="E480" s="6"/>
      <c r="F480" s="7"/>
      <c r="G480" s="6"/>
      <c r="H480" s="6"/>
      <c r="I480" s="7"/>
      <c r="J480" s="6"/>
      <c r="K480" s="7"/>
      <c r="L480" s="6"/>
      <c r="M480" s="6"/>
      <c r="N480" s="7"/>
      <c r="O480" s="6"/>
      <c r="P480" s="6"/>
      <c r="Q480" s="7"/>
      <c r="R480" s="6" t="str">
        <f aca="false">IF(AND($A480="",$B480=""),"",IF(Q480="Complete","Onboarded",IF(OR(M480="Member",M480="Ambassador"),"Sponsored",IF(K480&lt;&gt;"","Follow-Up",IF(I480&lt;&gt;"","Presented",IF(F480&lt;&gt;"","Contacted","New Lead"))))))</f>
        <v/>
      </c>
      <c r="S480" s="6"/>
      <c r="T480" s="6" t="str">
        <f aca="true">IF(MAX(F480,I480,K480)=0,"",TODAY()-MAX(F480,I480,K480))</f>
        <v/>
      </c>
      <c r="U480" s="6"/>
      <c r="V480" s="6"/>
      <c r="W480" s="6" t="str">
        <f aca="false">IF(AND($A480="",$B480=""),"",IF(M480="Ambassador","1 - Ambassador",IF(M480="Member","2 - Member",IF(J480="Completed","3 - Presented",IF(H480&lt;&gt;"","4 - Sent",IF(F480&lt;&gt;"","5 - Contacted","6 - No Activity"))))))</f>
        <v/>
      </c>
      <c r="X480" s="6" t="n">
        <f aca="false">IF(AND($A480="",$B480=""),9999999+(ROW()-4),VALUE(LEFT($W480,1))*10000+(ROW()-4))</f>
        <v>10000475</v>
      </c>
    </row>
    <row r="481" customFormat="false" ht="15" hidden="false" customHeight="true" outlineLevel="0" collapsed="false">
      <c r="A481" s="6"/>
      <c r="B481" s="6"/>
      <c r="C481" s="6"/>
      <c r="D481" s="6"/>
      <c r="E481" s="6"/>
      <c r="F481" s="7"/>
      <c r="G481" s="6"/>
      <c r="H481" s="6"/>
      <c r="I481" s="7"/>
      <c r="J481" s="6"/>
      <c r="K481" s="7"/>
      <c r="L481" s="6"/>
      <c r="M481" s="6"/>
      <c r="N481" s="7"/>
      <c r="O481" s="6"/>
      <c r="P481" s="6"/>
      <c r="Q481" s="7"/>
      <c r="R481" s="6" t="str">
        <f aca="false">IF(AND($A481="",$B481=""),"",IF(Q481="Complete","Onboarded",IF(OR(M481="Member",M481="Ambassador"),"Sponsored",IF(K481&lt;&gt;"","Follow-Up",IF(I481&lt;&gt;"","Presented",IF(F481&lt;&gt;"","Contacted","New Lead"))))))</f>
        <v/>
      </c>
      <c r="S481" s="6"/>
      <c r="T481" s="6" t="str">
        <f aca="true">IF(MAX(F481,I481,K481)=0,"",TODAY()-MAX(F481,I481,K481))</f>
        <v/>
      </c>
      <c r="U481" s="6"/>
      <c r="V481" s="6"/>
      <c r="W481" s="6" t="str">
        <f aca="false">IF(AND($A481="",$B481=""),"",IF(M481="Ambassador","1 - Ambassador",IF(M481="Member","2 - Member",IF(J481="Completed","3 - Presented",IF(H481&lt;&gt;"","4 - Sent",IF(F481&lt;&gt;"","5 - Contacted","6 - No Activity"))))))</f>
        <v/>
      </c>
      <c r="X481" s="6" t="n">
        <f aca="false">IF(AND($A481="",$B481=""),9999999+(ROW()-4),VALUE(LEFT($W481,1))*10000+(ROW()-4))</f>
        <v>10000476</v>
      </c>
    </row>
    <row r="482" customFormat="false" ht="15" hidden="false" customHeight="true" outlineLevel="0" collapsed="false">
      <c r="A482" s="6"/>
      <c r="B482" s="6"/>
      <c r="C482" s="6"/>
      <c r="D482" s="6"/>
      <c r="E482" s="6"/>
      <c r="F482" s="7"/>
      <c r="G482" s="6"/>
      <c r="H482" s="6"/>
      <c r="I482" s="7"/>
      <c r="J482" s="6"/>
      <c r="K482" s="7"/>
      <c r="L482" s="6"/>
      <c r="M482" s="6"/>
      <c r="N482" s="7"/>
      <c r="O482" s="6"/>
      <c r="P482" s="6"/>
      <c r="Q482" s="7"/>
      <c r="R482" s="6" t="str">
        <f aca="false">IF(AND($A482="",$B482=""),"",IF(Q482="Complete","Onboarded",IF(OR(M482="Member",M482="Ambassador"),"Sponsored",IF(K482&lt;&gt;"","Follow-Up",IF(I482&lt;&gt;"","Presented",IF(F482&lt;&gt;"","Contacted","New Lead"))))))</f>
        <v/>
      </c>
      <c r="S482" s="6"/>
      <c r="T482" s="6" t="str">
        <f aca="true">IF(MAX(F482,I482,K482)=0,"",TODAY()-MAX(F482,I482,K482))</f>
        <v/>
      </c>
      <c r="U482" s="6"/>
      <c r="V482" s="6"/>
      <c r="W482" s="6" t="str">
        <f aca="false">IF(AND($A482="",$B482=""),"",IF(M482="Ambassador","1 - Ambassador",IF(M482="Member","2 - Member",IF(J482="Completed","3 - Presented",IF(H482&lt;&gt;"","4 - Sent",IF(F482&lt;&gt;"","5 - Contacted","6 - No Activity"))))))</f>
        <v/>
      </c>
      <c r="X482" s="6" t="n">
        <f aca="false">IF(AND($A482="",$B482=""),9999999+(ROW()-4),VALUE(LEFT($W482,1))*10000+(ROW()-4))</f>
        <v>10000477</v>
      </c>
    </row>
    <row r="483" customFormat="false" ht="15" hidden="false" customHeight="true" outlineLevel="0" collapsed="false">
      <c r="A483" s="6"/>
      <c r="B483" s="6"/>
      <c r="C483" s="6"/>
      <c r="D483" s="6"/>
      <c r="E483" s="6"/>
      <c r="F483" s="7"/>
      <c r="G483" s="6"/>
      <c r="H483" s="6"/>
      <c r="I483" s="7"/>
      <c r="J483" s="6"/>
      <c r="K483" s="7"/>
      <c r="L483" s="6"/>
      <c r="M483" s="6"/>
      <c r="N483" s="7"/>
      <c r="O483" s="6"/>
      <c r="P483" s="6"/>
      <c r="Q483" s="7"/>
      <c r="R483" s="6" t="str">
        <f aca="false">IF(AND($A483="",$B483=""),"",IF(Q483="Complete","Onboarded",IF(OR(M483="Member",M483="Ambassador"),"Sponsored",IF(K483&lt;&gt;"","Follow-Up",IF(I483&lt;&gt;"","Presented",IF(F483&lt;&gt;"","Contacted","New Lead"))))))</f>
        <v/>
      </c>
      <c r="S483" s="6"/>
      <c r="T483" s="6" t="str">
        <f aca="true">IF(MAX(F483,I483,K483)=0,"",TODAY()-MAX(F483,I483,K483))</f>
        <v/>
      </c>
      <c r="U483" s="6"/>
      <c r="V483" s="6"/>
      <c r="W483" s="6" t="str">
        <f aca="false">IF(AND($A483="",$B483=""),"",IF(M483="Ambassador","1 - Ambassador",IF(M483="Member","2 - Member",IF(J483="Completed","3 - Presented",IF(H483&lt;&gt;"","4 - Sent",IF(F483&lt;&gt;"","5 - Contacted","6 - No Activity"))))))</f>
        <v/>
      </c>
      <c r="X483" s="6" t="n">
        <f aca="false">IF(AND($A483="",$B483=""),9999999+(ROW()-4),VALUE(LEFT($W483,1))*10000+(ROW()-4))</f>
        <v>10000478</v>
      </c>
    </row>
    <row r="484" customFormat="false" ht="15" hidden="false" customHeight="true" outlineLevel="0" collapsed="false">
      <c r="A484" s="6"/>
      <c r="B484" s="6"/>
      <c r="C484" s="6"/>
      <c r="D484" s="6"/>
      <c r="E484" s="6"/>
      <c r="F484" s="7"/>
      <c r="G484" s="6"/>
      <c r="H484" s="6"/>
      <c r="I484" s="7"/>
      <c r="J484" s="6"/>
      <c r="K484" s="7"/>
      <c r="L484" s="6"/>
      <c r="M484" s="6"/>
      <c r="N484" s="7"/>
      <c r="O484" s="6"/>
      <c r="P484" s="6"/>
      <c r="Q484" s="7"/>
      <c r="R484" s="6" t="str">
        <f aca="false">IF(AND($A484="",$B484=""),"",IF(Q484="Complete","Onboarded",IF(OR(M484="Member",M484="Ambassador"),"Sponsored",IF(K484&lt;&gt;"","Follow-Up",IF(I484&lt;&gt;"","Presented",IF(F484&lt;&gt;"","Contacted","New Lead"))))))</f>
        <v/>
      </c>
      <c r="S484" s="6"/>
      <c r="T484" s="6" t="str">
        <f aca="true">IF(MAX(F484,I484,K484)=0,"",TODAY()-MAX(F484,I484,K484))</f>
        <v/>
      </c>
      <c r="U484" s="6"/>
      <c r="V484" s="6"/>
      <c r="W484" s="6" t="str">
        <f aca="false">IF(AND($A484="",$B484=""),"",IF(M484="Ambassador","1 - Ambassador",IF(M484="Member","2 - Member",IF(J484="Completed","3 - Presented",IF(H484&lt;&gt;"","4 - Sent",IF(F484&lt;&gt;"","5 - Contacted","6 - No Activity"))))))</f>
        <v/>
      </c>
      <c r="X484" s="6" t="n">
        <f aca="false">IF(AND($A484="",$B484=""),9999999+(ROW()-4),VALUE(LEFT($W484,1))*10000+(ROW()-4))</f>
        <v>10000479</v>
      </c>
    </row>
    <row r="485" customFormat="false" ht="15" hidden="false" customHeight="true" outlineLevel="0" collapsed="false">
      <c r="A485" s="6"/>
      <c r="B485" s="6"/>
      <c r="C485" s="6"/>
      <c r="D485" s="6"/>
      <c r="E485" s="6"/>
      <c r="F485" s="7"/>
      <c r="G485" s="6"/>
      <c r="H485" s="6"/>
      <c r="I485" s="7"/>
      <c r="J485" s="6"/>
      <c r="K485" s="7"/>
      <c r="L485" s="6"/>
      <c r="M485" s="6"/>
      <c r="N485" s="7"/>
      <c r="O485" s="6"/>
      <c r="P485" s="6"/>
      <c r="Q485" s="7"/>
      <c r="R485" s="6" t="str">
        <f aca="false">IF(AND($A485="",$B485=""),"",IF(Q485="Complete","Onboarded",IF(OR(M485="Member",M485="Ambassador"),"Sponsored",IF(K485&lt;&gt;"","Follow-Up",IF(I485&lt;&gt;"","Presented",IF(F485&lt;&gt;"","Contacted","New Lead"))))))</f>
        <v/>
      </c>
      <c r="S485" s="6"/>
      <c r="T485" s="6" t="str">
        <f aca="true">IF(MAX(F485,I485,K485)=0,"",TODAY()-MAX(F485,I485,K485))</f>
        <v/>
      </c>
      <c r="U485" s="6"/>
      <c r="V485" s="6"/>
      <c r="W485" s="6" t="str">
        <f aca="false">IF(AND($A485="",$B485=""),"",IF(M485="Ambassador","1 - Ambassador",IF(M485="Member","2 - Member",IF(J485="Completed","3 - Presented",IF(H485&lt;&gt;"","4 - Sent",IF(F485&lt;&gt;"","5 - Contacted","6 - No Activity"))))))</f>
        <v/>
      </c>
      <c r="X485" s="6" t="n">
        <f aca="false">IF(AND($A485="",$B485=""),9999999+(ROW()-4),VALUE(LEFT($W485,1))*10000+(ROW()-4))</f>
        <v>10000480</v>
      </c>
    </row>
    <row r="486" customFormat="false" ht="15" hidden="false" customHeight="true" outlineLevel="0" collapsed="false">
      <c r="A486" s="6"/>
      <c r="B486" s="6"/>
      <c r="C486" s="6"/>
      <c r="D486" s="6"/>
      <c r="E486" s="6"/>
      <c r="F486" s="7"/>
      <c r="G486" s="6"/>
      <c r="H486" s="6"/>
      <c r="I486" s="7"/>
      <c r="J486" s="6"/>
      <c r="K486" s="7"/>
      <c r="L486" s="6"/>
      <c r="M486" s="6"/>
      <c r="N486" s="7"/>
      <c r="O486" s="6"/>
      <c r="P486" s="6"/>
      <c r="Q486" s="7"/>
      <c r="R486" s="6" t="str">
        <f aca="false">IF(AND($A486="",$B486=""),"",IF(Q486="Complete","Onboarded",IF(OR(M486="Member",M486="Ambassador"),"Sponsored",IF(K486&lt;&gt;"","Follow-Up",IF(I486&lt;&gt;"","Presented",IF(F486&lt;&gt;"","Contacted","New Lead"))))))</f>
        <v/>
      </c>
      <c r="S486" s="6"/>
      <c r="T486" s="6" t="str">
        <f aca="true">IF(MAX(F486,I486,K486)=0,"",TODAY()-MAX(F486,I486,K486))</f>
        <v/>
      </c>
      <c r="U486" s="6"/>
      <c r="V486" s="6"/>
      <c r="W486" s="6" t="str">
        <f aca="false">IF(AND($A486="",$B486=""),"",IF(M486="Ambassador","1 - Ambassador",IF(M486="Member","2 - Member",IF(J486="Completed","3 - Presented",IF(H486&lt;&gt;"","4 - Sent",IF(F486&lt;&gt;"","5 - Contacted","6 - No Activity"))))))</f>
        <v/>
      </c>
      <c r="X486" s="6" t="n">
        <f aca="false">IF(AND($A486="",$B486=""),9999999+(ROW()-4),VALUE(LEFT($W486,1))*10000+(ROW()-4))</f>
        <v>10000481</v>
      </c>
    </row>
    <row r="487" customFormat="false" ht="15" hidden="false" customHeight="true" outlineLevel="0" collapsed="false">
      <c r="A487" s="6"/>
      <c r="B487" s="6"/>
      <c r="C487" s="6"/>
      <c r="D487" s="6"/>
      <c r="E487" s="6"/>
      <c r="F487" s="7"/>
      <c r="G487" s="6"/>
      <c r="H487" s="6"/>
      <c r="I487" s="7"/>
      <c r="J487" s="6"/>
      <c r="K487" s="7"/>
      <c r="L487" s="6"/>
      <c r="M487" s="6"/>
      <c r="N487" s="7"/>
      <c r="O487" s="6"/>
      <c r="P487" s="6"/>
      <c r="Q487" s="7"/>
      <c r="R487" s="6" t="str">
        <f aca="false">IF(AND($A487="",$B487=""),"",IF(Q487="Complete","Onboarded",IF(OR(M487="Member",M487="Ambassador"),"Sponsored",IF(K487&lt;&gt;"","Follow-Up",IF(I487&lt;&gt;"","Presented",IF(F487&lt;&gt;"","Contacted","New Lead"))))))</f>
        <v/>
      </c>
      <c r="S487" s="6"/>
      <c r="T487" s="6" t="str">
        <f aca="true">IF(MAX(F487,I487,K487)=0,"",TODAY()-MAX(F487,I487,K487))</f>
        <v/>
      </c>
      <c r="U487" s="6"/>
      <c r="V487" s="6"/>
      <c r="W487" s="6" t="str">
        <f aca="false">IF(AND($A487="",$B487=""),"",IF(M487="Ambassador","1 - Ambassador",IF(M487="Member","2 - Member",IF(J487="Completed","3 - Presented",IF(H487&lt;&gt;"","4 - Sent",IF(F487&lt;&gt;"","5 - Contacted","6 - No Activity"))))))</f>
        <v/>
      </c>
      <c r="X487" s="6" t="n">
        <f aca="false">IF(AND($A487="",$B487=""),9999999+(ROW()-4),VALUE(LEFT($W487,1))*10000+(ROW()-4))</f>
        <v>10000482</v>
      </c>
    </row>
    <row r="488" customFormat="false" ht="15" hidden="false" customHeight="true" outlineLevel="0" collapsed="false">
      <c r="A488" s="6"/>
      <c r="B488" s="6"/>
      <c r="C488" s="6"/>
      <c r="D488" s="6"/>
      <c r="E488" s="6"/>
      <c r="F488" s="7"/>
      <c r="G488" s="6"/>
      <c r="H488" s="6"/>
      <c r="I488" s="7"/>
      <c r="J488" s="6"/>
      <c r="K488" s="7"/>
      <c r="L488" s="6"/>
      <c r="M488" s="6"/>
      <c r="N488" s="7"/>
      <c r="O488" s="6"/>
      <c r="P488" s="6"/>
      <c r="Q488" s="7"/>
      <c r="R488" s="6" t="str">
        <f aca="false">IF(AND($A488="",$B488=""),"",IF(Q488="Complete","Onboarded",IF(OR(M488="Member",M488="Ambassador"),"Sponsored",IF(K488&lt;&gt;"","Follow-Up",IF(I488&lt;&gt;"","Presented",IF(F488&lt;&gt;"","Contacted","New Lead"))))))</f>
        <v/>
      </c>
      <c r="S488" s="6"/>
      <c r="T488" s="6" t="str">
        <f aca="true">IF(MAX(F488,I488,K488)=0,"",TODAY()-MAX(F488,I488,K488))</f>
        <v/>
      </c>
      <c r="U488" s="6"/>
      <c r="V488" s="6"/>
      <c r="W488" s="6" t="str">
        <f aca="false">IF(AND($A488="",$B488=""),"",IF(M488="Ambassador","1 - Ambassador",IF(M488="Member","2 - Member",IF(J488="Completed","3 - Presented",IF(H488&lt;&gt;"","4 - Sent",IF(F488&lt;&gt;"","5 - Contacted","6 - No Activity"))))))</f>
        <v/>
      </c>
      <c r="X488" s="6" t="n">
        <f aca="false">IF(AND($A488="",$B488=""),9999999+(ROW()-4),VALUE(LEFT($W488,1))*10000+(ROW()-4))</f>
        <v>10000483</v>
      </c>
    </row>
    <row r="489" customFormat="false" ht="15" hidden="false" customHeight="true" outlineLevel="0" collapsed="false">
      <c r="A489" s="6"/>
      <c r="B489" s="6"/>
      <c r="C489" s="6"/>
      <c r="D489" s="6"/>
      <c r="E489" s="6"/>
      <c r="F489" s="7"/>
      <c r="G489" s="6"/>
      <c r="H489" s="6"/>
      <c r="I489" s="7"/>
      <c r="J489" s="6"/>
      <c r="K489" s="7"/>
      <c r="L489" s="6"/>
      <c r="M489" s="6"/>
      <c r="N489" s="7"/>
      <c r="O489" s="6"/>
      <c r="P489" s="6"/>
      <c r="Q489" s="7"/>
      <c r="R489" s="6" t="str">
        <f aca="false">IF(AND($A489="",$B489=""),"",IF(Q489="Complete","Onboarded",IF(OR(M489="Member",M489="Ambassador"),"Sponsored",IF(K489&lt;&gt;"","Follow-Up",IF(I489&lt;&gt;"","Presented",IF(F489&lt;&gt;"","Contacted","New Lead"))))))</f>
        <v/>
      </c>
      <c r="S489" s="6"/>
      <c r="T489" s="6" t="str">
        <f aca="true">IF(MAX(F489,I489,K489)=0,"",TODAY()-MAX(F489,I489,K489))</f>
        <v/>
      </c>
      <c r="U489" s="6"/>
      <c r="V489" s="6"/>
      <c r="W489" s="6" t="str">
        <f aca="false">IF(AND($A489="",$B489=""),"",IF(M489="Ambassador","1 - Ambassador",IF(M489="Member","2 - Member",IF(J489="Completed","3 - Presented",IF(H489&lt;&gt;"","4 - Sent",IF(F489&lt;&gt;"","5 - Contacted","6 - No Activity"))))))</f>
        <v/>
      </c>
      <c r="X489" s="6" t="n">
        <f aca="false">IF(AND($A489="",$B489=""),9999999+(ROW()-4),VALUE(LEFT($W489,1))*10000+(ROW()-4))</f>
        <v>10000484</v>
      </c>
    </row>
    <row r="490" customFormat="false" ht="15" hidden="false" customHeight="true" outlineLevel="0" collapsed="false">
      <c r="A490" s="6"/>
      <c r="B490" s="6"/>
      <c r="C490" s="6"/>
      <c r="D490" s="6"/>
      <c r="E490" s="6"/>
      <c r="F490" s="7"/>
      <c r="G490" s="6"/>
      <c r="H490" s="6"/>
      <c r="I490" s="7"/>
      <c r="J490" s="6"/>
      <c r="K490" s="7"/>
      <c r="L490" s="6"/>
      <c r="M490" s="6"/>
      <c r="N490" s="7"/>
      <c r="O490" s="6"/>
      <c r="P490" s="6"/>
      <c r="Q490" s="7"/>
      <c r="R490" s="6" t="str">
        <f aca="false">IF(AND($A490="",$B490=""),"",IF(Q490="Complete","Onboarded",IF(OR(M490="Member",M490="Ambassador"),"Sponsored",IF(K490&lt;&gt;"","Follow-Up",IF(I490&lt;&gt;"","Presented",IF(F490&lt;&gt;"","Contacted","New Lead"))))))</f>
        <v/>
      </c>
      <c r="S490" s="6"/>
      <c r="T490" s="6" t="str">
        <f aca="true">IF(MAX(F490,I490,K490)=0,"",TODAY()-MAX(F490,I490,K490))</f>
        <v/>
      </c>
      <c r="U490" s="6"/>
      <c r="V490" s="6"/>
      <c r="W490" s="6" t="str">
        <f aca="false">IF(AND($A490="",$B490=""),"",IF(M490="Ambassador","1 - Ambassador",IF(M490="Member","2 - Member",IF(J490="Completed","3 - Presented",IF(H490&lt;&gt;"","4 - Sent",IF(F490&lt;&gt;"","5 - Contacted","6 - No Activity"))))))</f>
        <v/>
      </c>
      <c r="X490" s="6" t="n">
        <f aca="false">IF(AND($A490="",$B490=""),9999999+(ROW()-4),VALUE(LEFT($W490,1))*10000+(ROW()-4))</f>
        <v>10000485</v>
      </c>
    </row>
    <row r="491" customFormat="false" ht="15" hidden="false" customHeight="true" outlineLevel="0" collapsed="false">
      <c r="A491" s="6"/>
      <c r="B491" s="6"/>
      <c r="C491" s="6"/>
      <c r="D491" s="6"/>
      <c r="E491" s="6"/>
      <c r="F491" s="7"/>
      <c r="G491" s="6"/>
      <c r="H491" s="6"/>
      <c r="I491" s="7"/>
      <c r="J491" s="6"/>
      <c r="K491" s="7"/>
      <c r="L491" s="6"/>
      <c r="M491" s="6"/>
      <c r="N491" s="7"/>
      <c r="O491" s="6"/>
      <c r="P491" s="6"/>
      <c r="Q491" s="7"/>
      <c r="R491" s="6" t="str">
        <f aca="false">IF(AND($A491="",$B491=""),"",IF(Q491="Complete","Onboarded",IF(OR(M491="Member",M491="Ambassador"),"Sponsored",IF(K491&lt;&gt;"","Follow-Up",IF(I491&lt;&gt;"","Presented",IF(F491&lt;&gt;"","Contacted","New Lead"))))))</f>
        <v/>
      </c>
      <c r="S491" s="6"/>
      <c r="T491" s="6" t="str">
        <f aca="true">IF(MAX(F491,I491,K491)=0,"",TODAY()-MAX(F491,I491,K491))</f>
        <v/>
      </c>
      <c r="U491" s="6"/>
      <c r="V491" s="6"/>
      <c r="W491" s="6" t="str">
        <f aca="false">IF(AND($A491="",$B491=""),"",IF(M491="Ambassador","1 - Ambassador",IF(M491="Member","2 - Member",IF(J491="Completed","3 - Presented",IF(H491&lt;&gt;"","4 - Sent",IF(F491&lt;&gt;"","5 - Contacted","6 - No Activity"))))))</f>
        <v/>
      </c>
      <c r="X491" s="6" t="n">
        <f aca="false">IF(AND($A491="",$B491=""),9999999+(ROW()-4),VALUE(LEFT($W491,1))*10000+(ROW()-4))</f>
        <v>10000486</v>
      </c>
    </row>
    <row r="492" customFormat="false" ht="15" hidden="false" customHeight="true" outlineLevel="0" collapsed="false">
      <c r="A492" s="6"/>
      <c r="B492" s="6"/>
      <c r="C492" s="6"/>
      <c r="D492" s="6"/>
      <c r="E492" s="6"/>
      <c r="F492" s="7"/>
      <c r="G492" s="6"/>
      <c r="H492" s="6"/>
      <c r="I492" s="7"/>
      <c r="J492" s="6"/>
      <c r="K492" s="7"/>
      <c r="L492" s="6"/>
      <c r="M492" s="6"/>
      <c r="N492" s="7"/>
      <c r="O492" s="6"/>
      <c r="P492" s="6"/>
      <c r="Q492" s="7"/>
      <c r="R492" s="6" t="str">
        <f aca="false">IF(AND($A492="",$B492=""),"",IF(Q492="Complete","Onboarded",IF(OR(M492="Member",M492="Ambassador"),"Sponsored",IF(K492&lt;&gt;"","Follow-Up",IF(I492&lt;&gt;"","Presented",IF(F492&lt;&gt;"","Contacted","New Lead"))))))</f>
        <v/>
      </c>
      <c r="S492" s="6"/>
      <c r="T492" s="6" t="str">
        <f aca="true">IF(MAX(F492,I492,K492)=0,"",TODAY()-MAX(F492,I492,K492))</f>
        <v/>
      </c>
      <c r="U492" s="6"/>
      <c r="V492" s="6"/>
      <c r="W492" s="6" t="str">
        <f aca="false">IF(AND($A492="",$B492=""),"",IF(M492="Ambassador","1 - Ambassador",IF(M492="Member","2 - Member",IF(J492="Completed","3 - Presented",IF(H492&lt;&gt;"","4 - Sent",IF(F492&lt;&gt;"","5 - Contacted","6 - No Activity"))))))</f>
        <v/>
      </c>
      <c r="X492" s="6" t="n">
        <f aca="false">IF(AND($A492="",$B492=""),9999999+(ROW()-4),VALUE(LEFT($W492,1))*10000+(ROW()-4))</f>
        <v>10000487</v>
      </c>
    </row>
    <row r="493" customFormat="false" ht="15" hidden="false" customHeight="true" outlineLevel="0" collapsed="false">
      <c r="A493" s="6"/>
      <c r="B493" s="6"/>
      <c r="C493" s="6"/>
      <c r="D493" s="6"/>
      <c r="E493" s="6"/>
      <c r="F493" s="7"/>
      <c r="G493" s="6"/>
      <c r="H493" s="6"/>
      <c r="I493" s="7"/>
      <c r="J493" s="6"/>
      <c r="K493" s="7"/>
      <c r="L493" s="6"/>
      <c r="M493" s="6"/>
      <c r="N493" s="7"/>
      <c r="O493" s="6"/>
      <c r="P493" s="6"/>
      <c r="Q493" s="7"/>
      <c r="R493" s="6" t="str">
        <f aca="false">IF(AND($A493="",$B493=""),"",IF(Q493="Complete","Onboarded",IF(OR(M493="Member",M493="Ambassador"),"Sponsored",IF(K493&lt;&gt;"","Follow-Up",IF(I493&lt;&gt;"","Presented",IF(F493&lt;&gt;"","Contacted","New Lead"))))))</f>
        <v/>
      </c>
      <c r="S493" s="6"/>
      <c r="T493" s="6" t="str">
        <f aca="true">IF(MAX(F493,I493,K493)=0,"",TODAY()-MAX(F493,I493,K493))</f>
        <v/>
      </c>
      <c r="U493" s="6"/>
      <c r="V493" s="6"/>
      <c r="W493" s="6" t="str">
        <f aca="false">IF(AND($A493="",$B493=""),"",IF(M493="Ambassador","1 - Ambassador",IF(M493="Member","2 - Member",IF(J493="Completed","3 - Presented",IF(H493&lt;&gt;"","4 - Sent",IF(F493&lt;&gt;"","5 - Contacted","6 - No Activity"))))))</f>
        <v/>
      </c>
      <c r="X493" s="6" t="n">
        <f aca="false">IF(AND($A493="",$B493=""),9999999+(ROW()-4),VALUE(LEFT($W493,1))*10000+(ROW()-4))</f>
        <v>10000488</v>
      </c>
    </row>
    <row r="494" customFormat="false" ht="15" hidden="false" customHeight="true" outlineLevel="0" collapsed="false">
      <c r="A494" s="6"/>
      <c r="B494" s="6"/>
      <c r="C494" s="6"/>
      <c r="D494" s="6"/>
      <c r="E494" s="6"/>
      <c r="F494" s="7"/>
      <c r="G494" s="6"/>
      <c r="H494" s="6"/>
      <c r="I494" s="7"/>
      <c r="J494" s="6"/>
      <c r="K494" s="7"/>
      <c r="L494" s="6"/>
      <c r="M494" s="6"/>
      <c r="N494" s="7"/>
      <c r="O494" s="6"/>
      <c r="P494" s="6"/>
      <c r="Q494" s="7"/>
      <c r="R494" s="6" t="str">
        <f aca="false">IF(AND($A494="",$B494=""),"",IF(Q494="Complete","Onboarded",IF(OR(M494="Member",M494="Ambassador"),"Sponsored",IF(K494&lt;&gt;"","Follow-Up",IF(I494&lt;&gt;"","Presented",IF(F494&lt;&gt;"","Contacted","New Lead"))))))</f>
        <v/>
      </c>
      <c r="S494" s="6"/>
      <c r="T494" s="6" t="str">
        <f aca="true">IF(MAX(F494,I494,K494)=0,"",TODAY()-MAX(F494,I494,K494))</f>
        <v/>
      </c>
      <c r="U494" s="6"/>
      <c r="V494" s="6"/>
      <c r="W494" s="6" t="str">
        <f aca="false">IF(AND($A494="",$B494=""),"",IF(M494="Ambassador","1 - Ambassador",IF(M494="Member","2 - Member",IF(J494="Completed","3 - Presented",IF(H494&lt;&gt;"","4 - Sent",IF(F494&lt;&gt;"","5 - Contacted","6 - No Activity"))))))</f>
        <v/>
      </c>
      <c r="X494" s="6" t="n">
        <f aca="false">IF(AND($A494="",$B494=""),9999999+(ROW()-4),VALUE(LEFT($W494,1))*10000+(ROW()-4))</f>
        <v>10000489</v>
      </c>
    </row>
    <row r="495" customFormat="false" ht="15" hidden="false" customHeight="true" outlineLevel="0" collapsed="false">
      <c r="A495" s="6"/>
      <c r="B495" s="6"/>
      <c r="C495" s="6"/>
      <c r="D495" s="6"/>
      <c r="E495" s="6"/>
      <c r="F495" s="7"/>
      <c r="G495" s="6"/>
      <c r="H495" s="6"/>
      <c r="I495" s="7"/>
      <c r="J495" s="6"/>
      <c r="K495" s="7"/>
      <c r="L495" s="6"/>
      <c r="M495" s="6"/>
      <c r="N495" s="7"/>
      <c r="O495" s="6"/>
      <c r="P495" s="6"/>
      <c r="Q495" s="7"/>
      <c r="R495" s="6" t="str">
        <f aca="false">IF(AND($A495="",$B495=""),"",IF(Q495="Complete","Onboarded",IF(OR(M495="Member",M495="Ambassador"),"Sponsored",IF(K495&lt;&gt;"","Follow-Up",IF(I495&lt;&gt;"","Presented",IF(F495&lt;&gt;"","Contacted","New Lead"))))))</f>
        <v/>
      </c>
      <c r="S495" s="6"/>
      <c r="T495" s="6" t="str">
        <f aca="true">IF(MAX(F495,I495,K495)=0,"",TODAY()-MAX(F495,I495,K495))</f>
        <v/>
      </c>
      <c r="U495" s="6"/>
      <c r="V495" s="6"/>
      <c r="W495" s="6" t="str">
        <f aca="false">IF(AND($A495="",$B495=""),"",IF(M495="Ambassador","1 - Ambassador",IF(M495="Member","2 - Member",IF(J495="Completed","3 - Presented",IF(H495&lt;&gt;"","4 - Sent",IF(F495&lt;&gt;"","5 - Contacted","6 - No Activity"))))))</f>
        <v/>
      </c>
      <c r="X495" s="6" t="n">
        <f aca="false">IF(AND($A495="",$B495=""),9999999+(ROW()-4),VALUE(LEFT($W495,1))*10000+(ROW()-4))</f>
        <v>10000490</v>
      </c>
    </row>
    <row r="496" customFormat="false" ht="15" hidden="false" customHeight="true" outlineLevel="0" collapsed="false">
      <c r="A496" s="6"/>
      <c r="B496" s="6"/>
      <c r="C496" s="6"/>
      <c r="D496" s="6"/>
      <c r="E496" s="6"/>
      <c r="F496" s="7"/>
      <c r="G496" s="6"/>
      <c r="H496" s="6"/>
      <c r="I496" s="7"/>
      <c r="J496" s="6"/>
      <c r="K496" s="7"/>
      <c r="L496" s="6"/>
      <c r="M496" s="6"/>
      <c r="N496" s="7"/>
      <c r="O496" s="6"/>
      <c r="P496" s="6"/>
      <c r="Q496" s="7"/>
      <c r="R496" s="6" t="str">
        <f aca="false">IF(AND($A496="",$B496=""),"",IF(Q496="Complete","Onboarded",IF(OR(M496="Member",M496="Ambassador"),"Sponsored",IF(K496&lt;&gt;"","Follow-Up",IF(I496&lt;&gt;"","Presented",IF(F496&lt;&gt;"","Contacted","New Lead"))))))</f>
        <v/>
      </c>
      <c r="S496" s="6"/>
      <c r="T496" s="6" t="str">
        <f aca="true">IF(MAX(F496,I496,K496)=0,"",TODAY()-MAX(F496,I496,K496))</f>
        <v/>
      </c>
      <c r="U496" s="6"/>
      <c r="V496" s="6"/>
      <c r="W496" s="6" t="str">
        <f aca="false">IF(AND($A496="",$B496=""),"",IF(M496="Ambassador","1 - Ambassador",IF(M496="Member","2 - Member",IF(J496="Completed","3 - Presented",IF(H496&lt;&gt;"","4 - Sent",IF(F496&lt;&gt;"","5 - Contacted","6 - No Activity"))))))</f>
        <v/>
      </c>
      <c r="X496" s="6" t="n">
        <f aca="false">IF(AND($A496="",$B496=""),9999999+(ROW()-4),VALUE(LEFT($W496,1))*10000+(ROW()-4))</f>
        <v>10000491</v>
      </c>
    </row>
    <row r="497" customFormat="false" ht="15" hidden="false" customHeight="true" outlineLevel="0" collapsed="false">
      <c r="A497" s="6"/>
      <c r="B497" s="6"/>
      <c r="C497" s="6"/>
      <c r="D497" s="6"/>
      <c r="E497" s="6"/>
      <c r="F497" s="7"/>
      <c r="G497" s="6"/>
      <c r="H497" s="6"/>
      <c r="I497" s="7"/>
      <c r="J497" s="6"/>
      <c r="K497" s="7"/>
      <c r="L497" s="6"/>
      <c r="M497" s="6"/>
      <c r="N497" s="7"/>
      <c r="O497" s="6"/>
      <c r="P497" s="6"/>
      <c r="Q497" s="7"/>
      <c r="R497" s="6" t="str">
        <f aca="false">IF(AND($A497="",$B497=""),"",IF(Q497="Complete","Onboarded",IF(OR(M497="Member",M497="Ambassador"),"Sponsored",IF(K497&lt;&gt;"","Follow-Up",IF(I497&lt;&gt;"","Presented",IF(F497&lt;&gt;"","Contacted","New Lead"))))))</f>
        <v/>
      </c>
      <c r="S497" s="6"/>
      <c r="T497" s="6" t="str">
        <f aca="true">IF(MAX(F497,I497,K497)=0,"",TODAY()-MAX(F497,I497,K497))</f>
        <v/>
      </c>
      <c r="U497" s="6"/>
      <c r="V497" s="6"/>
      <c r="W497" s="6" t="str">
        <f aca="false">IF(AND($A497="",$B497=""),"",IF(M497="Ambassador","1 - Ambassador",IF(M497="Member","2 - Member",IF(J497="Completed","3 - Presented",IF(H497&lt;&gt;"","4 - Sent",IF(F497&lt;&gt;"","5 - Contacted","6 - No Activity"))))))</f>
        <v/>
      </c>
      <c r="X497" s="6" t="n">
        <f aca="false">IF(AND($A497="",$B497=""),9999999+(ROW()-4),VALUE(LEFT($W497,1))*10000+(ROW()-4))</f>
        <v>10000492</v>
      </c>
    </row>
    <row r="498" customFormat="false" ht="15" hidden="false" customHeight="true" outlineLevel="0" collapsed="false">
      <c r="A498" s="6"/>
      <c r="B498" s="6"/>
      <c r="C498" s="6"/>
      <c r="D498" s="6"/>
      <c r="E498" s="6"/>
      <c r="F498" s="7"/>
      <c r="G498" s="6"/>
      <c r="H498" s="6"/>
      <c r="I498" s="7"/>
      <c r="J498" s="6"/>
      <c r="K498" s="7"/>
      <c r="L498" s="6"/>
      <c r="M498" s="6"/>
      <c r="N498" s="7"/>
      <c r="O498" s="6"/>
      <c r="P498" s="6"/>
      <c r="Q498" s="7"/>
      <c r="R498" s="6" t="str">
        <f aca="false">IF(AND($A498="",$B498=""),"",IF(Q498="Complete","Onboarded",IF(OR(M498="Member",M498="Ambassador"),"Sponsored",IF(K498&lt;&gt;"","Follow-Up",IF(I498&lt;&gt;"","Presented",IF(F498&lt;&gt;"","Contacted","New Lead"))))))</f>
        <v/>
      </c>
      <c r="S498" s="6"/>
      <c r="T498" s="6" t="str">
        <f aca="true">IF(MAX(F498,I498,K498)=0,"",TODAY()-MAX(F498,I498,K498))</f>
        <v/>
      </c>
      <c r="U498" s="6"/>
      <c r="V498" s="6"/>
      <c r="W498" s="6" t="str">
        <f aca="false">IF(AND($A498="",$B498=""),"",IF(M498="Ambassador","1 - Ambassador",IF(M498="Member","2 - Member",IF(J498="Completed","3 - Presented",IF(H498&lt;&gt;"","4 - Sent",IF(F498&lt;&gt;"","5 - Contacted","6 - No Activity"))))))</f>
        <v/>
      </c>
      <c r="X498" s="6" t="n">
        <f aca="false">IF(AND($A498="",$B498=""),9999999+(ROW()-4),VALUE(LEFT($W498,1))*10000+(ROW()-4))</f>
        <v>10000493</v>
      </c>
    </row>
    <row r="499" customFormat="false" ht="15" hidden="false" customHeight="true" outlineLevel="0" collapsed="false">
      <c r="A499" s="6"/>
      <c r="B499" s="6"/>
      <c r="C499" s="6"/>
      <c r="D499" s="6"/>
      <c r="E499" s="6"/>
      <c r="F499" s="7"/>
      <c r="G499" s="6"/>
      <c r="H499" s="6"/>
      <c r="I499" s="7"/>
      <c r="J499" s="6"/>
      <c r="K499" s="7"/>
      <c r="L499" s="6"/>
      <c r="M499" s="6"/>
      <c r="N499" s="7"/>
      <c r="O499" s="6"/>
      <c r="P499" s="6"/>
      <c r="Q499" s="7"/>
      <c r="R499" s="6" t="str">
        <f aca="false">IF(AND($A499="",$B499=""),"",IF(Q499="Complete","Onboarded",IF(OR(M499="Member",M499="Ambassador"),"Sponsored",IF(K499&lt;&gt;"","Follow-Up",IF(I499&lt;&gt;"","Presented",IF(F499&lt;&gt;"","Contacted","New Lead"))))))</f>
        <v/>
      </c>
      <c r="S499" s="6"/>
      <c r="T499" s="6" t="str">
        <f aca="true">IF(MAX(F499,I499,K499)=0,"",TODAY()-MAX(F499,I499,K499))</f>
        <v/>
      </c>
      <c r="U499" s="6"/>
      <c r="V499" s="6"/>
      <c r="W499" s="6" t="str">
        <f aca="false">IF(AND($A499="",$B499=""),"",IF(M499="Ambassador","1 - Ambassador",IF(M499="Member","2 - Member",IF(J499="Completed","3 - Presented",IF(H499&lt;&gt;"","4 - Sent",IF(F499&lt;&gt;"","5 - Contacted","6 - No Activity"))))))</f>
        <v/>
      </c>
      <c r="X499" s="6" t="n">
        <f aca="false">IF(AND($A499="",$B499=""),9999999+(ROW()-4),VALUE(LEFT($W499,1))*10000+(ROW()-4))</f>
        <v>10000494</v>
      </c>
    </row>
    <row r="500" customFormat="false" ht="15" hidden="false" customHeight="true" outlineLevel="0" collapsed="false">
      <c r="A500" s="6"/>
      <c r="B500" s="6"/>
      <c r="C500" s="6"/>
      <c r="D500" s="6"/>
      <c r="E500" s="6"/>
      <c r="F500" s="7"/>
      <c r="G500" s="6"/>
      <c r="H500" s="6"/>
      <c r="I500" s="7"/>
      <c r="J500" s="6"/>
      <c r="K500" s="7"/>
      <c r="L500" s="6"/>
      <c r="M500" s="6"/>
      <c r="N500" s="7"/>
      <c r="O500" s="6"/>
      <c r="P500" s="6"/>
      <c r="Q500" s="7"/>
      <c r="R500" s="6" t="str">
        <f aca="false">IF(AND($A500="",$B500=""),"",IF(Q500="Complete","Onboarded",IF(OR(M500="Member",M500="Ambassador"),"Sponsored",IF(K500&lt;&gt;"","Follow-Up",IF(I500&lt;&gt;"","Presented",IF(F500&lt;&gt;"","Contacted","New Lead"))))))</f>
        <v/>
      </c>
      <c r="S500" s="6"/>
      <c r="T500" s="6" t="str">
        <f aca="true">IF(MAX(F500,I500,K500)=0,"",TODAY()-MAX(F500,I500,K500))</f>
        <v/>
      </c>
      <c r="U500" s="6"/>
      <c r="V500" s="6"/>
      <c r="W500" s="6" t="str">
        <f aca="false">IF(AND($A500="",$B500=""),"",IF(M500="Ambassador","1 - Ambassador",IF(M500="Member","2 - Member",IF(J500="Completed","3 - Presented",IF(H500&lt;&gt;"","4 - Sent",IF(F500&lt;&gt;"","5 - Contacted","6 - No Activity"))))))</f>
        <v/>
      </c>
      <c r="X500" s="6" t="n">
        <f aca="false">IF(AND($A500="",$B500=""),9999999+(ROW()-4),VALUE(LEFT($W500,1))*10000+(ROW()-4))</f>
        <v>10000495</v>
      </c>
    </row>
    <row r="501" customFormat="false" ht="15" hidden="false" customHeight="true" outlineLevel="0" collapsed="false">
      <c r="A501" s="6"/>
      <c r="B501" s="6"/>
      <c r="C501" s="6"/>
      <c r="D501" s="6"/>
      <c r="E501" s="6"/>
      <c r="F501" s="7"/>
      <c r="G501" s="6"/>
      <c r="H501" s="6"/>
      <c r="I501" s="7"/>
      <c r="J501" s="6"/>
      <c r="K501" s="7"/>
      <c r="L501" s="6"/>
      <c r="M501" s="6"/>
      <c r="N501" s="7"/>
      <c r="O501" s="6"/>
      <c r="P501" s="6"/>
      <c r="Q501" s="7"/>
      <c r="R501" s="6" t="str">
        <f aca="false">IF(AND($A501="",$B501=""),"",IF(Q501="Complete","Onboarded",IF(OR(M501="Member",M501="Ambassador"),"Sponsored",IF(K501&lt;&gt;"","Follow-Up",IF(I501&lt;&gt;"","Presented",IF(F501&lt;&gt;"","Contacted","New Lead"))))))</f>
        <v/>
      </c>
      <c r="S501" s="6"/>
      <c r="T501" s="6" t="str">
        <f aca="true">IF(MAX(F501,I501,K501)=0,"",TODAY()-MAX(F501,I501,K501))</f>
        <v/>
      </c>
      <c r="U501" s="6"/>
      <c r="V501" s="6"/>
      <c r="W501" s="6" t="str">
        <f aca="false">IF(AND($A501="",$B501=""),"",IF(M501="Ambassador","1 - Ambassador",IF(M501="Member","2 - Member",IF(J501="Completed","3 - Presented",IF(H501&lt;&gt;"","4 - Sent",IF(F501&lt;&gt;"","5 - Contacted","6 - No Activity"))))))</f>
        <v/>
      </c>
      <c r="X501" s="6" t="n">
        <f aca="false">IF(AND($A501="",$B501=""),9999999+(ROW()-4),VALUE(LEFT($W501,1))*10000+(ROW()-4))</f>
        <v>10000496</v>
      </c>
    </row>
    <row r="502" customFormat="false" ht="15" hidden="false" customHeight="true" outlineLevel="0" collapsed="false">
      <c r="A502" s="6"/>
      <c r="B502" s="6"/>
      <c r="C502" s="6"/>
      <c r="D502" s="6"/>
      <c r="E502" s="6"/>
      <c r="F502" s="7"/>
      <c r="G502" s="6"/>
      <c r="H502" s="6"/>
      <c r="I502" s="7"/>
      <c r="J502" s="6"/>
      <c r="K502" s="7"/>
      <c r="L502" s="6"/>
      <c r="M502" s="6"/>
      <c r="N502" s="7"/>
      <c r="O502" s="6"/>
      <c r="P502" s="6"/>
      <c r="Q502" s="7"/>
      <c r="R502" s="6" t="str">
        <f aca="false">IF(AND($A502="",$B502=""),"",IF(Q502="Complete","Onboarded",IF(OR(M502="Member",M502="Ambassador"),"Sponsored",IF(K502&lt;&gt;"","Follow-Up",IF(I502&lt;&gt;"","Presented",IF(F502&lt;&gt;"","Contacted","New Lead"))))))</f>
        <v/>
      </c>
      <c r="S502" s="6"/>
      <c r="T502" s="6" t="str">
        <f aca="true">IF(MAX(F502,I502,K502)=0,"",TODAY()-MAX(F502,I502,K502))</f>
        <v/>
      </c>
      <c r="U502" s="6"/>
      <c r="V502" s="6"/>
      <c r="W502" s="6" t="str">
        <f aca="false">IF(AND($A502="",$B502=""),"",IF(M502="Ambassador","1 - Ambassador",IF(M502="Member","2 - Member",IF(J502="Completed","3 - Presented",IF(H502&lt;&gt;"","4 - Sent",IF(F502&lt;&gt;"","5 - Contacted","6 - No Activity"))))))</f>
        <v/>
      </c>
      <c r="X502" s="6" t="n">
        <f aca="false">IF(AND($A502="",$B502=""),9999999+(ROW()-4),VALUE(LEFT($W502,1))*10000+(ROW()-4))</f>
        <v>10000497</v>
      </c>
    </row>
    <row r="503" customFormat="false" ht="15" hidden="false" customHeight="true" outlineLevel="0" collapsed="false">
      <c r="A503" s="6"/>
      <c r="B503" s="6"/>
      <c r="C503" s="6"/>
      <c r="D503" s="6"/>
      <c r="E503" s="6"/>
      <c r="F503" s="7"/>
      <c r="G503" s="6"/>
      <c r="H503" s="6"/>
      <c r="I503" s="7"/>
      <c r="J503" s="6"/>
      <c r="K503" s="7"/>
      <c r="L503" s="6"/>
      <c r="M503" s="6"/>
      <c r="N503" s="7"/>
      <c r="O503" s="6"/>
      <c r="P503" s="6"/>
      <c r="Q503" s="7"/>
      <c r="R503" s="6" t="str">
        <f aca="false">IF(AND($A503="",$B503=""),"",IF(Q503="Complete","Onboarded",IF(OR(M503="Member",M503="Ambassador"),"Sponsored",IF(K503&lt;&gt;"","Follow-Up",IF(I503&lt;&gt;"","Presented",IF(F503&lt;&gt;"","Contacted","New Lead"))))))</f>
        <v/>
      </c>
      <c r="S503" s="6"/>
      <c r="T503" s="6" t="str">
        <f aca="true">IF(MAX(F503,I503,K503)=0,"",TODAY()-MAX(F503,I503,K503))</f>
        <v/>
      </c>
      <c r="U503" s="6"/>
      <c r="V503" s="6"/>
      <c r="W503" s="6" t="str">
        <f aca="false">IF(AND($A503="",$B503=""),"",IF(M503="Ambassador","1 - Ambassador",IF(M503="Member","2 - Member",IF(J503="Completed","3 - Presented",IF(H503&lt;&gt;"","4 - Sent",IF(F503&lt;&gt;"","5 - Contacted","6 - No Activity"))))))</f>
        <v/>
      </c>
      <c r="X503" s="6" t="n">
        <f aca="false">IF(AND($A503="",$B503=""),9999999+(ROW()-4),VALUE(LEFT($W503,1))*10000+(ROW()-4))</f>
        <v>10000498</v>
      </c>
    </row>
    <row r="504" customFormat="false" ht="15" hidden="false" customHeight="true" outlineLevel="0" collapsed="false">
      <c r="A504" s="6"/>
      <c r="B504" s="6"/>
      <c r="C504" s="6"/>
      <c r="D504" s="6"/>
      <c r="E504" s="6"/>
      <c r="F504" s="7"/>
      <c r="G504" s="6"/>
      <c r="H504" s="6"/>
      <c r="I504" s="7"/>
      <c r="J504" s="6"/>
      <c r="K504" s="7"/>
      <c r="L504" s="6"/>
      <c r="M504" s="6"/>
      <c r="N504" s="7"/>
      <c r="O504" s="6"/>
      <c r="P504" s="6"/>
      <c r="Q504" s="7"/>
      <c r="R504" s="6" t="str">
        <f aca="false">IF(AND($A504="",$B504=""),"",IF(Q504="Complete","Onboarded",IF(OR(M504="Member",M504="Ambassador"),"Sponsored",IF(K504&lt;&gt;"","Follow-Up",IF(I504&lt;&gt;"","Presented",IF(F504&lt;&gt;"","Contacted","New Lead"))))))</f>
        <v/>
      </c>
      <c r="S504" s="6"/>
      <c r="T504" s="6" t="str">
        <f aca="true">IF(MAX(F504,I504,K504)=0,"",TODAY()-MAX(F504,I504,K504))</f>
        <v/>
      </c>
      <c r="U504" s="6"/>
      <c r="V504" s="6"/>
      <c r="W504" s="6" t="str">
        <f aca="false">IF(AND($A504="",$B504=""),"",IF(M504="Ambassador","1 - Ambassador",IF(M504="Member","2 - Member",IF(J504="Completed","3 - Presented",IF(H504&lt;&gt;"","4 - Sent",IF(F504&lt;&gt;"","5 - Contacted","6 - No Activity"))))))</f>
        <v/>
      </c>
      <c r="X504" s="6" t="n">
        <f aca="false">IF(AND($A504="",$B504=""),9999999+(ROW()-4),VALUE(LEFT($W504,1))*10000+(ROW()-4))</f>
        <v>10000499</v>
      </c>
    </row>
    <row r="505" customFormat="false" ht="15" hidden="false" customHeight="true" outlineLevel="0" collapsed="false">
      <c r="A505" s="6"/>
      <c r="B505" s="6"/>
      <c r="C505" s="6"/>
      <c r="D505" s="6"/>
      <c r="E505" s="6"/>
      <c r="F505" s="7"/>
      <c r="G505" s="6"/>
      <c r="H505" s="6"/>
      <c r="I505" s="7"/>
      <c r="J505" s="6"/>
      <c r="K505" s="7"/>
      <c r="L505" s="6"/>
      <c r="M505" s="6"/>
      <c r="N505" s="7"/>
      <c r="O505" s="6"/>
      <c r="P505" s="6"/>
      <c r="Q505" s="7"/>
      <c r="R505" s="6" t="str">
        <f aca="false">IF(AND($A505="",$B505=""),"",IF(Q505="Complete","Onboarded",IF(OR(M505="Member",M505="Ambassador"),"Sponsored",IF(K505&lt;&gt;"","Follow-Up",IF(I505&lt;&gt;"","Presented",IF(F505&lt;&gt;"","Contacted","New Lead"))))))</f>
        <v/>
      </c>
      <c r="S505" s="6"/>
      <c r="T505" s="6" t="str">
        <f aca="true">IF(MAX(F505,I505,K505)=0,"",TODAY()-MAX(F505,I505,K505))</f>
        <v/>
      </c>
      <c r="U505" s="6"/>
      <c r="V505" s="6"/>
      <c r="W505" s="6" t="str">
        <f aca="false">IF(AND($A505="",$B505=""),"",IF(M505="Ambassador","1 - Ambassador",IF(M505="Member","2 - Member",IF(J505="Completed","3 - Presented",IF(H505&lt;&gt;"","4 - Sent",IF(F505&lt;&gt;"","5 - Contacted","6 - No Activity"))))))</f>
        <v/>
      </c>
      <c r="X505" s="6" t="n">
        <f aca="false">IF(AND($A505="",$B505=""),9999999+(ROW()-4),VALUE(LEFT($W505,1))*10000+(ROW()-4))</f>
        <v>10000500</v>
      </c>
    </row>
    <row r="506" customFormat="false" ht="15" hidden="false" customHeight="true" outlineLevel="0" collapsed="false">
      <c r="A506" s="6"/>
      <c r="B506" s="6"/>
      <c r="C506" s="6"/>
      <c r="D506" s="6"/>
      <c r="E506" s="6"/>
      <c r="F506" s="7"/>
      <c r="G506" s="6"/>
      <c r="H506" s="6"/>
      <c r="I506" s="7"/>
      <c r="J506" s="6"/>
      <c r="K506" s="7"/>
      <c r="L506" s="6"/>
      <c r="M506" s="6"/>
      <c r="N506" s="7"/>
      <c r="O506" s="6"/>
      <c r="P506" s="6"/>
      <c r="Q506" s="7"/>
      <c r="R506" s="6" t="str">
        <f aca="false">IF(AND($A506="",$B506=""),"",IF(Q506="Complete","Onboarded",IF(OR(M506="Member",M506="Ambassador"),"Sponsored",IF(K506&lt;&gt;"","Follow-Up",IF(I506&lt;&gt;"","Presented",IF(F506&lt;&gt;"","Contacted","New Lead"))))))</f>
        <v/>
      </c>
      <c r="S506" s="6"/>
      <c r="T506" s="6" t="str">
        <f aca="true">IF(MAX(F506,I506,K506)=0,"",TODAY()-MAX(F506,I506,K506))</f>
        <v/>
      </c>
      <c r="U506" s="6"/>
      <c r="V506" s="6"/>
      <c r="W506" s="6" t="str">
        <f aca="false">IF(AND($A506="",$B506=""),"",IF(M506="Ambassador","1 - Ambassador",IF(M506="Member","2 - Member",IF(J506="Completed","3 - Presented",IF(H506&lt;&gt;"","4 - Sent",IF(F506&lt;&gt;"","5 - Contacted","6 - No Activity"))))))</f>
        <v/>
      </c>
      <c r="X506" s="6" t="n">
        <f aca="false">IF(AND($A506="",$B506=""),9999999+(ROW()-4),VALUE(LEFT($W506,1))*10000+(ROW()-4))</f>
        <v>10000501</v>
      </c>
    </row>
    <row r="507" customFormat="false" ht="15" hidden="false" customHeight="true" outlineLevel="0" collapsed="false">
      <c r="A507" s="6"/>
      <c r="B507" s="6"/>
      <c r="C507" s="6"/>
      <c r="D507" s="6"/>
      <c r="E507" s="6"/>
      <c r="F507" s="7"/>
      <c r="G507" s="6"/>
      <c r="H507" s="6"/>
      <c r="I507" s="7"/>
      <c r="J507" s="6"/>
      <c r="K507" s="7"/>
      <c r="L507" s="6"/>
      <c r="M507" s="6"/>
      <c r="N507" s="7"/>
      <c r="O507" s="6"/>
      <c r="P507" s="6"/>
      <c r="Q507" s="7"/>
      <c r="R507" s="6" t="str">
        <f aca="false">IF(AND($A507="",$B507=""),"",IF(Q507="Complete","Onboarded",IF(OR(M507="Member",M507="Ambassador"),"Sponsored",IF(K507&lt;&gt;"","Follow-Up",IF(I507&lt;&gt;"","Presented",IF(F507&lt;&gt;"","Contacted","New Lead"))))))</f>
        <v/>
      </c>
      <c r="S507" s="6"/>
      <c r="T507" s="6" t="str">
        <f aca="true">IF(MAX(F507,I507,K507)=0,"",TODAY()-MAX(F507,I507,K507))</f>
        <v/>
      </c>
      <c r="U507" s="6"/>
      <c r="V507" s="6"/>
      <c r="W507" s="6" t="str">
        <f aca="false">IF(AND($A507="",$B507=""),"",IF(M507="Ambassador","1 - Ambassador",IF(M507="Member","2 - Member",IF(J507="Completed","3 - Presented",IF(H507&lt;&gt;"","4 - Sent",IF(F507&lt;&gt;"","5 - Contacted","6 - No Activity"))))))</f>
        <v/>
      </c>
      <c r="X507" s="6" t="n">
        <f aca="false">IF(AND($A507="",$B507=""),9999999+(ROW()-4),VALUE(LEFT($W507,1))*10000+(ROW()-4))</f>
        <v>10000502</v>
      </c>
    </row>
    <row r="508" customFormat="false" ht="15" hidden="false" customHeight="true" outlineLevel="0" collapsed="false">
      <c r="A508" s="6"/>
      <c r="B508" s="6"/>
      <c r="C508" s="6"/>
      <c r="D508" s="6"/>
      <c r="E508" s="6"/>
      <c r="F508" s="7"/>
      <c r="G508" s="6"/>
      <c r="H508" s="6"/>
      <c r="I508" s="7"/>
      <c r="J508" s="6"/>
      <c r="K508" s="7"/>
      <c r="L508" s="6"/>
      <c r="M508" s="6"/>
      <c r="N508" s="7"/>
      <c r="O508" s="6"/>
      <c r="P508" s="6"/>
      <c r="Q508" s="7"/>
      <c r="R508" s="6" t="str">
        <f aca="false">IF(AND($A508="",$B508=""),"",IF(Q508="Complete","Onboarded",IF(OR(M508="Member",M508="Ambassador"),"Sponsored",IF(K508&lt;&gt;"","Follow-Up",IF(I508&lt;&gt;"","Presented",IF(F508&lt;&gt;"","Contacted","New Lead"))))))</f>
        <v/>
      </c>
      <c r="S508" s="6"/>
      <c r="T508" s="6" t="str">
        <f aca="true">IF(MAX(F508,I508,K508)=0,"",TODAY()-MAX(F508,I508,K508))</f>
        <v/>
      </c>
      <c r="U508" s="6"/>
      <c r="V508" s="6"/>
      <c r="W508" s="6" t="str">
        <f aca="false">IF(AND($A508="",$B508=""),"",IF(M508="Ambassador","1 - Ambassador",IF(M508="Member","2 - Member",IF(J508="Completed","3 - Presented",IF(H508&lt;&gt;"","4 - Sent",IF(F508&lt;&gt;"","5 - Contacted","6 - No Activity"))))))</f>
        <v/>
      </c>
      <c r="X508" s="6" t="n">
        <f aca="false">IF(AND($A508="",$B508=""),9999999+(ROW()-4),VALUE(LEFT($W508,1))*10000+(ROW()-4))</f>
        <v>10000503</v>
      </c>
    </row>
    <row r="509" customFormat="false" ht="15" hidden="false" customHeight="true" outlineLevel="0" collapsed="false">
      <c r="A509" s="6"/>
      <c r="B509" s="6"/>
      <c r="C509" s="6"/>
      <c r="D509" s="6"/>
      <c r="E509" s="6"/>
      <c r="F509" s="7"/>
      <c r="G509" s="6"/>
      <c r="H509" s="6"/>
      <c r="I509" s="7"/>
      <c r="J509" s="6"/>
      <c r="K509" s="7"/>
      <c r="L509" s="6"/>
      <c r="M509" s="6"/>
      <c r="N509" s="7"/>
      <c r="O509" s="6"/>
      <c r="P509" s="6"/>
      <c r="Q509" s="7"/>
      <c r="R509" s="6" t="str">
        <f aca="false">IF(AND($A509="",$B509=""),"",IF(Q509="Complete","Onboarded",IF(OR(M509="Member",M509="Ambassador"),"Sponsored",IF(K509&lt;&gt;"","Follow-Up",IF(I509&lt;&gt;"","Presented",IF(F509&lt;&gt;"","Contacted","New Lead"))))))</f>
        <v/>
      </c>
      <c r="S509" s="6"/>
      <c r="T509" s="6" t="str">
        <f aca="true">IF(MAX(F509,I509,K509)=0,"",TODAY()-MAX(F509,I509,K509))</f>
        <v/>
      </c>
      <c r="U509" s="6"/>
      <c r="V509" s="6"/>
      <c r="W509" s="6" t="str">
        <f aca="false">IF(AND($A509="",$B509=""),"",IF(M509="Ambassador","1 - Ambassador",IF(M509="Member","2 - Member",IF(J509="Completed","3 - Presented",IF(H509&lt;&gt;"","4 - Sent",IF(F509&lt;&gt;"","5 - Contacted","6 - No Activity"))))))</f>
        <v/>
      </c>
      <c r="X509" s="6" t="n">
        <f aca="false">IF(AND($A509="",$B509=""),9999999+(ROW()-4),VALUE(LEFT($W509,1))*10000+(ROW()-4))</f>
        <v>10000504</v>
      </c>
    </row>
    <row r="510" customFormat="false" ht="15" hidden="false" customHeight="true" outlineLevel="0" collapsed="false">
      <c r="A510" s="6"/>
      <c r="B510" s="6"/>
      <c r="C510" s="6"/>
      <c r="D510" s="6"/>
      <c r="E510" s="6"/>
      <c r="F510" s="7"/>
      <c r="G510" s="6"/>
      <c r="H510" s="6"/>
      <c r="I510" s="7"/>
      <c r="J510" s="6"/>
      <c r="K510" s="7"/>
      <c r="L510" s="6"/>
      <c r="M510" s="6"/>
      <c r="N510" s="7"/>
      <c r="O510" s="6"/>
      <c r="P510" s="6"/>
      <c r="Q510" s="7"/>
      <c r="R510" s="6" t="str">
        <f aca="false">IF(AND($A510="",$B510=""),"",IF(Q510="Complete","Onboarded",IF(OR(M510="Member",M510="Ambassador"),"Sponsored",IF(K510&lt;&gt;"","Follow-Up",IF(I510&lt;&gt;"","Presented",IF(F510&lt;&gt;"","Contacted","New Lead"))))))</f>
        <v/>
      </c>
      <c r="S510" s="6"/>
      <c r="T510" s="6" t="str">
        <f aca="true">IF(MAX(F510,I510,K510)=0,"",TODAY()-MAX(F510,I510,K510))</f>
        <v/>
      </c>
      <c r="U510" s="6"/>
      <c r="V510" s="6"/>
      <c r="W510" s="6" t="str">
        <f aca="false">IF(AND($A510="",$B510=""),"",IF(M510="Ambassador","1 - Ambassador",IF(M510="Member","2 - Member",IF(J510="Completed","3 - Presented",IF(H510&lt;&gt;"","4 - Sent",IF(F510&lt;&gt;"","5 - Contacted","6 - No Activity"))))))</f>
        <v/>
      </c>
      <c r="X510" s="6" t="n">
        <f aca="false">IF(AND($A510="",$B510=""),9999999+(ROW()-4),VALUE(LEFT($W510,1))*10000+(ROW()-4))</f>
        <v>10000505</v>
      </c>
    </row>
    <row r="511" customFormat="false" ht="15" hidden="false" customHeight="true" outlineLevel="0" collapsed="false">
      <c r="A511" s="6"/>
      <c r="B511" s="6"/>
      <c r="C511" s="6"/>
      <c r="D511" s="6"/>
      <c r="E511" s="6"/>
      <c r="F511" s="7"/>
      <c r="G511" s="6"/>
      <c r="H511" s="6"/>
      <c r="I511" s="7"/>
      <c r="J511" s="6"/>
      <c r="K511" s="7"/>
      <c r="L511" s="6"/>
      <c r="M511" s="6"/>
      <c r="N511" s="7"/>
      <c r="O511" s="6"/>
      <c r="P511" s="6"/>
      <c r="Q511" s="7"/>
      <c r="R511" s="6" t="str">
        <f aca="false">IF(AND($A511="",$B511=""),"",IF(Q511="Complete","Onboarded",IF(OR(M511="Member",M511="Ambassador"),"Sponsored",IF(K511&lt;&gt;"","Follow-Up",IF(I511&lt;&gt;"","Presented",IF(F511&lt;&gt;"","Contacted","New Lead"))))))</f>
        <v/>
      </c>
      <c r="S511" s="6"/>
      <c r="T511" s="6" t="str">
        <f aca="true">IF(MAX(F511,I511,K511)=0,"",TODAY()-MAX(F511,I511,K511))</f>
        <v/>
      </c>
      <c r="U511" s="6"/>
      <c r="V511" s="6"/>
      <c r="W511" s="6" t="str">
        <f aca="false">IF(AND($A511="",$B511=""),"",IF(M511="Ambassador","1 - Ambassador",IF(M511="Member","2 - Member",IF(J511="Completed","3 - Presented",IF(H511&lt;&gt;"","4 - Sent",IF(F511&lt;&gt;"","5 - Contacted","6 - No Activity"))))))</f>
        <v/>
      </c>
      <c r="X511" s="6" t="n">
        <f aca="false">IF(AND($A511="",$B511=""),9999999+(ROW()-4),VALUE(LEFT($W511,1))*10000+(ROW()-4))</f>
        <v>10000506</v>
      </c>
    </row>
    <row r="512" customFormat="false" ht="15" hidden="false" customHeight="true" outlineLevel="0" collapsed="false">
      <c r="A512" s="6"/>
      <c r="B512" s="6"/>
      <c r="C512" s="6"/>
      <c r="D512" s="6"/>
      <c r="E512" s="6"/>
      <c r="F512" s="7"/>
      <c r="G512" s="6"/>
      <c r="H512" s="6"/>
      <c r="I512" s="7"/>
      <c r="J512" s="6"/>
      <c r="K512" s="7"/>
      <c r="L512" s="6"/>
      <c r="M512" s="6"/>
      <c r="N512" s="7"/>
      <c r="O512" s="6"/>
      <c r="P512" s="6"/>
      <c r="Q512" s="7"/>
      <c r="R512" s="6" t="str">
        <f aca="false">IF(AND($A512="",$B512=""),"",IF(Q512="Complete","Onboarded",IF(OR(M512="Member",M512="Ambassador"),"Sponsored",IF(K512&lt;&gt;"","Follow-Up",IF(I512&lt;&gt;"","Presented",IF(F512&lt;&gt;"","Contacted","New Lead"))))))</f>
        <v/>
      </c>
      <c r="S512" s="6"/>
      <c r="T512" s="6" t="str">
        <f aca="true">IF(MAX(F512,I512,K512)=0,"",TODAY()-MAX(F512,I512,K512))</f>
        <v/>
      </c>
      <c r="U512" s="6"/>
      <c r="V512" s="6"/>
      <c r="W512" s="6" t="str">
        <f aca="false">IF(AND($A512="",$B512=""),"",IF(M512="Ambassador","1 - Ambassador",IF(M512="Member","2 - Member",IF(J512="Completed","3 - Presented",IF(H512&lt;&gt;"","4 - Sent",IF(F512&lt;&gt;"","5 - Contacted","6 - No Activity"))))))</f>
        <v/>
      </c>
      <c r="X512" s="6" t="n">
        <f aca="false">IF(AND($A512="",$B512=""),9999999+(ROW()-4),VALUE(LEFT($W512,1))*10000+(ROW()-4))</f>
        <v>10000507</v>
      </c>
    </row>
    <row r="513" customFormat="false" ht="15" hidden="false" customHeight="true" outlineLevel="0" collapsed="false">
      <c r="A513" s="6"/>
      <c r="B513" s="6"/>
      <c r="C513" s="6"/>
      <c r="D513" s="6"/>
      <c r="E513" s="6"/>
      <c r="F513" s="7"/>
      <c r="G513" s="6"/>
      <c r="H513" s="6"/>
      <c r="I513" s="7"/>
      <c r="J513" s="6"/>
      <c r="K513" s="7"/>
      <c r="L513" s="6"/>
      <c r="M513" s="6"/>
      <c r="N513" s="7"/>
      <c r="O513" s="6"/>
      <c r="P513" s="6"/>
      <c r="Q513" s="7"/>
      <c r="R513" s="6" t="str">
        <f aca="false">IF(AND($A513="",$B513=""),"",IF(Q513="Complete","Onboarded",IF(OR(M513="Member",M513="Ambassador"),"Sponsored",IF(K513&lt;&gt;"","Follow-Up",IF(I513&lt;&gt;"","Presented",IF(F513&lt;&gt;"","Contacted","New Lead"))))))</f>
        <v/>
      </c>
      <c r="S513" s="6"/>
      <c r="T513" s="6" t="str">
        <f aca="true">IF(MAX(F513,I513,K513)=0,"",TODAY()-MAX(F513,I513,K513))</f>
        <v/>
      </c>
      <c r="U513" s="6"/>
      <c r="V513" s="6"/>
      <c r="W513" s="6" t="str">
        <f aca="false">IF(AND($A513="",$B513=""),"",IF(M513="Ambassador","1 - Ambassador",IF(M513="Member","2 - Member",IF(J513="Completed","3 - Presented",IF(H513&lt;&gt;"","4 - Sent",IF(F513&lt;&gt;"","5 - Contacted","6 - No Activity"))))))</f>
        <v/>
      </c>
      <c r="X513" s="6" t="n">
        <f aca="false">IF(AND($A513="",$B513=""),9999999+(ROW()-4),VALUE(LEFT($W513,1))*10000+(ROW()-4))</f>
        <v>10000508</v>
      </c>
    </row>
    <row r="514" customFormat="false" ht="15" hidden="false" customHeight="true" outlineLevel="0" collapsed="false">
      <c r="A514" s="6"/>
      <c r="B514" s="6"/>
      <c r="C514" s="6"/>
      <c r="D514" s="6"/>
      <c r="E514" s="6"/>
      <c r="F514" s="7"/>
      <c r="G514" s="6"/>
      <c r="H514" s="6"/>
      <c r="I514" s="7"/>
      <c r="J514" s="6"/>
      <c r="K514" s="7"/>
      <c r="L514" s="6"/>
      <c r="M514" s="6"/>
      <c r="N514" s="7"/>
      <c r="O514" s="6"/>
      <c r="P514" s="6"/>
      <c r="Q514" s="7"/>
      <c r="R514" s="6" t="str">
        <f aca="false">IF(AND($A514="",$B514=""),"",IF(Q514="Complete","Onboarded",IF(OR(M514="Member",M514="Ambassador"),"Sponsored",IF(K514&lt;&gt;"","Follow-Up",IF(I514&lt;&gt;"","Presented",IF(F514&lt;&gt;"","Contacted","New Lead"))))))</f>
        <v/>
      </c>
      <c r="S514" s="6"/>
      <c r="T514" s="6" t="str">
        <f aca="true">IF(MAX(F514,I514,K514)=0,"",TODAY()-MAX(F514,I514,K514))</f>
        <v/>
      </c>
      <c r="U514" s="6"/>
      <c r="V514" s="6"/>
      <c r="W514" s="6" t="str">
        <f aca="false">IF(AND($A514="",$B514=""),"",IF(M514="Ambassador","1 - Ambassador",IF(M514="Member","2 - Member",IF(J514="Completed","3 - Presented",IF(H514&lt;&gt;"","4 - Sent",IF(F514&lt;&gt;"","5 - Contacted","6 - No Activity"))))))</f>
        <v/>
      </c>
      <c r="X514" s="6" t="n">
        <f aca="false">IF(AND($A514="",$B514=""),9999999+(ROW()-4),VALUE(LEFT($W514,1))*10000+(ROW()-4))</f>
        <v>10000509</v>
      </c>
    </row>
    <row r="515" customFormat="false" ht="15" hidden="false" customHeight="true" outlineLevel="0" collapsed="false">
      <c r="A515" s="6"/>
      <c r="B515" s="6"/>
      <c r="C515" s="6"/>
      <c r="D515" s="6"/>
      <c r="E515" s="6"/>
      <c r="F515" s="7"/>
      <c r="G515" s="6"/>
      <c r="H515" s="6"/>
      <c r="I515" s="7"/>
      <c r="J515" s="6"/>
      <c r="K515" s="7"/>
      <c r="L515" s="6"/>
      <c r="M515" s="6"/>
      <c r="N515" s="7"/>
      <c r="O515" s="6"/>
      <c r="P515" s="6"/>
      <c r="Q515" s="7"/>
      <c r="R515" s="6" t="str">
        <f aca="false">IF(AND($A515="",$B515=""),"",IF(Q515="Complete","Onboarded",IF(OR(M515="Member",M515="Ambassador"),"Sponsored",IF(K515&lt;&gt;"","Follow-Up",IF(I515&lt;&gt;"","Presented",IF(F515&lt;&gt;"","Contacted","New Lead"))))))</f>
        <v/>
      </c>
      <c r="S515" s="6"/>
      <c r="T515" s="6" t="str">
        <f aca="true">IF(MAX(F515,I515,K515)=0,"",TODAY()-MAX(F515,I515,K515))</f>
        <v/>
      </c>
      <c r="U515" s="6"/>
      <c r="V515" s="6"/>
      <c r="W515" s="6" t="str">
        <f aca="false">IF(AND($A515="",$B515=""),"",IF(M515="Ambassador","1 - Ambassador",IF(M515="Member","2 - Member",IF(J515="Completed","3 - Presented",IF(H515&lt;&gt;"","4 - Sent",IF(F515&lt;&gt;"","5 - Contacted","6 - No Activity"))))))</f>
        <v/>
      </c>
      <c r="X515" s="6" t="n">
        <f aca="false">IF(AND($A515="",$B515=""),9999999+(ROW()-4),VALUE(LEFT($W515,1))*10000+(ROW()-4))</f>
        <v>10000510</v>
      </c>
    </row>
    <row r="516" customFormat="false" ht="15" hidden="false" customHeight="true" outlineLevel="0" collapsed="false">
      <c r="A516" s="6"/>
      <c r="B516" s="6"/>
      <c r="C516" s="6"/>
      <c r="D516" s="6"/>
      <c r="E516" s="6"/>
      <c r="F516" s="7"/>
      <c r="G516" s="6"/>
      <c r="H516" s="6"/>
      <c r="I516" s="7"/>
      <c r="J516" s="6"/>
      <c r="K516" s="7"/>
      <c r="L516" s="6"/>
      <c r="M516" s="6"/>
      <c r="N516" s="7"/>
      <c r="O516" s="6"/>
      <c r="P516" s="6"/>
      <c r="Q516" s="7"/>
      <c r="R516" s="6" t="str">
        <f aca="false">IF(AND($A516="",$B516=""),"",IF(Q516="Complete","Onboarded",IF(OR(M516="Member",M516="Ambassador"),"Sponsored",IF(K516&lt;&gt;"","Follow-Up",IF(I516&lt;&gt;"","Presented",IF(F516&lt;&gt;"","Contacted","New Lead"))))))</f>
        <v/>
      </c>
      <c r="S516" s="6"/>
      <c r="T516" s="6" t="str">
        <f aca="true">IF(MAX(F516,I516,K516)=0,"",TODAY()-MAX(F516,I516,K516))</f>
        <v/>
      </c>
      <c r="U516" s="6"/>
      <c r="V516" s="6"/>
      <c r="W516" s="6" t="str">
        <f aca="false">IF(AND($A516="",$B516=""),"",IF(M516="Ambassador","1 - Ambassador",IF(M516="Member","2 - Member",IF(J516="Completed","3 - Presented",IF(H516&lt;&gt;"","4 - Sent",IF(F516&lt;&gt;"","5 - Contacted","6 - No Activity"))))))</f>
        <v/>
      </c>
      <c r="X516" s="6" t="n">
        <f aca="false">IF(AND($A516="",$B516=""),9999999+(ROW()-4),VALUE(LEFT($W516,1))*10000+(ROW()-4))</f>
        <v>10000511</v>
      </c>
    </row>
    <row r="517" customFormat="false" ht="15" hidden="false" customHeight="true" outlineLevel="0" collapsed="false">
      <c r="A517" s="6"/>
      <c r="B517" s="6"/>
      <c r="C517" s="6"/>
      <c r="D517" s="6"/>
      <c r="E517" s="6"/>
      <c r="F517" s="7"/>
      <c r="G517" s="6"/>
      <c r="H517" s="6"/>
      <c r="I517" s="7"/>
      <c r="J517" s="6"/>
      <c r="K517" s="7"/>
      <c r="L517" s="6"/>
      <c r="M517" s="6"/>
      <c r="N517" s="7"/>
      <c r="O517" s="6"/>
      <c r="P517" s="6"/>
      <c r="Q517" s="7"/>
      <c r="R517" s="6" t="str">
        <f aca="false">IF(AND($A517="",$B517=""),"",IF(Q517="Complete","Onboarded",IF(OR(M517="Member",M517="Ambassador"),"Sponsored",IF(K517&lt;&gt;"","Follow-Up",IF(I517&lt;&gt;"","Presented",IF(F517&lt;&gt;"","Contacted","New Lead"))))))</f>
        <v/>
      </c>
      <c r="S517" s="6"/>
      <c r="T517" s="6" t="str">
        <f aca="true">IF(MAX(F517,I517,K517)=0,"",TODAY()-MAX(F517,I517,K517))</f>
        <v/>
      </c>
      <c r="U517" s="6"/>
      <c r="V517" s="6"/>
      <c r="W517" s="6" t="str">
        <f aca="false">IF(AND($A517="",$B517=""),"",IF(M517="Ambassador","1 - Ambassador",IF(M517="Member","2 - Member",IF(J517="Completed","3 - Presented",IF(H517&lt;&gt;"","4 - Sent",IF(F517&lt;&gt;"","5 - Contacted","6 - No Activity"))))))</f>
        <v/>
      </c>
      <c r="X517" s="6" t="n">
        <f aca="false">IF(AND($A517="",$B517=""),9999999+(ROW()-4),VALUE(LEFT($W517,1))*10000+(ROW()-4))</f>
        <v>10000512</v>
      </c>
    </row>
    <row r="518" customFormat="false" ht="15" hidden="false" customHeight="true" outlineLevel="0" collapsed="false">
      <c r="A518" s="6"/>
      <c r="B518" s="6"/>
      <c r="C518" s="6"/>
      <c r="D518" s="6"/>
      <c r="E518" s="6"/>
      <c r="F518" s="7"/>
      <c r="G518" s="6"/>
      <c r="H518" s="6"/>
      <c r="I518" s="7"/>
      <c r="J518" s="6"/>
      <c r="K518" s="7"/>
      <c r="L518" s="6"/>
      <c r="M518" s="6"/>
      <c r="N518" s="7"/>
      <c r="O518" s="6"/>
      <c r="P518" s="6"/>
      <c r="Q518" s="7"/>
      <c r="R518" s="6" t="str">
        <f aca="false">IF(AND($A518="",$B518=""),"",IF(Q518="Complete","Onboarded",IF(OR(M518="Member",M518="Ambassador"),"Sponsored",IF(K518&lt;&gt;"","Follow-Up",IF(I518&lt;&gt;"","Presented",IF(F518&lt;&gt;"","Contacted","New Lead"))))))</f>
        <v/>
      </c>
      <c r="S518" s="6"/>
      <c r="T518" s="6" t="str">
        <f aca="true">IF(MAX(F518,I518,K518)=0,"",TODAY()-MAX(F518,I518,K518))</f>
        <v/>
      </c>
      <c r="U518" s="6"/>
      <c r="V518" s="6"/>
      <c r="W518" s="6" t="str">
        <f aca="false">IF(AND($A518="",$B518=""),"",IF(M518="Ambassador","1 - Ambassador",IF(M518="Member","2 - Member",IF(J518="Completed","3 - Presented",IF(H518&lt;&gt;"","4 - Sent",IF(F518&lt;&gt;"","5 - Contacted","6 - No Activity"))))))</f>
        <v/>
      </c>
      <c r="X518" s="6" t="n">
        <f aca="false">IF(AND($A518="",$B518=""),9999999+(ROW()-4),VALUE(LEFT($W518,1))*10000+(ROW()-4))</f>
        <v>10000513</v>
      </c>
    </row>
    <row r="519" customFormat="false" ht="15" hidden="false" customHeight="true" outlineLevel="0" collapsed="false">
      <c r="A519" s="6"/>
      <c r="B519" s="6"/>
      <c r="C519" s="6"/>
      <c r="D519" s="6"/>
      <c r="E519" s="6"/>
      <c r="F519" s="7"/>
      <c r="G519" s="6"/>
      <c r="H519" s="6"/>
      <c r="I519" s="7"/>
      <c r="J519" s="6"/>
      <c r="K519" s="7"/>
      <c r="L519" s="6"/>
      <c r="M519" s="6"/>
      <c r="N519" s="7"/>
      <c r="O519" s="6"/>
      <c r="P519" s="6"/>
      <c r="Q519" s="7"/>
      <c r="R519" s="6" t="str">
        <f aca="false">IF(AND($A519="",$B519=""),"",IF(Q519="Complete","Onboarded",IF(OR(M519="Member",M519="Ambassador"),"Sponsored",IF(K519&lt;&gt;"","Follow-Up",IF(I519&lt;&gt;"","Presented",IF(F519&lt;&gt;"","Contacted","New Lead"))))))</f>
        <v/>
      </c>
      <c r="S519" s="6"/>
      <c r="T519" s="6" t="str">
        <f aca="true">IF(MAX(F519,I519,K519)=0,"",TODAY()-MAX(F519,I519,K519))</f>
        <v/>
      </c>
      <c r="U519" s="6"/>
      <c r="V519" s="6"/>
      <c r="W519" s="6" t="str">
        <f aca="false">IF(AND($A519="",$B519=""),"",IF(M519="Ambassador","1 - Ambassador",IF(M519="Member","2 - Member",IF(J519="Completed","3 - Presented",IF(H519&lt;&gt;"","4 - Sent",IF(F519&lt;&gt;"","5 - Contacted","6 - No Activity"))))))</f>
        <v/>
      </c>
      <c r="X519" s="6" t="n">
        <f aca="false">IF(AND($A519="",$B519=""),9999999+(ROW()-4),VALUE(LEFT($W519,1))*10000+(ROW()-4))</f>
        <v>10000514</v>
      </c>
    </row>
    <row r="520" customFormat="false" ht="15" hidden="false" customHeight="true" outlineLevel="0" collapsed="false">
      <c r="A520" s="6"/>
      <c r="B520" s="6"/>
      <c r="C520" s="6"/>
      <c r="D520" s="6"/>
      <c r="E520" s="6"/>
      <c r="F520" s="7"/>
      <c r="G520" s="6"/>
      <c r="H520" s="6"/>
      <c r="I520" s="7"/>
      <c r="J520" s="6"/>
      <c r="K520" s="7"/>
      <c r="L520" s="6"/>
      <c r="M520" s="6"/>
      <c r="N520" s="7"/>
      <c r="O520" s="6"/>
      <c r="P520" s="6"/>
      <c r="Q520" s="7"/>
      <c r="R520" s="6" t="str">
        <f aca="false">IF(AND($A520="",$B520=""),"",IF(Q520="Complete","Onboarded",IF(OR(M520="Member",M520="Ambassador"),"Sponsored",IF(K520&lt;&gt;"","Follow-Up",IF(I520&lt;&gt;"","Presented",IF(F520&lt;&gt;"","Contacted","New Lead"))))))</f>
        <v/>
      </c>
      <c r="S520" s="6"/>
      <c r="T520" s="6" t="str">
        <f aca="true">IF(MAX(F520,I520,K520)=0,"",TODAY()-MAX(F520,I520,K520))</f>
        <v/>
      </c>
      <c r="U520" s="6"/>
      <c r="V520" s="6"/>
      <c r="W520" s="6" t="str">
        <f aca="false">IF(AND($A520="",$B520=""),"",IF(M520="Ambassador","1 - Ambassador",IF(M520="Member","2 - Member",IF(J520="Completed","3 - Presented",IF(H520&lt;&gt;"","4 - Sent",IF(F520&lt;&gt;"","5 - Contacted","6 - No Activity"))))))</f>
        <v/>
      </c>
      <c r="X520" s="6" t="n">
        <f aca="false">IF(AND($A520="",$B520=""),9999999+(ROW()-4),VALUE(LEFT($W520,1))*10000+(ROW()-4))</f>
        <v>10000515</v>
      </c>
    </row>
    <row r="521" customFormat="false" ht="15" hidden="false" customHeight="true" outlineLevel="0" collapsed="false">
      <c r="A521" s="6"/>
      <c r="B521" s="6"/>
      <c r="C521" s="6"/>
      <c r="D521" s="6"/>
      <c r="E521" s="6"/>
      <c r="F521" s="7"/>
      <c r="G521" s="6"/>
      <c r="H521" s="6"/>
      <c r="I521" s="7"/>
      <c r="J521" s="6"/>
      <c r="K521" s="7"/>
      <c r="L521" s="6"/>
      <c r="M521" s="6"/>
      <c r="N521" s="7"/>
      <c r="O521" s="6"/>
      <c r="P521" s="6"/>
      <c r="Q521" s="7"/>
      <c r="R521" s="6" t="str">
        <f aca="false">IF(AND($A521="",$B521=""),"",IF(Q521="Complete","Onboarded",IF(OR(M521="Member",M521="Ambassador"),"Sponsored",IF(K521&lt;&gt;"","Follow-Up",IF(I521&lt;&gt;"","Presented",IF(F521&lt;&gt;"","Contacted","New Lead"))))))</f>
        <v/>
      </c>
      <c r="S521" s="6"/>
      <c r="T521" s="6" t="str">
        <f aca="true">IF(MAX(F521,I521,K521)=0,"",TODAY()-MAX(F521,I521,K521))</f>
        <v/>
      </c>
      <c r="U521" s="6"/>
      <c r="V521" s="6"/>
      <c r="W521" s="6" t="str">
        <f aca="false">IF(AND($A521="",$B521=""),"",IF(M521="Ambassador","1 - Ambassador",IF(M521="Member","2 - Member",IF(J521="Completed","3 - Presented",IF(H521&lt;&gt;"","4 - Sent",IF(F521&lt;&gt;"","5 - Contacted","6 - No Activity"))))))</f>
        <v/>
      </c>
      <c r="X521" s="6" t="n">
        <f aca="false">IF(AND($A521="",$B521=""),9999999+(ROW()-4),VALUE(LEFT($W521,1))*10000+(ROW()-4))</f>
        <v>10000516</v>
      </c>
    </row>
    <row r="522" customFormat="false" ht="15" hidden="false" customHeight="true" outlineLevel="0" collapsed="false">
      <c r="A522" s="6"/>
      <c r="B522" s="6"/>
      <c r="C522" s="6"/>
      <c r="D522" s="6"/>
      <c r="E522" s="6"/>
      <c r="F522" s="7"/>
      <c r="G522" s="6"/>
      <c r="H522" s="6"/>
      <c r="I522" s="7"/>
      <c r="J522" s="6"/>
      <c r="K522" s="7"/>
      <c r="L522" s="6"/>
      <c r="M522" s="6"/>
      <c r="N522" s="7"/>
      <c r="O522" s="6"/>
      <c r="P522" s="6"/>
      <c r="Q522" s="7"/>
      <c r="R522" s="6" t="str">
        <f aca="false">IF(AND($A522="",$B522=""),"",IF(Q522="Complete","Onboarded",IF(OR(M522="Member",M522="Ambassador"),"Sponsored",IF(K522&lt;&gt;"","Follow-Up",IF(I522&lt;&gt;"","Presented",IF(F522&lt;&gt;"","Contacted","New Lead"))))))</f>
        <v/>
      </c>
      <c r="S522" s="6"/>
      <c r="T522" s="6" t="str">
        <f aca="true">IF(MAX(F522,I522,K522)=0,"",TODAY()-MAX(F522,I522,K522))</f>
        <v/>
      </c>
      <c r="U522" s="6"/>
      <c r="V522" s="6"/>
      <c r="W522" s="6" t="str">
        <f aca="false">IF(AND($A522="",$B522=""),"",IF(M522="Ambassador","1 - Ambassador",IF(M522="Member","2 - Member",IF(J522="Completed","3 - Presented",IF(H522&lt;&gt;"","4 - Sent",IF(F522&lt;&gt;"","5 - Contacted","6 - No Activity"))))))</f>
        <v/>
      </c>
      <c r="X522" s="6" t="n">
        <f aca="false">IF(AND($A522="",$B522=""),9999999+(ROW()-4),VALUE(LEFT($W522,1))*10000+(ROW()-4))</f>
        <v>10000517</v>
      </c>
    </row>
    <row r="523" customFormat="false" ht="15" hidden="false" customHeight="true" outlineLevel="0" collapsed="false">
      <c r="A523" s="6"/>
      <c r="B523" s="6"/>
      <c r="C523" s="6"/>
      <c r="D523" s="6"/>
      <c r="E523" s="6"/>
      <c r="F523" s="7"/>
      <c r="G523" s="6"/>
      <c r="H523" s="6"/>
      <c r="I523" s="7"/>
      <c r="J523" s="6"/>
      <c r="K523" s="7"/>
      <c r="L523" s="6"/>
      <c r="M523" s="6"/>
      <c r="N523" s="7"/>
      <c r="O523" s="6"/>
      <c r="P523" s="6"/>
      <c r="Q523" s="7"/>
      <c r="R523" s="6" t="str">
        <f aca="false">IF(AND($A523="",$B523=""),"",IF(Q523="Complete","Onboarded",IF(OR(M523="Member",M523="Ambassador"),"Sponsored",IF(K523&lt;&gt;"","Follow-Up",IF(I523&lt;&gt;"","Presented",IF(F523&lt;&gt;"","Contacted","New Lead"))))))</f>
        <v/>
      </c>
      <c r="S523" s="6"/>
      <c r="T523" s="6" t="str">
        <f aca="true">IF(MAX(F523,I523,K523)=0,"",TODAY()-MAX(F523,I523,K523))</f>
        <v/>
      </c>
      <c r="U523" s="6"/>
      <c r="V523" s="6"/>
      <c r="W523" s="6" t="str">
        <f aca="false">IF(AND($A523="",$B523=""),"",IF(M523="Ambassador","1 - Ambassador",IF(M523="Member","2 - Member",IF(J523="Completed","3 - Presented",IF(H523&lt;&gt;"","4 - Sent",IF(F523&lt;&gt;"","5 - Contacted","6 - No Activity"))))))</f>
        <v/>
      </c>
      <c r="X523" s="6" t="n">
        <f aca="false">IF(AND($A523="",$B523=""),9999999+(ROW()-4),VALUE(LEFT($W523,1))*10000+(ROW()-4))</f>
        <v>10000518</v>
      </c>
    </row>
    <row r="524" customFormat="false" ht="15" hidden="false" customHeight="true" outlineLevel="0" collapsed="false">
      <c r="A524" s="6"/>
      <c r="B524" s="6"/>
      <c r="C524" s="6"/>
      <c r="D524" s="6"/>
      <c r="E524" s="6"/>
      <c r="F524" s="7"/>
      <c r="G524" s="6"/>
      <c r="H524" s="6"/>
      <c r="I524" s="7"/>
      <c r="J524" s="6"/>
      <c r="K524" s="7"/>
      <c r="L524" s="6"/>
      <c r="M524" s="6"/>
      <c r="N524" s="7"/>
      <c r="O524" s="6"/>
      <c r="P524" s="6"/>
      <c r="Q524" s="7"/>
      <c r="R524" s="6" t="str">
        <f aca="false">IF(AND($A524="",$B524=""),"",IF(Q524="Complete","Onboarded",IF(OR(M524="Member",M524="Ambassador"),"Sponsored",IF(K524&lt;&gt;"","Follow-Up",IF(I524&lt;&gt;"","Presented",IF(F524&lt;&gt;"","Contacted","New Lead"))))))</f>
        <v/>
      </c>
      <c r="S524" s="6"/>
      <c r="T524" s="6" t="str">
        <f aca="true">IF(MAX(F524,I524,K524)=0,"",TODAY()-MAX(F524,I524,K524))</f>
        <v/>
      </c>
      <c r="U524" s="6"/>
      <c r="V524" s="6"/>
      <c r="W524" s="6" t="str">
        <f aca="false">IF(AND($A524="",$B524=""),"",IF(M524="Ambassador","1 - Ambassador",IF(M524="Member","2 - Member",IF(J524="Completed","3 - Presented",IF(H524&lt;&gt;"","4 - Sent",IF(F524&lt;&gt;"","5 - Contacted","6 - No Activity"))))))</f>
        <v/>
      </c>
      <c r="X524" s="6" t="n">
        <f aca="false">IF(AND($A524="",$B524=""),9999999+(ROW()-4),VALUE(LEFT($W524,1))*10000+(ROW()-4))</f>
        <v>10000519</v>
      </c>
    </row>
    <row r="525" customFormat="false" ht="15" hidden="false" customHeight="true" outlineLevel="0" collapsed="false">
      <c r="A525" s="6"/>
      <c r="B525" s="6"/>
      <c r="C525" s="6"/>
      <c r="D525" s="6"/>
      <c r="E525" s="6"/>
      <c r="F525" s="7"/>
      <c r="G525" s="6"/>
      <c r="H525" s="6"/>
      <c r="I525" s="7"/>
      <c r="J525" s="6"/>
      <c r="K525" s="7"/>
      <c r="L525" s="6"/>
      <c r="M525" s="6"/>
      <c r="N525" s="7"/>
      <c r="O525" s="6"/>
      <c r="P525" s="6"/>
      <c r="Q525" s="7"/>
      <c r="R525" s="6" t="str">
        <f aca="false">IF(AND($A525="",$B525=""),"",IF(Q525="Complete","Onboarded",IF(OR(M525="Member",M525="Ambassador"),"Sponsored",IF(K525&lt;&gt;"","Follow-Up",IF(I525&lt;&gt;"","Presented",IF(F525&lt;&gt;"","Contacted","New Lead"))))))</f>
        <v/>
      </c>
      <c r="S525" s="6"/>
      <c r="T525" s="6" t="str">
        <f aca="true">IF(MAX(F525,I525,K525)=0,"",TODAY()-MAX(F525,I525,K525))</f>
        <v/>
      </c>
      <c r="U525" s="6"/>
      <c r="V525" s="6"/>
      <c r="W525" s="6" t="str">
        <f aca="false">IF(AND($A525="",$B525=""),"",IF(M525="Ambassador","1 - Ambassador",IF(M525="Member","2 - Member",IF(J525="Completed","3 - Presented",IF(H525&lt;&gt;"","4 - Sent",IF(F525&lt;&gt;"","5 - Contacted","6 - No Activity"))))))</f>
        <v/>
      </c>
      <c r="X525" s="6" t="n">
        <f aca="false">IF(AND($A525="",$B525=""),9999999+(ROW()-4),VALUE(LEFT($W525,1))*10000+(ROW()-4))</f>
        <v>10000520</v>
      </c>
    </row>
    <row r="526" customFormat="false" ht="15" hidden="false" customHeight="true" outlineLevel="0" collapsed="false">
      <c r="A526" s="6"/>
      <c r="B526" s="6"/>
      <c r="C526" s="6"/>
      <c r="D526" s="6"/>
      <c r="E526" s="6"/>
      <c r="F526" s="7"/>
      <c r="G526" s="6"/>
      <c r="H526" s="6"/>
      <c r="I526" s="7"/>
      <c r="J526" s="6"/>
      <c r="K526" s="7"/>
      <c r="L526" s="6"/>
      <c r="M526" s="6"/>
      <c r="N526" s="7"/>
      <c r="O526" s="6"/>
      <c r="P526" s="6"/>
      <c r="Q526" s="7"/>
      <c r="R526" s="6" t="str">
        <f aca="false">IF(AND($A526="",$B526=""),"",IF(Q526="Complete","Onboarded",IF(OR(M526="Member",M526="Ambassador"),"Sponsored",IF(K526&lt;&gt;"","Follow-Up",IF(I526&lt;&gt;"","Presented",IF(F526&lt;&gt;"","Contacted","New Lead"))))))</f>
        <v/>
      </c>
      <c r="S526" s="6"/>
      <c r="T526" s="6" t="str">
        <f aca="true">IF(MAX(F526,I526,K526)=0,"",TODAY()-MAX(F526,I526,K526))</f>
        <v/>
      </c>
      <c r="U526" s="6"/>
      <c r="V526" s="6"/>
      <c r="W526" s="6" t="str">
        <f aca="false">IF(AND($A526="",$B526=""),"",IF(M526="Ambassador","1 - Ambassador",IF(M526="Member","2 - Member",IF(J526="Completed","3 - Presented",IF(H526&lt;&gt;"","4 - Sent",IF(F526&lt;&gt;"","5 - Contacted","6 - No Activity"))))))</f>
        <v/>
      </c>
      <c r="X526" s="6" t="n">
        <f aca="false">IF(AND($A526="",$B526=""),9999999+(ROW()-4),VALUE(LEFT($W526,1))*10000+(ROW()-4))</f>
        <v>10000521</v>
      </c>
    </row>
    <row r="527" customFormat="false" ht="15" hidden="false" customHeight="true" outlineLevel="0" collapsed="false">
      <c r="A527" s="6"/>
      <c r="B527" s="6"/>
      <c r="C527" s="6"/>
      <c r="D527" s="6"/>
      <c r="E527" s="6"/>
      <c r="F527" s="7"/>
      <c r="G527" s="6"/>
      <c r="H527" s="6"/>
      <c r="I527" s="7"/>
      <c r="J527" s="6"/>
      <c r="K527" s="7"/>
      <c r="L527" s="6"/>
      <c r="M527" s="6"/>
      <c r="N527" s="7"/>
      <c r="O527" s="6"/>
      <c r="P527" s="6"/>
      <c r="Q527" s="7"/>
      <c r="R527" s="6" t="str">
        <f aca="false">IF(AND($A527="",$B527=""),"",IF(Q527="Complete","Onboarded",IF(OR(M527="Member",M527="Ambassador"),"Sponsored",IF(K527&lt;&gt;"","Follow-Up",IF(I527&lt;&gt;"","Presented",IF(F527&lt;&gt;"","Contacted","New Lead"))))))</f>
        <v/>
      </c>
      <c r="S527" s="6"/>
      <c r="T527" s="6" t="str">
        <f aca="true">IF(MAX(F527,I527,K527)=0,"",TODAY()-MAX(F527,I527,K527))</f>
        <v/>
      </c>
      <c r="U527" s="6"/>
      <c r="V527" s="6"/>
      <c r="W527" s="6" t="str">
        <f aca="false">IF(AND($A527="",$B527=""),"",IF(M527="Ambassador","1 - Ambassador",IF(M527="Member","2 - Member",IF(J527="Completed","3 - Presented",IF(H527&lt;&gt;"","4 - Sent",IF(F527&lt;&gt;"","5 - Contacted","6 - No Activity"))))))</f>
        <v/>
      </c>
      <c r="X527" s="6" t="n">
        <f aca="false">IF(AND($A527="",$B527=""),9999999+(ROW()-4),VALUE(LEFT($W527,1))*10000+(ROW()-4))</f>
        <v>10000522</v>
      </c>
    </row>
    <row r="528" customFormat="false" ht="15" hidden="false" customHeight="true" outlineLevel="0" collapsed="false">
      <c r="A528" s="6"/>
      <c r="B528" s="6"/>
      <c r="C528" s="6"/>
      <c r="D528" s="6"/>
      <c r="E528" s="6"/>
      <c r="F528" s="7"/>
      <c r="G528" s="6"/>
      <c r="H528" s="6"/>
      <c r="I528" s="7"/>
      <c r="J528" s="6"/>
      <c r="K528" s="7"/>
      <c r="L528" s="6"/>
      <c r="M528" s="6"/>
      <c r="N528" s="7"/>
      <c r="O528" s="6"/>
      <c r="P528" s="6"/>
      <c r="Q528" s="7"/>
      <c r="R528" s="6" t="str">
        <f aca="false">IF(AND($A528="",$B528=""),"",IF(Q528="Complete","Onboarded",IF(OR(M528="Member",M528="Ambassador"),"Sponsored",IF(K528&lt;&gt;"","Follow-Up",IF(I528&lt;&gt;"","Presented",IF(F528&lt;&gt;"","Contacted","New Lead"))))))</f>
        <v/>
      </c>
      <c r="S528" s="6"/>
      <c r="T528" s="6" t="str">
        <f aca="true">IF(MAX(F528,I528,K528)=0,"",TODAY()-MAX(F528,I528,K528))</f>
        <v/>
      </c>
      <c r="U528" s="6"/>
      <c r="V528" s="6"/>
      <c r="W528" s="6" t="str">
        <f aca="false">IF(AND($A528="",$B528=""),"",IF(M528="Ambassador","1 - Ambassador",IF(M528="Member","2 - Member",IF(J528="Completed","3 - Presented",IF(H528&lt;&gt;"","4 - Sent",IF(F528&lt;&gt;"","5 - Contacted","6 - No Activity"))))))</f>
        <v/>
      </c>
      <c r="X528" s="6" t="n">
        <f aca="false">IF(AND($A528="",$B528=""),9999999+(ROW()-4),VALUE(LEFT($W528,1))*10000+(ROW()-4))</f>
        <v>10000523</v>
      </c>
    </row>
    <row r="529" customFormat="false" ht="15" hidden="false" customHeight="true" outlineLevel="0" collapsed="false">
      <c r="A529" s="6"/>
      <c r="B529" s="6"/>
      <c r="C529" s="6"/>
      <c r="D529" s="6"/>
      <c r="E529" s="6"/>
      <c r="F529" s="7"/>
      <c r="G529" s="6"/>
      <c r="H529" s="6"/>
      <c r="I529" s="7"/>
      <c r="J529" s="6"/>
      <c r="K529" s="7"/>
      <c r="L529" s="6"/>
      <c r="M529" s="6"/>
      <c r="N529" s="7"/>
      <c r="O529" s="6"/>
      <c r="P529" s="6"/>
      <c r="Q529" s="7"/>
      <c r="R529" s="6" t="str">
        <f aca="false">IF(AND($A529="",$B529=""),"",IF(Q529="Complete","Onboarded",IF(OR(M529="Member",M529="Ambassador"),"Sponsored",IF(K529&lt;&gt;"","Follow-Up",IF(I529&lt;&gt;"","Presented",IF(F529&lt;&gt;"","Contacted","New Lead"))))))</f>
        <v/>
      </c>
      <c r="S529" s="6"/>
      <c r="T529" s="6" t="str">
        <f aca="true">IF(MAX(F529,I529,K529)=0,"",TODAY()-MAX(F529,I529,K529))</f>
        <v/>
      </c>
      <c r="U529" s="6"/>
      <c r="V529" s="6"/>
      <c r="W529" s="6" t="str">
        <f aca="false">IF(AND($A529="",$B529=""),"",IF(M529="Ambassador","1 - Ambassador",IF(M529="Member","2 - Member",IF(J529="Completed","3 - Presented",IF(H529&lt;&gt;"","4 - Sent",IF(F529&lt;&gt;"","5 - Contacted","6 - No Activity"))))))</f>
        <v/>
      </c>
      <c r="X529" s="6" t="n">
        <f aca="false">IF(AND($A529="",$B529=""),9999999+(ROW()-4),VALUE(LEFT($W529,1))*10000+(ROW()-4))</f>
        <v>10000524</v>
      </c>
    </row>
    <row r="530" customFormat="false" ht="15" hidden="false" customHeight="true" outlineLevel="0" collapsed="false">
      <c r="A530" s="6"/>
      <c r="B530" s="6"/>
      <c r="C530" s="6"/>
      <c r="D530" s="6"/>
      <c r="E530" s="6"/>
      <c r="F530" s="7"/>
      <c r="G530" s="6"/>
      <c r="H530" s="6"/>
      <c r="I530" s="7"/>
      <c r="J530" s="6"/>
      <c r="K530" s="7"/>
      <c r="L530" s="6"/>
      <c r="M530" s="6"/>
      <c r="N530" s="7"/>
      <c r="O530" s="6"/>
      <c r="P530" s="6"/>
      <c r="Q530" s="7"/>
      <c r="R530" s="6" t="str">
        <f aca="false">IF(AND($A530="",$B530=""),"",IF(Q530="Complete","Onboarded",IF(OR(M530="Member",M530="Ambassador"),"Sponsored",IF(K530&lt;&gt;"","Follow-Up",IF(I530&lt;&gt;"","Presented",IF(F530&lt;&gt;"","Contacted","New Lead"))))))</f>
        <v/>
      </c>
      <c r="S530" s="6"/>
      <c r="T530" s="6" t="str">
        <f aca="true">IF(MAX(F530,I530,K530)=0,"",TODAY()-MAX(F530,I530,K530))</f>
        <v/>
      </c>
      <c r="U530" s="6"/>
      <c r="V530" s="6"/>
      <c r="W530" s="6" t="str">
        <f aca="false">IF(AND($A530="",$B530=""),"",IF(M530="Ambassador","1 - Ambassador",IF(M530="Member","2 - Member",IF(J530="Completed","3 - Presented",IF(H530&lt;&gt;"","4 - Sent",IF(F530&lt;&gt;"","5 - Contacted","6 - No Activity"))))))</f>
        <v/>
      </c>
      <c r="X530" s="6" t="n">
        <f aca="false">IF(AND($A530="",$B530=""),9999999+(ROW()-4),VALUE(LEFT($W530,1))*10000+(ROW()-4))</f>
        <v>10000525</v>
      </c>
    </row>
    <row r="531" customFormat="false" ht="15" hidden="false" customHeight="true" outlineLevel="0" collapsed="false">
      <c r="A531" s="6"/>
      <c r="B531" s="6"/>
      <c r="C531" s="6"/>
      <c r="D531" s="6"/>
      <c r="E531" s="6"/>
      <c r="F531" s="7"/>
      <c r="G531" s="6"/>
      <c r="H531" s="6"/>
      <c r="I531" s="7"/>
      <c r="J531" s="6"/>
      <c r="K531" s="7"/>
      <c r="L531" s="6"/>
      <c r="M531" s="6"/>
      <c r="N531" s="7"/>
      <c r="O531" s="6"/>
      <c r="P531" s="6"/>
      <c r="Q531" s="7"/>
      <c r="R531" s="6" t="str">
        <f aca="false">IF(AND($A531="",$B531=""),"",IF(Q531="Complete","Onboarded",IF(OR(M531="Member",M531="Ambassador"),"Sponsored",IF(K531&lt;&gt;"","Follow-Up",IF(I531&lt;&gt;"","Presented",IF(F531&lt;&gt;"","Contacted","New Lead"))))))</f>
        <v/>
      </c>
      <c r="S531" s="6"/>
      <c r="T531" s="6" t="str">
        <f aca="true">IF(MAX(F531,I531,K531)=0,"",TODAY()-MAX(F531,I531,K531))</f>
        <v/>
      </c>
      <c r="U531" s="6"/>
      <c r="V531" s="6"/>
      <c r="W531" s="6" t="str">
        <f aca="false">IF(AND($A531="",$B531=""),"",IF(M531="Ambassador","1 - Ambassador",IF(M531="Member","2 - Member",IF(J531="Completed","3 - Presented",IF(H531&lt;&gt;"","4 - Sent",IF(F531&lt;&gt;"","5 - Contacted","6 - No Activity"))))))</f>
        <v/>
      </c>
      <c r="X531" s="6" t="n">
        <f aca="false">IF(AND($A531="",$B531=""),9999999+(ROW()-4),VALUE(LEFT($W531,1))*10000+(ROW()-4))</f>
        <v>10000526</v>
      </c>
    </row>
    <row r="532" customFormat="false" ht="15" hidden="false" customHeight="true" outlineLevel="0" collapsed="false">
      <c r="A532" s="6"/>
      <c r="B532" s="6"/>
      <c r="C532" s="6"/>
      <c r="D532" s="6"/>
      <c r="E532" s="6"/>
      <c r="F532" s="7"/>
      <c r="G532" s="6"/>
      <c r="H532" s="6"/>
      <c r="I532" s="7"/>
      <c r="J532" s="6"/>
      <c r="K532" s="7"/>
      <c r="L532" s="6"/>
      <c r="M532" s="6"/>
      <c r="N532" s="7"/>
      <c r="O532" s="6"/>
      <c r="P532" s="6"/>
      <c r="Q532" s="7"/>
      <c r="R532" s="6" t="str">
        <f aca="false">IF(AND($A532="",$B532=""),"",IF(Q532="Complete","Onboarded",IF(OR(M532="Member",M532="Ambassador"),"Sponsored",IF(K532&lt;&gt;"","Follow-Up",IF(I532&lt;&gt;"","Presented",IF(F532&lt;&gt;"","Contacted","New Lead"))))))</f>
        <v/>
      </c>
      <c r="S532" s="6"/>
      <c r="T532" s="6" t="str">
        <f aca="true">IF(MAX(F532,I532,K532)=0,"",TODAY()-MAX(F532,I532,K532))</f>
        <v/>
      </c>
      <c r="U532" s="6"/>
      <c r="V532" s="6"/>
      <c r="W532" s="6" t="str">
        <f aca="false">IF(AND($A532="",$B532=""),"",IF(M532="Ambassador","1 - Ambassador",IF(M532="Member","2 - Member",IF(J532="Completed","3 - Presented",IF(H532&lt;&gt;"","4 - Sent",IF(F532&lt;&gt;"","5 - Contacted","6 - No Activity"))))))</f>
        <v/>
      </c>
      <c r="X532" s="6" t="n">
        <f aca="false">IF(AND($A532="",$B532=""),9999999+(ROW()-4),VALUE(LEFT($W532,1))*10000+(ROW()-4))</f>
        <v>10000527</v>
      </c>
    </row>
    <row r="533" customFormat="false" ht="15" hidden="false" customHeight="true" outlineLevel="0" collapsed="false">
      <c r="A533" s="6"/>
      <c r="B533" s="6"/>
      <c r="C533" s="6"/>
      <c r="D533" s="6"/>
      <c r="E533" s="6"/>
      <c r="F533" s="7"/>
      <c r="G533" s="6"/>
      <c r="H533" s="6"/>
      <c r="I533" s="7"/>
      <c r="J533" s="6"/>
      <c r="K533" s="7"/>
      <c r="L533" s="6"/>
      <c r="M533" s="6"/>
      <c r="N533" s="7"/>
      <c r="O533" s="6"/>
      <c r="P533" s="6"/>
      <c r="Q533" s="7"/>
      <c r="R533" s="6" t="str">
        <f aca="false">IF(AND($A533="",$B533=""),"",IF(Q533="Complete","Onboarded",IF(OR(M533="Member",M533="Ambassador"),"Sponsored",IF(K533&lt;&gt;"","Follow-Up",IF(I533&lt;&gt;"","Presented",IF(F533&lt;&gt;"","Contacted","New Lead"))))))</f>
        <v/>
      </c>
      <c r="S533" s="6"/>
      <c r="T533" s="6" t="str">
        <f aca="true">IF(MAX(F533,I533,K533)=0,"",TODAY()-MAX(F533,I533,K533))</f>
        <v/>
      </c>
      <c r="U533" s="6"/>
      <c r="V533" s="6"/>
      <c r="W533" s="6" t="str">
        <f aca="false">IF(AND($A533="",$B533=""),"",IF(M533="Ambassador","1 - Ambassador",IF(M533="Member","2 - Member",IF(J533="Completed","3 - Presented",IF(H533&lt;&gt;"","4 - Sent",IF(F533&lt;&gt;"","5 - Contacted","6 - No Activity"))))))</f>
        <v/>
      </c>
      <c r="X533" s="6" t="n">
        <f aca="false">IF(AND($A533="",$B533=""),9999999+(ROW()-4),VALUE(LEFT($W533,1))*10000+(ROW()-4))</f>
        <v>10000528</v>
      </c>
    </row>
    <row r="534" customFormat="false" ht="15" hidden="false" customHeight="true" outlineLevel="0" collapsed="false">
      <c r="A534" s="6"/>
      <c r="B534" s="6"/>
      <c r="C534" s="6"/>
      <c r="D534" s="6"/>
      <c r="E534" s="6"/>
      <c r="F534" s="7"/>
      <c r="G534" s="6"/>
      <c r="H534" s="6"/>
      <c r="I534" s="7"/>
      <c r="J534" s="6"/>
      <c r="K534" s="7"/>
      <c r="L534" s="6"/>
      <c r="M534" s="6"/>
      <c r="N534" s="7"/>
      <c r="O534" s="6"/>
      <c r="P534" s="6"/>
      <c r="Q534" s="7"/>
      <c r="R534" s="6" t="str">
        <f aca="false">IF(AND($A534="",$B534=""),"",IF(Q534="Complete","Onboarded",IF(OR(M534="Member",M534="Ambassador"),"Sponsored",IF(K534&lt;&gt;"","Follow-Up",IF(I534&lt;&gt;"","Presented",IF(F534&lt;&gt;"","Contacted","New Lead"))))))</f>
        <v/>
      </c>
      <c r="S534" s="6"/>
      <c r="T534" s="6" t="str">
        <f aca="true">IF(MAX(F534,I534,K534)=0,"",TODAY()-MAX(F534,I534,K534))</f>
        <v/>
      </c>
      <c r="U534" s="6"/>
      <c r="V534" s="6"/>
      <c r="W534" s="6" t="str">
        <f aca="false">IF(AND($A534="",$B534=""),"",IF(M534="Ambassador","1 - Ambassador",IF(M534="Member","2 - Member",IF(J534="Completed","3 - Presented",IF(H534&lt;&gt;"","4 - Sent",IF(F534&lt;&gt;"","5 - Contacted","6 - No Activity"))))))</f>
        <v/>
      </c>
      <c r="X534" s="6" t="n">
        <f aca="false">IF(AND($A534="",$B534=""),9999999+(ROW()-4),VALUE(LEFT($W534,1))*10000+(ROW()-4))</f>
        <v>10000529</v>
      </c>
    </row>
    <row r="535" customFormat="false" ht="15" hidden="false" customHeight="true" outlineLevel="0" collapsed="false">
      <c r="A535" s="6"/>
      <c r="B535" s="6"/>
      <c r="C535" s="6"/>
      <c r="D535" s="6"/>
      <c r="E535" s="6"/>
      <c r="F535" s="7"/>
      <c r="G535" s="6"/>
      <c r="H535" s="6"/>
      <c r="I535" s="7"/>
      <c r="J535" s="6"/>
      <c r="K535" s="7"/>
      <c r="L535" s="6"/>
      <c r="M535" s="6"/>
      <c r="N535" s="7"/>
      <c r="O535" s="6"/>
      <c r="P535" s="6"/>
      <c r="Q535" s="7"/>
      <c r="R535" s="6" t="str">
        <f aca="false">IF(AND($A535="",$B535=""),"",IF(Q535="Complete","Onboarded",IF(OR(M535="Member",M535="Ambassador"),"Sponsored",IF(K535&lt;&gt;"","Follow-Up",IF(I535&lt;&gt;"","Presented",IF(F535&lt;&gt;"","Contacted","New Lead"))))))</f>
        <v/>
      </c>
      <c r="S535" s="6"/>
      <c r="T535" s="6" t="str">
        <f aca="true">IF(MAX(F535,I535,K535)=0,"",TODAY()-MAX(F535,I535,K535))</f>
        <v/>
      </c>
      <c r="U535" s="6"/>
      <c r="V535" s="6"/>
      <c r="W535" s="6" t="str">
        <f aca="false">IF(AND($A535="",$B535=""),"",IF(M535="Ambassador","1 - Ambassador",IF(M535="Member","2 - Member",IF(J535="Completed","3 - Presented",IF(H535&lt;&gt;"","4 - Sent",IF(F535&lt;&gt;"","5 - Contacted","6 - No Activity"))))))</f>
        <v/>
      </c>
      <c r="X535" s="6" t="n">
        <f aca="false">IF(AND($A535="",$B535=""),9999999+(ROW()-4),VALUE(LEFT($W535,1))*10000+(ROW()-4))</f>
        <v>10000530</v>
      </c>
    </row>
    <row r="536" customFormat="false" ht="15" hidden="false" customHeight="true" outlineLevel="0" collapsed="false">
      <c r="A536" s="6"/>
      <c r="B536" s="6"/>
      <c r="C536" s="6"/>
      <c r="D536" s="6"/>
      <c r="E536" s="6"/>
      <c r="F536" s="7"/>
      <c r="G536" s="6"/>
      <c r="H536" s="6"/>
      <c r="I536" s="7"/>
      <c r="J536" s="6"/>
      <c r="K536" s="7"/>
      <c r="L536" s="6"/>
      <c r="M536" s="6"/>
      <c r="N536" s="7"/>
      <c r="O536" s="6"/>
      <c r="P536" s="6"/>
      <c r="Q536" s="7"/>
      <c r="R536" s="6" t="str">
        <f aca="false">IF(AND($A536="",$B536=""),"",IF(Q536="Complete","Onboarded",IF(OR(M536="Member",M536="Ambassador"),"Sponsored",IF(K536&lt;&gt;"","Follow-Up",IF(I536&lt;&gt;"","Presented",IF(F536&lt;&gt;"","Contacted","New Lead"))))))</f>
        <v/>
      </c>
      <c r="S536" s="6"/>
      <c r="T536" s="6" t="str">
        <f aca="true">IF(MAX(F536,I536,K536)=0,"",TODAY()-MAX(F536,I536,K536))</f>
        <v/>
      </c>
      <c r="U536" s="6"/>
      <c r="V536" s="6"/>
      <c r="W536" s="6" t="str">
        <f aca="false">IF(AND($A536="",$B536=""),"",IF(M536="Ambassador","1 - Ambassador",IF(M536="Member","2 - Member",IF(J536="Completed","3 - Presented",IF(H536&lt;&gt;"","4 - Sent",IF(F536&lt;&gt;"","5 - Contacted","6 - No Activity"))))))</f>
        <v/>
      </c>
      <c r="X536" s="6" t="n">
        <f aca="false">IF(AND($A536="",$B536=""),9999999+(ROW()-4),VALUE(LEFT($W536,1))*10000+(ROW()-4))</f>
        <v>10000531</v>
      </c>
    </row>
    <row r="537" customFormat="false" ht="15" hidden="false" customHeight="true" outlineLevel="0" collapsed="false">
      <c r="A537" s="6"/>
      <c r="B537" s="6"/>
      <c r="C537" s="6"/>
      <c r="D537" s="6"/>
      <c r="E537" s="6"/>
      <c r="F537" s="7"/>
      <c r="G537" s="6"/>
      <c r="H537" s="6"/>
      <c r="I537" s="7"/>
      <c r="J537" s="6"/>
      <c r="K537" s="7"/>
      <c r="L537" s="6"/>
      <c r="M537" s="6"/>
      <c r="N537" s="7"/>
      <c r="O537" s="6"/>
      <c r="P537" s="6"/>
      <c r="Q537" s="7"/>
      <c r="R537" s="6" t="str">
        <f aca="false">IF(AND($A537="",$B537=""),"",IF(Q537="Complete","Onboarded",IF(OR(M537="Member",M537="Ambassador"),"Sponsored",IF(K537&lt;&gt;"","Follow-Up",IF(I537&lt;&gt;"","Presented",IF(F537&lt;&gt;"","Contacted","New Lead"))))))</f>
        <v/>
      </c>
      <c r="S537" s="6"/>
      <c r="T537" s="6" t="str">
        <f aca="true">IF(MAX(F537,I537,K537)=0,"",TODAY()-MAX(F537,I537,K537))</f>
        <v/>
      </c>
      <c r="U537" s="6"/>
      <c r="V537" s="6"/>
      <c r="W537" s="6" t="str">
        <f aca="false">IF(AND($A537="",$B537=""),"",IF(M537="Ambassador","1 - Ambassador",IF(M537="Member","2 - Member",IF(J537="Completed","3 - Presented",IF(H537&lt;&gt;"","4 - Sent",IF(F537&lt;&gt;"","5 - Contacted","6 - No Activity"))))))</f>
        <v/>
      </c>
      <c r="X537" s="6" t="n">
        <f aca="false">IF(AND($A537="",$B537=""),9999999+(ROW()-4),VALUE(LEFT($W537,1))*10000+(ROW()-4))</f>
        <v>10000532</v>
      </c>
    </row>
    <row r="538" customFormat="false" ht="15" hidden="false" customHeight="true" outlineLevel="0" collapsed="false">
      <c r="A538" s="6"/>
      <c r="B538" s="6"/>
      <c r="C538" s="6"/>
      <c r="D538" s="6"/>
      <c r="E538" s="6"/>
      <c r="F538" s="7"/>
      <c r="G538" s="6"/>
      <c r="H538" s="6"/>
      <c r="I538" s="7"/>
      <c r="J538" s="6"/>
      <c r="K538" s="7"/>
      <c r="L538" s="6"/>
      <c r="M538" s="6"/>
      <c r="N538" s="7"/>
      <c r="O538" s="6"/>
      <c r="P538" s="6"/>
      <c r="Q538" s="7"/>
      <c r="R538" s="6" t="str">
        <f aca="false">IF(AND($A538="",$B538=""),"",IF(Q538="Complete","Onboarded",IF(OR(M538="Member",M538="Ambassador"),"Sponsored",IF(K538&lt;&gt;"","Follow-Up",IF(I538&lt;&gt;"","Presented",IF(F538&lt;&gt;"","Contacted","New Lead"))))))</f>
        <v/>
      </c>
      <c r="S538" s="6"/>
      <c r="T538" s="6" t="str">
        <f aca="true">IF(MAX(F538,I538,K538)=0,"",TODAY()-MAX(F538,I538,K538))</f>
        <v/>
      </c>
      <c r="U538" s="6"/>
      <c r="V538" s="6"/>
      <c r="W538" s="6" t="str">
        <f aca="false">IF(AND($A538="",$B538=""),"",IF(M538="Ambassador","1 - Ambassador",IF(M538="Member","2 - Member",IF(J538="Completed","3 - Presented",IF(H538&lt;&gt;"","4 - Sent",IF(F538&lt;&gt;"","5 - Contacted","6 - No Activity"))))))</f>
        <v/>
      </c>
      <c r="X538" s="6" t="n">
        <f aca="false">IF(AND($A538="",$B538=""),9999999+(ROW()-4),VALUE(LEFT($W538,1))*10000+(ROW()-4))</f>
        <v>10000533</v>
      </c>
    </row>
    <row r="539" customFormat="false" ht="15" hidden="false" customHeight="true" outlineLevel="0" collapsed="false">
      <c r="A539" s="6"/>
      <c r="B539" s="6"/>
      <c r="C539" s="6"/>
      <c r="D539" s="6"/>
      <c r="E539" s="6"/>
      <c r="F539" s="7"/>
      <c r="G539" s="6"/>
      <c r="H539" s="6"/>
      <c r="I539" s="7"/>
      <c r="J539" s="6"/>
      <c r="K539" s="7"/>
      <c r="L539" s="6"/>
      <c r="M539" s="6"/>
      <c r="N539" s="7"/>
      <c r="O539" s="6"/>
      <c r="P539" s="6"/>
      <c r="Q539" s="7"/>
      <c r="R539" s="6" t="str">
        <f aca="false">IF(AND($A539="",$B539=""),"",IF(Q539="Complete","Onboarded",IF(OR(M539="Member",M539="Ambassador"),"Sponsored",IF(K539&lt;&gt;"","Follow-Up",IF(I539&lt;&gt;"","Presented",IF(F539&lt;&gt;"","Contacted","New Lead"))))))</f>
        <v/>
      </c>
      <c r="S539" s="6"/>
      <c r="T539" s="6" t="str">
        <f aca="true">IF(MAX(F539,I539,K539)=0,"",TODAY()-MAX(F539,I539,K539))</f>
        <v/>
      </c>
      <c r="U539" s="6"/>
      <c r="V539" s="6"/>
      <c r="W539" s="6" t="str">
        <f aca="false">IF(AND($A539="",$B539=""),"",IF(M539="Ambassador","1 - Ambassador",IF(M539="Member","2 - Member",IF(J539="Completed","3 - Presented",IF(H539&lt;&gt;"","4 - Sent",IF(F539&lt;&gt;"","5 - Contacted","6 - No Activity"))))))</f>
        <v/>
      </c>
      <c r="X539" s="6" t="n">
        <f aca="false">IF(AND($A539="",$B539=""),9999999+(ROW()-4),VALUE(LEFT($W539,1))*10000+(ROW()-4))</f>
        <v>10000534</v>
      </c>
    </row>
    <row r="540" customFormat="false" ht="15" hidden="false" customHeight="true" outlineLevel="0" collapsed="false">
      <c r="A540" s="6"/>
      <c r="B540" s="6"/>
      <c r="C540" s="6"/>
      <c r="D540" s="6"/>
      <c r="E540" s="6"/>
      <c r="F540" s="7"/>
      <c r="G540" s="6"/>
      <c r="H540" s="6"/>
      <c r="I540" s="7"/>
      <c r="J540" s="6"/>
      <c r="K540" s="7"/>
      <c r="L540" s="6"/>
      <c r="M540" s="6"/>
      <c r="N540" s="7"/>
      <c r="O540" s="6"/>
      <c r="P540" s="6"/>
      <c r="Q540" s="7"/>
      <c r="R540" s="6" t="str">
        <f aca="false">IF(AND($A540="",$B540=""),"",IF(Q540="Complete","Onboarded",IF(OR(M540="Member",M540="Ambassador"),"Sponsored",IF(K540&lt;&gt;"","Follow-Up",IF(I540&lt;&gt;"","Presented",IF(F540&lt;&gt;"","Contacted","New Lead"))))))</f>
        <v/>
      </c>
      <c r="S540" s="6"/>
      <c r="T540" s="6" t="str">
        <f aca="true">IF(MAX(F540,I540,K540)=0,"",TODAY()-MAX(F540,I540,K540))</f>
        <v/>
      </c>
      <c r="U540" s="6"/>
      <c r="V540" s="6"/>
      <c r="W540" s="6" t="str">
        <f aca="false">IF(AND($A540="",$B540=""),"",IF(M540="Ambassador","1 - Ambassador",IF(M540="Member","2 - Member",IF(J540="Completed","3 - Presented",IF(H540&lt;&gt;"","4 - Sent",IF(F540&lt;&gt;"","5 - Contacted","6 - No Activity"))))))</f>
        <v/>
      </c>
      <c r="X540" s="6" t="n">
        <f aca="false">IF(AND($A540="",$B540=""),9999999+(ROW()-4),VALUE(LEFT($W540,1))*10000+(ROW()-4))</f>
        <v>10000535</v>
      </c>
    </row>
    <row r="541" customFormat="false" ht="15" hidden="false" customHeight="true" outlineLevel="0" collapsed="false">
      <c r="A541" s="6"/>
      <c r="B541" s="6"/>
      <c r="C541" s="6"/>
      <c r="D541" s="6"/>
      <c r="E541" s="6"/>
      <c r="F541" s="7"/>
      <c r="G541" s="6"/>
      <c r="H541" s="6"/>
      <c r="I541" s="7"/>
      <c r="J541" s="6"/>
      <c r="K541" s="7"/>
      <c r="L541" s="6"/>
      <c r="M541" s="6"/>
      <c r="N541" s="7"/>
      <c r="O541" s="6"/>
      <c r="P541" s="6"/>
      <c r="Q541" s="7"/>
      <c r="R541" s="6" t="str">
        <f aca="false">IF(AND($A541="",$B541=""),"",IF(Q541="Complete","Onboarded",IF(OR(M541="Member",M541="Ambassador"),"Sponsored",IF(K541&lt;&gt;"","Follow-Up",IF(I541&lt;&gt;"","Presented",IF(F541&lt;&gt;"","Contacted","New Lead"))))))</f>
        <v/>
      </c>
      <c r="S541" s="6"/>
      <c r="T541" s="6" t="str">
        <f aca="true">IF(MAX(F541,I541,K541)=0,"",TODAY()-MAX(F541,I541,K541))</f>
        <v/>
      </c>
      <c r="U541" s="6"/>
      <c r="V541" s="6"/>
      <c r="W541" s="6" t="str">
        <f aca="false">IF(AND($A541="",$B541=""),"",IF(M541="Ambassador","1 - Ambassador",IF(M541="Member","2 - Member",IF(J541="Completed","3 - Presented",IF(H541&lt;&gt;"","4 - Sent",IF(F541&lt;&gt;"","5 - Contacted","6 - No Activity"))))))</f>
        <v/>
      </c>
      <c r="X541" s="6" t="n">
        <f aca="false">IF(AND($A541="",$B541=""),9999999+(ROW()-4),VALUE(LEFT($W541,1))*10000+(ROW()-4))</f>
        <v>10000536</v>
      </c>
    </row>
    <row r="542" customFormat="false" ht="15" hidden="false" customHeight="true" outlineLevel="0" collapsed="false">
      <c r="A542" s="6"/>
      <c r="B542" s="6"/>
      <c r="C542" s="6"/>
      <c r="D542" s="6"/>
      <c r="E542" s="6"/>
      <c r="F542" s="7"/>
      <c r="G542" s="6"/>
      <c r="H542" s="6"/>
      <c r="I542" s="7"/>
      <c r="J542" s="6"/>
      <c r="K542" s="7"/>
      <c r="L542" s="6"/>
      <c r="M542" s="6"/>
      <c r="N542" s="7"/>
      <c r="O542" s="6"/>
      <c r="P542" s="6"/>
      <c r="Q542" s="7"/>
      <c r="R542" s="6" t="str">
        <f aca="false">IF(AND($A542="",$B542=""),"",IF(Q542="Complete","Onboarded",IF(OR(M542="Member",M542="Ambassador"),"Sponsored",IF(K542&lt;&gt;"","Follow-Up",IF(I542&lt;&gt;"","Presented",IF(F542&lt;&gt;"","Contacted","New Lead"))))))</f>
        <v/>
      </c>
      <c r="S542" s="6"/>
      <c r="T542" s="6" t="str">
        <f aca="true">IF(MAX(F542,I542,K542)=0,"",TODAY()-MAX(F542,I542,K542))</f>
        <v/>
      </c>
      <c r="U542" s="6"/>
      <c r="V542" s="6"/>
      <c r="W542" s="6" t="str">
        <f aca="false">IF(AND($A542="",$B542=""),"",IF(M542="Ambassador","1 - Ambassador",IF(M542="Member","2 - Member",IF(J542="Completed","3 - Presented",IF(H542&lt;&gt;"","4 - Sent",IF(F542&lt;&gt;"","5 - Contacted","6 - No Activity"))))))</f>
        <v/>
      </c>
      <c r="X542" s="6" t="n">
        <f aca="false">IF(AND($A542="",$B542=""),9999999+(ROW()-4),VALUE(LEFT($W542,1))*10000+(ROW()-4))</f>
        <v>10000537</v>
      </c>
    </row>
    <row r="543" customFormat="false" ht="15" hidden="false" customHeight="true" outlineLevel="0" collapsed="false">
      <c r="A543" s="6"/>
      <c r="B543" s="6"/>
      <c r="C543" s="6"/>
      <c r="D543" s="6"/>
      <c r="E543" s="6"/>
      <c r="F543" s="7"/>
      <c r="G543" s="6"/>
      <c r="H543" s="6"/>
      <c r="I543" s="7"/>
      <c r="J543" s="6"/>
      <c r="K543" s="7"/>
      <c r="L543" s="6"/>
      <c r="M543" s="6"/>
      <c r="N543" s="7"/>
      <c r="O543" s="6"/>
      <c r="P543" s="6"/>
      <c r="Q543" s="7"/>
      <c r="R543" s="6" t="str">
        <f aca="false">IF(AND($A543="",$B543=""),"",IF(Q543="Complete","Onboarded",IF(OR(M543="Member",M543="Ambassador"),"Sponsored",IF(K543&lt;&gt;"","Follow-Up",IF(I543&lt;&gt;"","Presented",IF(F543&lt;&gt;"","Contacted","New Lead"))))))</f>
        <v/>
      </c>
      <c r="S543" s="6"/>
      <c r="T543" s="6" t="str">
        <f aca="true">IF(MAX(F543,I543,K543)=0,"",TODAY()-MAX(F543,I543,K543))</f>
        <v/>
      </c>
      <c r="U543" s="6"/>
      <c r="V543" s="6"/>
      <c r="W543" s="6" t="str">
        <f aca="false">IF(AND($A543="",$B543=""),"",IF(M543="Ambassador","1 - Ambassador",IF(M543="Member","2 - Member",IF(J543="Completed","3 - Presented",IF(H543&lt;&gt;"","4 - Sent",IF(F543&lt;&gt;"","5 - Contacted","6 - No Activity"))))))</f>
        <v/>
      </c>
      <c r="X543" s="6" t="n">
        <f aca="false">IF(AND($A543="",$B543=""),9999999+(ROW()-4),VALUE(LEFT($W543,1))*10000+(ROW()-4))</f>
        <v>10000538</v>
      </c>
    </row>
    <row r="544" customFormat="false" ht="15" hidden="false" customHeight="true" outlineLevel="0" collapsed="false">
      <c r="A544" s="6"/>
      <c r="B544" s="6"/>
      <c r="C544" s="6"/>
      <c r="D544" s="6"/>
      <c r="E544" s="6"/>
      <c r="F544" s="7"/>
      <c r="G544" s="6"/>
      <c r="H544" s="6"/>
      <c r="I544" s="7"/>
      <c r="J544" s="6"/>
      <c r="K544" s="7"/>
      <c r="L544" s="6"/>
      <c r="M544" s="6"/>
      <c r="N544" s="7"/>
      <c r="O544" s="6"/>
      <c r="P544" s="6"/>
      <c r="Q544" s="7"/>
      <c r="R544" s="6" t="str">
        <f aca="false">IF(AND($A544="",$B544=""),"",IF(Q544="Complete","Onboarded",IF(OR(M544="Member",M544="Ambassador"),"Sponsored",IF(K544&lt;&gt;"","Follow-Up",IF(I544&lt;&gt;"","Presented",IF(F544&lt;&gt;"","Contacted","New Lead"))))))</f>
        <v/>
      </c>
      <c r="S544" s="6"/>
      <c r="T544" s="6" t="str">
        <f aca="true">IF(MAX(F544,I544,K544)=0,"",TODAY()-MAX(F544,I544,K544))</f>
        <v/>
      </c>
      <c r="U544" s="6"/>
      <c r="V544" s="6"/>
      <c r="W544" s="6" t="str">
        <f aca="false">IF(AND($A544="",$B544=""),"",IF(M544="Ambassador","1 - Ambassador",IF(M544="Member","2 - Member",IF(J544="Completed","3 - Presented",IF(H544&lt;&gt;"","4 - Sent",IF(F544&lt;&gt;"","5 - Contacted","6 - No Activity"))))))</f>
        <v/>
      </c>
      <c r="X544" s="6" t="n">
        <f aca="false">IF(AND($A544="",$B544=""),9999999+(ROW()-4),VALUE(LEFT($W544,1))*10000+(ROW()-4))</f>
        <v>10000539</v>
      </c>
    </row>
    <row r="545" customFormat="false" ht="15" hidden="false" customHeight="true" outlineLevel="0" collapsed="false">
      <c r="A545" s="6"/>
      <c r="B545" s="6"/>
      <c r="C545" s="6"/>
      <c r="D545" s="6"/>
      <c r="E545" s="6"/>
      <c r="F545" s="7"/>
      <c r="G545" s="6"/>
      <c r="H545" s="6"/>
      <c r="I545" s="7"/>
      <c r="J545" s="6"/>
      <c r="K545" s="7"/>
      <c r="L545" s="6"/>
      <c r="M545" s="6"/>
      <c r="N545" s="7"/>
      <c r="O545" s="6"/>
      <c r="P545" s="6"/>
      <c r="Q545" s="7"/>
      <c r="R545" s="6" t="str">
        <f aca="false">IF(AND($A545="",$B545=""),"",IF(Q545="Complete","Onboarded",IF(OR(M545="Member",M545="Ambassador"),"Sponsored",IF(K545&lt;&gt;"","Follow-Up",IF(I545&lt;&gt;"","Presented",IF(F545&lt;&gt;"","Contacted","New Lead"))))))</f>
        <v/>
      </c>
      <c r="S545" s="6"/>
      <c r="T545" s="6" t="str">
        <f aca="true">IF(MAX(F545,I545,K545)=0,"",TODAY()-MAX(F545,I545,K545))</f>
        <v/>
      </c>
      <c r="U545" s="6"/>
      <c r="V545" s="6"/>
      <c r="W545" s="6" t="str">
        <f aca="false">IF(AND($A545="",$B545=""),"",IF(M545="Ambassador","1 - Ambassador",IF(M545="Member","2 - Member",IF(J545="Completed","3 - Presented",IF(H545&lt;&gt;"","4 - Sent",IF(F545&lt;&gt;"","5 - Contacted","6 - No Activity"))))))</f>
        <v/>
      </c>
      <c r="X545" s="6" t="n">
        <f aca="false">IF(AND($A545="",$B545=""),9999999+(ROW()-4),VALUE(LEFT($W545,1))*10000+(ROW()-4))</f>
        <v>10000540</v>
      </c>
    </row>
    <row r="546" customFormat="false" ht="15" hidden="false" customHeight="true" outlineLevel="0" collapsed="false">
      <c r="A546" s="6"/>
      <c r="B546" s="6"/>
      <c r="C546" s="6"/>
      <c r="D546" s="6"/>
      <c r="E546" s="6"/>
      <c r="F546" s="7"/>
      <c r="G546" s="6"/>
      <c r="H546" s="6"/>
      <c r="I546" s="7"/>
      <c r="J546" s="6"/>
      <c r="K546" s="7"/>
      <c r="L546" s="6"/>
      <c r="M546" s="6"/>
      <c r="N546" s="7"/>
      <c r="O546" s="6"/>
      <c r="P546" s="6"/>
      <c r="Q546" s="7"/>
      <c r="R546" s="6" t="str">
        <f aca="false">IF(AND($A546="",$B546=""),"",IF(Q546="Complete","Onboarded",IF(OR(M546="Member",M546="Ambassador"),"Sponsored",IF(K546&lt;&gt;"","Follow-Up",IF(I546&lt;&gt;"","Presented",IF(F546&lt;&gt;"","Contacted","New Lead"))))))</f>
        <v/>
      </c>
      <c r="S546" s="6"/>
      <c r="T546" s="6" t="str">
        <f aca="true">IF(MAX(F546,I546,K546)=0,"",TODAY()-MAX(F546,I546,K546))</f>
        <v/>
      </c>
      <c r="U546" s="6"/>
      <c r="V546" s="6"/>
      <c r="W546" s="6" t="str">
        <f aca="false">IF(AND($A546="",$B546=""),"",IF(M546="Ambassador","1 - Ambassador",IF(M546="Member","2 - Member",IF(J546="Completed","3 - Presented",IF(H546&lt;&gt;"","4 - Sent",IF(F546&lt;&gt;"","5 - Contacted","6 - No Activity"))))))</f>
        <v/>
      </c>
      <c r="X546" s="6" t="n">
        <f aca="false">IF(AND($A546="",$B546=""),9999999+(ROW()-4),VALUE(LEFT($W546,1))*10000+(ROW()-4))</f>
        <v>10000541</v>
      </c>
    </row>
    <row r="547" customFormat="false" ht="15" hidden="false" customHeight="true" outlineLevel="0" collapsed="false">
      <c r="A547" s="6"/>
      <c r="B547" s="6"/>
      <c r="C547" s="6"/>
      <c r="D547" s="6"/>
      <c r="E547" s="6"/>
      <c r="F547" s="7"/>
      <c r="G547" s="6"/>
      <c r="H547" s="6"/>
      <c r="I547" s="7"/>
      <c r="J547" s="6"/>
      <c r="K547" s="7"/>
      <c r="L547" s="6"/>
      <c r="M547" s="6"/>
      <c r="N547" s="7"/>
      <c r="O547" s="6"/>
      <c r="P547" s="6"/>
      <c r="Q547" s="7"/>
      <c r="R547" s="6" t="str">
        <f aca="false">IF(AND($A547="",$B547=""),"",IF(Q547="Complete","Onboarded",IF(OR(M547="Member",M547="Ambassador"),"Sponsored",IF(K547&lt;&gt;"","Follow-Up",IF(I547&lt;&gt;"","Presented",IF(F547&lt;&gt;"","Contacted","New Lead"))))))</f>
        <v/>
      </c>
      <c r="S547" s="6"/>
      <c r="T547" s="6" t="str">
        <f aca="true">IF(MAX(F547,I547,K547)=0,"",TODAY()-MAX(F547,I547,K547))</f>
        <v/>
      </c>
      <c r="U547" s="6"/>
      <c r="V547" s="6"/>
      <c r="W547" s="6" t="str">
        <f aca="false">IF(AND($A547="",$B547=""),"",IF(M547="Ambassador","1 - Ambassador",IF(M547="Member","2 - Member",IF(J547="Completed","3 - Presented",IF(H547&lt;&gt;"","4 - Sent",IF(F547&lt;&gt;"","5 - Contacted","6 - No Activity"))))))</f>
        <v/>
      </c>
      <c r="X547" s="6" t="n">
        <f aca="false">IF(AND($A547="",$B547=""),9999999+(ROW()-4),VALUE(LEFT($W547,1))*10000+(ROW()-4))</f>
        <v>10000542</v>
      </c>
    </row>
    <row r="548" customFormat="false" ht="15" hidden="false" customHeight="true" outlineLevel="0" collapsed="false">
      <c r="A548" s="6"/>
      <c r="B548" s="6"/>
      <c r="C548" s="6"/>
      <c r="D548" s="6"/>
      <c r="E548" s="6"/>
      <c r="F548" s="7"/>
      <c r="G548" s="6"/>
      <c r="H548" s="6"/>
      <c r="I548" s="7"/>
      <c r="J548" s="6"/>
      <c r="K548" s="7"/>
      <c r="L548" s="6"/>
      <c r="M548" s="6"/>
      <c r="N548" s="7"/>
      <c r="O548" s="6"/>
      <c r="P548" s="6"/>
      <c r="Q548" s="7"/>
      <c r="R548" s="6" t="str">
        <f aca="false">IF(AND($A548="",$B548=""),"",IF(Q548="Complete","Onboarded",IF(OR(M548="Member",M548="Ambassador"),"Sponsored",IF(K548&lt;&gt;"","Follow-Up",IF(I548&lt;&gt;"","Presented",IF(F548&lt;&gt;"","Contacted","New Lead"))))))</f>
        <v/>
      </c>
      <c r="S548" s="6"/>
      <c r="T548" s="6" t="str">
        <f aca="true">IF(MAX(F548,I548,K548)=0,"",TODAY()-MAX(F548,I548,K548))</f>
        <v/>
      </c>
      <c r="U548" s="6"/>
      <c r="V548" s="6"/>
      <c r="W548" s="6" t="str">
        <f aca="false">IF(AND($A548="",$B548=""),"",IF(M548="Ambassador","1 - Ambassador",IF(M548="Member","2 - Member",IF(J548="Completed","3 - Presented",IF(H548&lt;&gt;"","4 - Sent",IF(F548&lt;&gt;"","5 - Contacted","6 - No Activity"))))))</f>
        <v/>
      </c>
      <c r="X548" s="6" t="n">
        <f aca="false">IF(AND($A548="",$B548=""),9999999+(ROW()-4),VALUE(LEFT($W548,1))*10000+(ROW()-4))</f>
        <v>10000543</v>
      </c>
    </row>
    <row r="549" customFormat="false" ht="15" hidden="false" customHeight="true" outlineLevel="0" collapsed="false">
      <c r="A549" s="6"/>
      <c r="B549" s="6"/>
      <c r="C549" s="6"/>
      <c r="D549" s="6"/>
      <c r="E549" s="6"/>
      <c r="F549" s="7"/>
      <c r="G549" s="6"/>
      <c r="H549" s="6"/>
      <c r="I549" s="7"/>
      <c r="J549" s="6"/>
      <c r="K549" s="7"/>
      <c r="L549" s="6"/>
      <c r="M549" s="6"/>
      <c r="N549" s="7"/>
      <c r="O549" s="6"/>
      <c r="P549" s="6"/>
      <c r="Q549" s="7"/>
      <c r="R549" s="6" t="str">
        <f aca="false">IF(AND($A549="",$B549=""),"",IF(Q549="Complete","Onboarded",IF(OR(M549="Member",M549="Ambassador"),"Sponsored",IF(K549&lt;&gt;"","Follow-Up",IF(I549&lt;&gt;"","Presented",IF(F549&lt;&gt;"","Contacted","New Lead"))))))</f>
        <v/>
      </c>
      <c r="S549" s="6"/>
      <c r="T549" s="6" t="str">
        <f aca="true">IF(MAX(F549,I549,K549)=0,"",TODAY()-MAX(F549,I549,K549))</f>
        <v/>
      </c>
      <c r="U549" s="6"/>
      <c r="V549" s="6"/>
      <c r="W549" s="6" t="str">
        <f aca="false">IF(AND($A549="",$B549=""),"",IF(M549="Ambassador","1 - Ambassador",IF(M549="Member","2 - Member",IF(J549="Completed","3 - Presented",IF(H549&lt;&gt;"","4 - Sent",IF(F549&lt;&gt;"","5 - Contacted","6 - No Activity"))))))</f>
        <v/>
      </c>
      <c r="X549" s="6" t="n">
        <f aca="false">IF(AND($A549="",$B549=""),9999999+(ROW()-4),VALUE(LEFT($W549,1))*10000+(ROW()-4))</f>
        <v>10000544</v>
      </c>
    </row>
    <row r="550" customFormat="false" ht="15" hidden="false" customHeight="true" outlineLevel="0" collapsed="false">
      <c r="A550" s="6"/>
      <c r="B550" s="6"/>
      <c r="C550" s="6"/>
      <c r="D550" s="6"/>
      <c r="E550" s="6"/>
      <c r="F550" s="7"/>
      <c r="G550" s="6"/>
      <c r="H550" s="6"/>
      <c r="I550" s="7"/>
      <c r="J550" s="6"/>
      <c r="K550" s="7"/>
      <c r="L550" s="6"/>
      <c r="M550" s="6"/>
      <c r="N550" s="7"/>
      <c r="O550" s="6"/>
      <c r="P550" s="6"/>
      <c r="Q550" s="7"/>
      <c r="R550" s="6" t="str">
        <f aca="false">IF(AND($A550="",$B550=""),"",IF(Q550="Complete","Onboarded",IF(OR(M550="Member",M550="Ambassador"),"Sponsored",IF(K550&lt;&gt;"","Follow-Up",IF(I550&lt;&gt;"","Presented",IF(F550&lt;&gt;"","Contacted","New Lead"))))))</f>
        <v/>
      </c>
      <c r="S550" s="6"/>
      <c r="T550" s="6" t="str">
        <f aca="true">IF(MAX(F550,I550,K550)=0,"",TODAY()-MAX(F550,I550,K550))</f>
        <v/>
      </c>
      <c r="U550" s="6"/>
      <c r="V550" s="6"/>
      <c r="W550" s="6" t="str">
        <f aca="false">IF(AND($A550="",$B550=""),"",IF(M550="Ambassador","1 - Ambassador",IF(M550="Member","2 - Member",IF(J550="Completed","3 - Presented",IF(H550&lt;&gt;"","4 - Sent",IF(F550&lt;&gt;"","5 - Contacted","6 - No Activity"))))))</f>
        <v/>
      </c>
      <c r="X550" s="6" t="n">
        <f aca="false">IF(AND($A550="",$B550=""),9999999+(ROW()-4),VALUE(LEFT($W550,1))*10000+(ROW()-4))</f>
        <v>10000545</v>
      </c>
    </row>
    <row r="551" customFormat="false" ht="15" hidden="false" customHeight="true" outlineLevel="0" collapsed="false">
      <c r="A551" s="6"/>
      <c r="B551" s="6"/>
      <c r="C551" s="6"/>
      <c r="D551" s="6"/>
      <c r="E551" s="6"/>
      <c r="F551" s="7"/>
      <c r="G551" s="6"/>
      <c r="H551" s="6"/>
      <c r="I551" s="7"/>
      <c r="J551" s="6"/>
      <c r="K551" s="7"/>
      <c r="L551" s="6"/>
      <c r="M551" s="6"/>
      <c r="N551" s="7"/>
      <c r="O551" s="6"/>
      <c r="P551" s="6"/>
      <c r="Q551" s="7"/>
      <c r="R551" s="6" t="str">
        <f aca="false">IF(AND($A551="",$B551=""),"",IF(Q551="Complete","Onboarded",IF(OR(M551="Member",M551="Ambassador"),"Sponsored",IF(K551&lt;&gt;"","Follow-Up",IF(I551&lt;&gt;"","Presented",IF(F551&lt;&gt;"","Contacted","New Lead"))))))</f>
        <v/>
      </c>
      <c r="S551" s="6"/>
      <c r="T551" s="6" t="str">
        <f aca="true">IF(MAX(F551,I551,K551)=0,"",TODAY()-MAX(F551,I551,K551))</f>
        <v/>
      </c>
      <c r="U551" s="6"/>
      <c r="V551" s="6"/>
      <c r="W551" s="6" t="str">
        <f aca="false">IF(AND($A551="",$B551=""),"",IF(M551="Ambassador","1 - Ambassador",IF(M551="Member","2 - Member",IF(J551="Completed","3 - Presented",IF(H551&lt;&gt;"","4 - Sent",IF(F551&lt;&gt;"","5 - Contacted","6 - No Activity"))))))</f>
        <v/>
      </c>
      <c r="X551" s="6" t="n">
        <f aca="false">IF(AND($A551="",$B551=""),9999999+(ROW()-4),VALUE(LEFT($W551,1))*10000+(ROW()-4))</f>
        <v>10000546</v>
      </c>
    </row>
    <row r="552" customFormat="false" ht="15" hidden="false" customHeight="true" outlineLevel="0" collapsed="false">
      <c r="A552" s="6"/>
      <c r="B552" s="6"/>
      <c r="C552" s="6"/>
      <c r="D552" s="6"/>
      <c r="E552" s="6"/>
      <c r="F552" s="7"/>
      <c r="G552" s="6"/>
      <c r="H552" s="6"/>
      <c r="I552" s="7"/>
      <c r="J552" s="6"/>
      <c r="K552" s="7"/>
      <c r="L552" s="6"/>
      <c r="M552" s="6"/>
      <c r="N552" s="7"/>
      <c r="O552" s="6"/>
      <c r="P552" s="6"/>
      <c r="Q552" s="7"/>
      <c r="R552" s="6" t="str">
        <f aca="false">IF(AND($A552="",$B552=""),"",IF(Q552="Complete","Onboarded",IF(OR(M552="Member",M552="Ambassador"),"Sponsored",IF(K552&lt;&gt;"","Follow-Up",IF(I552&lt;&gt;"","Presented",IF(F552&lt;&gt;"","Contacted","New Lead"))))))</f>
        <v/>
      </c>
      <c r="S552" s="6"/>
      <c r="T552" s="6" t="str">
        <f aca="true">IF(MAX(F552,I552,K552)=0,"",TODAY()-MAX(F552,I552,K552))</f>
        <v/>
      </c>
      <c r="U552" s="6"/>
      <c r="V552" s="6"/>
      <c r="W552" s="6" t="str">
        <f aca="false">IF(AND($A552="",$B552=""),"",IF(M552="Ambassador","1 - Ambassador",IF(M552="Member","2 - Member",IF(J552="Completed","3 - Presented",IF(H552&lt;&gt;"","4 - Sent",IF(F552&lt;&gt;"","5 - Contacted","6 - No Activity"))))))</f>
        <v/>
      </c>
      <c r="X552" s="6" t="n">
        <f aca="false">IF(AND($A552="",$B552=""),9999999+(ROW()-4),VALUE(LEFT($W552,1))*10000+(ROW()-4))</f>
        <v>10000547</v>
      </c>
    </row>
    <row r="553" customFormat="false" ht="15" hidden="false" customHeight="true" outlineLevel="0" collapsed="false">
      <c r="A553" s="6"/>
      <c r="B553" s="6"/>
      <c r="C553" s="6"/>
      <c r="D553" s="6"/>
      <c r="E553" s="6"/>
      <c r="F553" s="7"/>
      <c r="G553" s="6"/>
      <c r="H553" s="6"/>
      <c r="I553" s="7"/>
      <c r="J553" s="6"/>
      <c r="K553" s="7"/>
      <c r="L553" s="6"/>
      <c r="M553" s="6"/>
      <c r="N553" s="7"/>
      <c r="O553" s="6"/>
      <c r="P553" s="6"/>
      <c r="Q553" s="7"/>
      <c r="R553" s="6" t="str">
        <f aca="false">IF(AND($A553="",$B553=""),"",IF(Q553="Complete","Onboarded",IF(OR(M553="Member",M553="Ambassador"),"Sponsored",IF(K553&lt;&gt;"","Follow-Up",IF(I553&lt;&gt;"","Presented",IF(F553&lt;&gt;"","Contacted","New Lead"))))))</f>
        <v/>
      </c>
      <c r="S553" s="6"/>
      <c r="T553" s="6" t="str">
        <f aca="true">IF(MAX(F553,I553,K553)=0,"",TODAY()-MAX(F553,I553,K553))</f>
        <v/>
      </c>
      <c r="U553" s="6"/>
      <c r="V553" s="6"/>
      <c r="W553" s="6" t="str">
        <f aca="false">IF(AND($A553="",$B553=""),"",IF(M553="Ambassador","1 - Ambassador",IF(M553="Member","2 - Member",IF(J553="Completed","3 - Presented",IF(H553&lt;&gt;"","4 - Sent",IF(F553&lt;&gt;"","5 - Contacted","6 - No Activity"))))))</f>
        <v/>
      </c>
      <c r="X553" s="6" t="n">
        <f aca="false">IF(AND($A553="",$B553=""),9999999+(ROW()-4),VALUE(LEFT($W553,1))*10000+(ROW()-4))</f>
        <v>10000548</v>
      </c>
    </row>
    <row r="554" customFormat="false" ht="15" hidden="false" customHeight="true" outlineLevel="0" collapsed="false">
      <c r="A554" s="6"/>
      <c r="B554" s="6"/>
      <c r="C554" s="6"/>
      <c r="D554" s="6"/>
      <c r="E554" s="6"/>
      <c r="F554" s="7"/>
      <c r="G554" s="6"/>
      <c r="H554" s="6"/>
      <c r="I554" s="7"/>
      <c r="J554" s="6"/>
      <c r="K554" s="7"/>
      <c r="L554" s="6"/>
      <c r="M554" s="6"/>
      <c r="N554" s="7"/>
      <c r="O554" s="6"/>
      <c r="P554" s="6"/>
      <c r="Q554" s="7"/>
      <c r="R554" s="6" t="str">
        <f aca="false">IF(AND($A554="",$B554=""),"",IF(Q554="Complete","Onboarded",IF(OR(M554="Member",M554="Ambassador"),"Sponsored",IF(K554&lt;&gt;"","Follow-Up",IF(I554&lt;&gt;"","Presented",IF(F554&lt;&gt;"","Contacted","New Lead"))))))</f>
        <v/>
      </c>
      <c r="S554" s="6"/>
      <c r="T554" s="6" t="str">
        <f aca="true">IF(MAX(F554,I554,K554)=0,"",TODAY()-MAX(F554,I554,K554))</f>
        <v/>
      </c>
      <c r="U554" s="6"/>
      <c r="V554" s="6"/>
      <c r="W554" s="6" t="str">
        <f aca="false">IF(AND($A554="",$B554=""),"",IF(M554="Ambassador","1 - Ambassador",IF(M554="Member","2 - Member",IF(J554="Completed","3 - Presented",IF(H554&lt;&gt;"","4 - Sent",IF(F554&lt;&gt;"","5 - Contacted","6 - No Activity"))))))</f>
        <v/>
      </c>
      <c r="X554" s="6" t="n">
        <f aca="false">IF(AND($A554="",$B554=""),9999999+(ROW()-4),VALUE(LEFT($W554,1))*10000+(ROW()-4))</f>
        <v>10000549</v>
      </c>
    </row>
  </sheetData>
  <mergeCells count="3">
    <mergeCell ref="A1:X1"/>
    <mergeCell ref="A2:X2"/>
    <mergeCell ref="A3:X3"/>
  </mergeCells>
  <conditionalFormatting sqref="M5:M554">
    <cfRule type="expression" priority="2" aboveAverage="0" equalAverage="0" bottom="0" percent="0" rank="0" text="" dxfId="0">
      <formula>OR($M5="Member",$M5="Ambassador")</formula>
    </cfRule>
  </conditionalFormatting>
  <conditionalFormatting sqref="R5:R554">
    <cfRule type="expression" priority="3" aboveAverage="0" equalAverage="0" bottom="0" percent="0" rank="0" text="" dxfId="0">
      <formula>$R5="Onboarded"</formula>
    </cfRule>
  </conditionalFormatting>
  <conditionalFormatting sqref="T5:T554">
    <cfRule type="cellIs" priority="4" operator="greaterThan" aboveAverage="0" equalAverage="0" bottom="0" percent="0" rank="0" text="" dxfId="1">
      <formula>7</formula>
    </cfRule>
  </conditionalFormatting>
  <conditionalFormatting sqref="W5:W554">
    <cfRule type="expression" priority="5" aboveAverage="0" equalAverage="0" bottom="0" percent="0" rank="0" text="" dxfId="2">
      <formula>$W5="1 - Ambassador"</formula>
    </cfRule>
    <cfRule type="expression" priority="6" aboveAverage="0" equalAverage="0" bottom="0" percent="0" rank="0" text="" dxfId="3">
      <formula>$W5="2 - Member"</formula>
    </cfRule>
    <cfRule type="expression" priority="7" aboveAverage="0" equalAverage="0" bottom="0" percent="0" rank="0" text="" dxfId="4">
      <formula>$W5="3 - Presented"</formula>
    </cfRule>
    <cfRule type="expression" priority="8" aboveAverage="0" equalAverage="0" bottom="0" percent="0" rank="0" text="" dxfId="5">
      <formula>$W5="4 - Sent"</formula>
    </cfRule>
    <cfRule type="expression" priority="9" aboveAverage="0" equalAverage="0" bottom="0" percent="0" rank="0" text="" dxfId="6">
      <formula>$W5="5 - Contacted"</formula>
    </cfRule>
  </conditionalFormatting>
  <dataValidations count="6">
    <dataValidation allowBlank="true" errorStyle="stop" operator="between" showDropDown="false" showErrorMessage="false" showInputMessage="false" sqref="G5:G554" type="list">
      <formula1>"Phone Call,Text,Email,Facebook,In Person,Zoom,Messenger,Bump Into"</formula1>
      <formula2>0</formula2>
    </dataValidation>
    <dataValidation allowBlank="true" errorStyle="stop" operator="between" showDropDown="false" showErrorMessage="false" showInputMessage="false" sqref="H5:H554" type="list">
      <formula1>"Sent,In Person"</formula1>
      <formula2>0</formula2>
    </dataValidation>
    <dataValidation allowBlank="true" errorStyle="stop" operator="between" showDropDown="false" showErrorMessage="false" showInputMessage="false" sqref="J5:J554" type="list">
      <formula1>"Not Scheduled,Scheduled,Completed,No-Show,Rescheduled"</formula1>
      <formula2>0</formula2>
    </dataValidation>
    <dataValidation allowBlank="true" errorStyle="stop" operator="between" showDropDown="false" showErrorMessage="false" showInputMessage="false" sqref="M5:M554" type="list">
      <formula1>"No,Interested,Member,Ambassador"</formula1>
      <formula2>0</formula2>
    </dataValidation>
    <dataValidation allowBlank="true" errorStyle="stop" operator="between" showDropDown="false" showErrorMessage="false" showInputMessage="false" sqref="O5:O554" type="list">
      <formula1>"Not Asked,Asked,Referrals Given"</formula1>
      <formula2>0</formula2>
    </dataValidation>
    <dataValidation allowBlank="true" errorStyle="stop" operator="between" showDropDown="false" showErrorMessage="false" showInputMessage="false" sqref="P5:P554" type="list">
      <formula1>"N/A,Not Started,In Progress,Complete"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sheetData>
    <row r="1" customFormat="false" ht="15" hidden="false" customHeight="true" outlineLevel="0" collapsed="false">
      <c r="A1" s="1" t="s">
        <v>26</v>
      </c>
    </row>
    <row r="2" customFormat="false" ht="15" hidden="false" customHeight="true" outlineLevel="0" collapsed="false">
      <c r="A2" s="1" t="s">
        <v>27</v>
      </c>
    </row>
    <row r="3" customFormat="false" ht="15" hidden="false" customHeight="true" outlineLevel="0" collapsed="false">
      <c r="A3" s="1" t="s">
        <v>28</v>
      </c>
    </row>
    <row r="4" customFormat="false" ht="15" hidden="false" customHeight="true" outlineLevel="0" collapsed="false">
      <c r="A4" s="1" t="s">
        <v>29</v>
      </c>
    </row>
    <row r="5" customFormat="false" ht="15" hidden="false" customHeight="true" outlineLevel="0" collapsed="false">
      <c r="A5" s="1" t="s">
        <v>30</v>
      </c>
    </row>
    <row r="6" customFormat="false" ht="15" hidden="false" customHeight="true" outlineLevel="0" collapsed="false">
      <c r="A6" s="1" t="s">
        <v>31</v>
      </c>
    </row>
    <row r="7" customFormat="false" ht="15" hidden="false" customHeight="true" outlineLevel="0" collapsed="false">
      <c r="A7" s="1" t="s">
        <v>32</v>
      </c>
    </row>
    <row r="8" customFormat="false" ht="15" hidden="false" customHeight="true" outlineLevel="0" collapsed="false">
      <c r="A8" s="1" t="s">
        <v>33</v>
      </c>
    </row>
    <row r="9" customFormat="false" ht="15" hidden="false" customHeight="true" outlineLevel="0" collapsed="false">
      <c r="A9" s="1" t="s">
        <v>34</v>
      </c>
    </row>
    <row r="10" customFormat="false" ht="15" hidden="false" customHeight="true" outlineLevel="0" collapsed="false">
      <c r="A10" s="1" t="s">
        <v>35</v>
      </c>
    </row>
    <row r="11" customFormat="false" ht="15" hidden="false" customHeight="true" outlineLevel="0" collapsed="false">
      <c r="A11" s="1" t="s">
        <v>36</v>
      </c>
    </row>
    <row r="12" customFormat="false" ht="15" hidden="false" customHeight="true" outlineLevel="0" collapsed="false">
      <c r="A12" s="1" t="s">
        <v>37</v>
      </c>
    </row>
    <row r="13" customFormat="false" ht="15" hidden="false" customHeight="true" outlineLevel="0" collapsed="false">
      <c r="A13" s="1" t="s">
        <v>38</v>
      </c>
    </row>
    <row r="14" customFormat="false" ht="15" hidden="false" customHeight="true" outlineLevel="0" collapsed="false">
      <c r="A14" s="1" t="s">
        <v>39</v>
      </c>
    </row>
    <row r="15" customFormat="false" ht="15" hidden="false" customHeight="true" outlineLevel="0" collapsed="false">
      <c r="A15" s="1"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16"/>
    <col collapsed="false" customWidth="true" hidden="false" outlineLevel="0" max="3" min="2" style="1" width="18"/>
    <col collapsed="false" customWidth="true" hidden="false" outlineLevel="0" max="4" min="4" style="1" width="16"/>
    <col collapsed="false" customWidth="true" hidden="false" outlineLevel="0" max="5" min="5" style="1" width="14"/>
    <col collapsed="false" customWidth="true" hidden="false" outlineLevel="0" max="6" min="6" style="1" width="16"/>
    <col collapsed="false" customWidth="true" hidden="false" outlineLevel="0" max="7" min="7" style="1" width="14"/>
    <col collapsed="false" customWidth="true" hidden="false" outlineLevel="0" max="8" min="8" style="1" width="18"/>
    <col collapsed="false" customWidth="true" hidden="false" outlineLevel="0" max="9" min="9" style="1" width="14"/>
    <col collapsed="false" customWidth="true" hidden="false" outlineLevel="0" max="10" min="10" style="1" width="30"/>
    <col collapsed="false" customWidth="true" hidden="true" outlineLevel="0" max="11" min="11" style="1" width="13"/>
  </cols>
  <sheetData>
    <row r="1" customFormat="false" ht="21" hidden="false" customHeight="true" outlineLevel="0" collapsed="false">
      <c r="A1" s="8" t="s">
        <v>41</v>
      </c>
      <c r="B1" s="8"/>
      <c r="C1" s="8"/>
      <c r="D1" s="8"/>
      <c r="E1" s="8"/>
      <c r="F1" s="8"/>
      <c r="G1" s="8"/>
      <c r="H1" s="8"/>
      <c r="I1" s="8"/>
    </row>
    <row r="2" customFormat="false" ht="15" hidden="false" customHeight="true" outlineLevel="0" collapsed="false">
      <c r="A2" s="9" t="s">
        <v>42</v>
      </c>
      <c r="B2" s="9"/>
      <c r="C2" s="9"/>
      <c r="D2" s="9"/>
      <c r="E2" s="9"/>
      <c r="F2" s="9"/>
      <c r="G2" s="9"/>
      <c r="H2" s="9"/>
      <c r="I2" s="9"/>
    </row>
    <row r="4" customFormat="false" ht="31.5" hidden="false" customHeight="true" outlineLevel="0" collapsed="false">
      <c r="A4" s="10" t="s">
        <v>24</v>
      </c>
      <c r="B4" s="10" t="s">
        <v>2</v>
      </c>
      <c r="C4" s="10" t="s">
        <v>3</v>
      </c>
      <c r="D4" s="10" t="s">
        <v>14</v>
      </c>
      <c r="E4" s="10" t="s">
        <v>19</v>
      </c>
      <c r="F4" s="10" t="s">
        <v>11</v>
      </c>
      <c r="G4" s="10" t="s">
        <v>43</v>
      </c>
      <c r="H4" s="10" t="s">
        <v>12</v>
      </c>
      <c r="I4" s="10" t="s">
        <v>21</v>
      </c>
      <c r="J4" s="10" t="s">
        <v>13</v>
      </c>
      <c r="K4" s="1" t="s">
        <v>44</v>
      </c>
    </row>
    <row r="5" customFormat="false" ht="15" hidden="false" customHeight="true" outlineLevel="0" collapsed="false">
      <c r="A5" s="6" t="str">
        <f aca="false">IF($K5="","",IF(INDEX('Prospect Tracker'!$W$5:$W$554,$K5)="","",INDEX('Prospect Tracker'!$W$5:$W$554,$K5)))</f>
        <v/>
      </c>
      <c r="B5" s="6" t="str">
        <f aca="false">IF($K5="","",IF(INDEX('Prospect Tracker'!$A$5:$A$554,$K5)="","",INDEX('Prospect Tracker'!$A$5:$A$554,$K5)))</f>
        <v/>
      </c>
      <c r="C5" s="6" t="str">
        <f aca="false">IF($K5="","",IF(INDEX('Prospect Tracker'!$B$5:$B$554,$K5)="","",INDEX('Prospect Tracker'!$B$5:$B$554,$K5)))</f>
        <v/>
      </c>
      <c r="D5" s="6" t="str">
        <f aca="false">IF($K5="","",IF(INDEX('Prospect Tracker'!$M$5:$M$554,$K5)="","",INDEX('Prospect Tracker'!$M$5:$M$554,$K5)))</f>
        <v/>
      </c>
      <c r="E5" s="6" t="str">
        <f aca="false">IF($K5="","",IF(INDEX('Prospect Tracker'!$R$5:$R$554,$K5)="","",INDEX('Prospect Tracker'!$R$5:$R$554,$K5)))</f>
        <v/>
      </c>
      <c r="F5" s="6" t="str">
        <f aca="false">IF($K5="","",IF(INDEX('Prospect Tracker'!$J$5:$J$554,$K5)="","",INDEX('Prospect Tracker'!$J$5:$J$554,$K5)))</f>
        <v/>
      </c>
      <c r="G5" s="6" t="str">
        <f aca="false">IF($K5="","",IF(INDEX('Prospect Tracker'!$H$5:$H$554,$K5)="","",INDEX('Prospect Tracker'!$H$5:$H$554,$K5)))</f>
        <v/>
      </c>
      <c r="H5" s="7" t="str">
        <f aca="false">IF($K5="","",IF(INDEX('Prospect Tracker'!$K$5:$K$554,$K5)="","",INDEX('Prospect Tracker'!$K$5:$K$554,$K5)))</f>
        <v/>
      </c>
      <c r="I5" s="6" t="str">
        <f aca="false">IF($K5="","",IF(INDEX('Prospect Tracker'!$T$5:$T$554,$K5)="","",INDEX('Prospect Tracker'!$T$5:$T$554,$K5)))</f>
        <v/>
      </c>
      <c r="J5" s="6" t="str">
        <f aca="false">IF($K5="","",IF(INDEX('Prospect Tracker'!$L$5:$L$554,$K5)="","",INDEX('Prospect Tracker'!$L$5:$L$554,$K5)))</f>
        <v/>
      </c>
      <c r="K5" s="1" t="n">
        <f aca="false">IFERROR(MATCH(SMALL('Prospect Tracker'!$X$5:$X$554,ROW()-4),'Prospect Tracker'!$X$5:$X$554,0),"")</f>
        <v>1</v>
      </c>
    </row>
    <row r="6" customFormat="false" ht="15" hidden="false" customHeight="true" outlineLevel="0" collapsed="false">
      <c r="A6" s="11" t="str">
        <f aca="false">IF($K6="","",IF(INDEX('Prospect Tracker'!$W$5:$W$554,$K6)="","",INDEX('Prospect Tracker'!$W$5:$W$554,$K6)))</f>
        <v/>
      </c>
      <c r="B6" s="11" t="str">
        <f aca="false">IF($K6="","",IF(INDEX('Prospect Tracker'!$A$5:$A$554,$K6)="","",INDEX('Prospect Tracker'!$A$5:$A$554,$K6)))</f>
        <v/>
      </c>
      <c r="C6" s="11" t="str">
        <f aca="false">IF($K6="","",IF(INDEX('Prospect Tracker'!$B$5:$B$554,$K6)="","",INDEX('Prospect Tracker'!$B$5:$B$554,$K6)))</f>
        <v/>
      </c>
      <c r="D6" s="11" t="str">
        <f aca="false">IF($K6="","",IF(INDEX('Prospect Tracker'!$M$5:$M$554,$K6)="","",INDEX('Prospect Tracker'!$M$5:$M$554,$K6)))</f>
        <v/>
      </c>
      <c r="E6" s="11" t="str">
        <f aca="false">IF($K6="","",IF(INDEX('Prospect Tracker'!$R$5:$R$554,$K6)="","",INDEX('Prospect Tracker'!$R$5:$R$554,$K6)))</f>
        <v/>
      </c>
      <c r="F6" s="11" t="str">
        <f aca="false">IF($K6="","",IF(INDEX('Prospect Tracker'!$J$5:$J$554,$K6)="","",INDEX('Prospect Tracker'!$J$5:$J$554,$K6)))</f>
        <v/>
      </c>
      <c r="G6" s="11" t="str">
        <f aca="false">IF($K6="","",IF(INDEX('Prospect Tracker'!$H$5:$H$554,$K6)="","",INDEX('Prospect Tracker'!$H$5:$H$554,$K6)))</f>
        <v/>
      </c>
      <c r="H6" s="12" t="str">
        <f aca="false">IF($K6="","",IF(INDEX('Prospect Tracker'!$K$5:$K$554,$K6)="","",INDEX('Prospect Tracker'!$K$5:$K$554,$K6)))</f>
        <v/>
      </c>
      <c r="I6" s="11" t="str">
        <f aca="false">IF($K6="","",IF(INDEX('Prospect Tracker'!$T$5:$T$554,$K6)="","",INDEX('Prospect Tracker'!$T$5:$T$554,$K6)))</f>
        <v/>
      </c>
      <c r="J6" s="11" t="str">
        <f aca="false">IF($K6="","",IF(INDEX('Prospect Tracker'!$L$5:$L$554,$K6)="","",INDEX('Prospect Tracker'!$L$5:$L$554,$K6)))</f>
        <v/>
      </c>
      <c r="K6" s="1" t="n">
        <f aca="false">IFERROR(MATCH(SMALL('Prospect Tracker'!$X$5:$X$554,ROW()-4),'Prospect Tracker'!$X$5:$X$554,0),"")</f>
        <v>2</v>
      </c>
    </row>
    <row r="7" customFormat="false" ht="15" hidden="false" customHeight="true" outlineLevel="0" collapsed="false">
      <c r="A7" s="6" t="str">
        <f aca="false">IF($K7="","",IF(INDEX('Prospect Tracker'!$W$5:$W$554,$K7)="","",INDEX('Prospect Tracker'!$W$5:$W$554,$K7)))</f>
        <v/>
      </c>
      <c r="B7" s="6" t="str">
        <f aca="false">IF($K7="","",IF(INDEX('Prospect Tracker'!$A$5:$A$554,$K7)="","",INDEX('Prospect Tracker'!$A$5:$A$554,$K7)))</f>
        <v/>
      </c>
      <c r="C7" s="6" t="str">
        <f aca="false">IF($K7="","",IF(INDEX('Prospect Tracker'!$B$5:$B$554,$K7)="","",INDEX('Prospect Tracker'!$B$5:$B$554,$K7)))</f>
        <v/>
      </c>
      <c r="D7" s="6" t="str">
        <f aca="false">IF($K7="","",IF(INDEX('Prospect Tracker'!$M$5:$M$554,$K7)="","",INDEX('Prospect Tracker'!$M$5:$M$554,$K7)))</f>
        <v/>
      </c>
      <c r="E7" s="6" t="str">
        <f aca="false">IF($K7="","",IF(INDEX('Prospect Tracker'!$R$5:$R$554,$K7)="","",INDEX('Prospect Tracker'!$R$5:$R$554,$K7)))</f>
        <v/>
      </c>
      <c r="F7" s="6" t="str">
        <f aca="false">IF($K7="","",IF(INDEX('Prospect Tracker'!$J$5:$J$554,$K7)="","",INDEX('Prospect Tracker'!$J$5:$J$554,$K7)))</f>
        <v/>
      </c>
      <c r="G7" s="6" t="str">
        <f aca="false">IF($K7="","",IF(INDEX('Prospect Tracker'!$H$5:$H$554,$K7)="","",INDEX('Prospect Tracker'!$H$5:$H$554,$K7)))</f>
        <v/>
      </c>
      <c r="H7" s="7" t="str">
        <f aca="false">IF($K7="","",IF(INDEX('Prospect Tracker'!$K$5:$K$554,$K7)="","",INDEX('Prospect Tracker'!$K$5:$K$554,$K7)))</f>
        <v/>
      </c>
      <c r="I7" s="6" t="str">
        <f aca="false">IF($K7="","",IF(INDEX('Prospect Tracker'!$T$5:$T$554,$K7)="","",INDEX('Prospect Tracker'!$T$5:$T$554,$K7)))</f>
        <v/>
      </c>
      <c r="J7" s="6" t="str">
        <f aca="false">IF($K7="","",IF(INDEX('Prospect Tracker'!$L$5:$L$554,$K7)="","",INDEX('Prospect Tracker'!$L$5:$L$554,$K7)))</f>
        <v/>
      </c>
      <c r="K7" s="1" t="n">
        <f aca="false">IFERROR(MATCH(SMALL('Prospect Tracker'!$X$5:$X$554,ROW()-4),'Prospect Tracker'!$X$5:$X$554,0),"")</f>
        <v>3</v>
      </c>
    </row>
    <row r="8" customFormat="false" ht="15" hidden="false" customHeight="true" outlineLevel="0" collapsed="false">
      <c r="A8" s="11" t="str">
        <f aca="false">IF($K8="","",IF(INDEX('Prospect Tracker'!$W$5:$W$554,$K8)="","",INDEX('Prospect Tracker'!$W$5:$W$554,$K8)))</f>
        <v/>
      </c>
      <c r="B8" s="11" t="str">
        <f aca="false">IF($K8="","",IF(INDEX('Prospect Tracker'!$A$5:$A$554,$K8)="","",INDEX('Prospect Tracker'!$A$5:$A$554,$K8)))</f>
        <v/>
      </c>
      <c r="C8" s="11" t="str">
        <f aca="false">IF($K8="","",IF(INDEX('Prospect Tracker'!$B$5:$B$554,$K8)="","",INDEX('Prospect Tracker'!$B$5:$B$554,$K8)))</f>
        <v/>
      </c>
      <c r="D8" s="11" t="str">
        <f aca="false">IF($K8="","",IF(INDEX('Prospect Tracker'!$M$5:$M$554,$K8)="","",INDEX('Prospect Tracker'!$M$5:$M$554,$K8)))</f>
        <v/>
      </c>
      <c r="E8" s="11" t="str">
        <f aca="false">IF($K8="","",IF(INDEX('Prospect Tracker'!$R$5:$R$554,$K8)="","",INDEX('Prospect Tracker'!$R$5:$R$554,$K8)))</f>
        <v/>
      </c>
      <c r="F8" s="11" t="str">
        <f aca="false">IF($K8="","",IF(INDEX('Prospect Tracker'!$J$5:$J$554,$K8)="","",INDEX('Prospect Tracker'!$J$5:$J$554,$K8)))</f>
        <v/>
      </c>
      <c r="G8" s="11" t="str">
        <f aca="false">IF($K8="","",IF(INDEX('Prospect Tracker'!$H$5:$H$554,$K8)="","",INDEX('Prospect Tracker'!$H$5:$H$554,$K8)))</f>
        <v/>
      </c>
      <c r="H8" s="12" t="str">
        <f aca="false">IF($K8="","",IF(INDEX('Prospect Tracker'!$K$5:$K$554,$K8)="","",INDEX('Prospect Tracker'!$K$5:$K$554,$K8)))</f>
        <v/>
      </c>
      <c r="I8" s="11" t="str">
        <f aca="false">IF($K8="","",IF(INDEX('Prospect Tracker'!$T$5:$T$554,$K8)="","",INDEX('Prospect Tracker'!$T$5:$T$554,$K8)))</f>
        <v/>
      </c>
      <c r="J8" s="11" t="str">
        <f aca="false">IF($K8="","",IF(INDEX('Prospect Tracker'!$L$5:$L$554,$K8)="","",INDEX('Prospect Tracker'!$L$5:$L$554,$K8)))</f>
        <v/>
      </c>
      <c r="K8" s="1" t="n">
        <f aca="false">IFERROR(MATCH(SMALL('Prospect Tracker'!$X$5:$X$554,ROW()-4),'Prospect Tracker'!$X$5:$X$554,0),"")</f>
        <v>4</v>
      </c>
    </row>
    <row r="9" customFormat="false" ht="15" hidden="false" customHeight="true" outlineLevel="0" collapsed="false">
      <c r="A9" s="6" t="str">
        <f aca="false">IF($K9="","",IF(INDEX('Prospect Tracker'!$W$5:$W$554,$K9)="","",INDEX('Prospect Tracker'!$W$5:$W$554,$K9)))</f>
        <v/>
      </c>
      <c r="B9" s="6" t="str">
        <f aca="false">IF($K9="","",IF(INDEX('Prospect Tracker'!$A$5:$A$554,$K9)="","",INDEX('Prospect Tracker'!$A$5:$A$554,$K9)))</f>
        <v/>
      </c>
      <c r="C9" s="6" t="str">
        <f aca="false">IF($K9="","",IF(INDEX('Prospect Tracker'!$B$5:$B$554,$K9)="","",INDEX('Prospect Tracker'!$B$5:$B$554,$K9)))</f>
        <v/>
      </c>
      <c r="D9" s="6" t="str">
        <f aca="false">IF($K9="","",IF(INDEX('Prospect Tracker'!$M$5:$M$554,$K9)="","",INDEX('Prospect Tracker'!$M$5:$M$554,$K9)))</f>
        <v/>
      </c>
      <c r="E9" s="6" t="str">
        <f aca="false">IF($K9="","",IF(INDEX('Prospect Tracker'!$R$5:$R$554,$K9)="","",INDEX('Prospect Tracker'!$R$5:$R$554,$K9)))</f>
        <v/>
      </c>
      <c r="F9" s="6" t="str">
        <f aca="false">IF($K9="","",IF(INDEX('Prospect Tracker'!$J$5:$J$554,$K9)="","",INDEX('Prospect Tracker'!$J$5:$J$554,$K9)))</f>
        <v/>
      </c>
      <c r="G9" s="6" t="str">
        <f aca="false">IF($K9="","",IF(INDEX('Prospect Tracker'!$H$5:$H$554,$K9)="","",INDEX('Prospect Tracker'!$H$5:$H$554,$K9)))</f>
        <v/>
      </c>
      <c r="H9" s="7" t="str">
        <f aca="false">IF($K9="","",IF(INDEX('Prospect Tracker'!$K$5:$K$554,$K9)="","",INDEX('Prospect Tracker'!$K$5:$K$554,$K9)))</f>
        <v/>
      </c>
      <c r="I9" s="6" t="str">
        <f aca="false">IF($K9="","",IF(INDEX('Prospect Tracker'!$T$5:$T$554,$K9)="","",INDEX('Prospect Tracker'!$T$5:$T$554,$K9)))</f>
        <v/>
      </c>
      <c r="J9" s="6" t="str">
        <f aca="false">IF($K9="","",IF(INDEX('Prospect Tracker'!$L$5:$L$554,$K9)="","",INDEX('Prospect Tracker'!$L$5:$L$554,$K9)))</f>
        <v/>
      </c>
      <c r="K9" s="1" t="n">
        <f aca="false">IFERROR(MATCH(SMALL('Prospect Tracker'!$X$5:$X$554,ROW()-4),'Prospect Tracker'!$X$5:$X$554,0),"")</f>
        <v>5</v>
      </c>
    </row>
    <row r="10" customFormat="false" ht="15" hidden="false" customHeight="true" outlineLevel="0" collapsed="false">
      <c r="A10" s="11" t="str">
        <f aca="false">IF($K10="","",IF(INDEX('Prospect Tracker'!$W$5:$W$554,$K10)="","",INDEX('Prospect Tracker'!$W$5:$W$554,$K10)))</f>
        <v/>
      </c>
      <c r="B10" s="11" t="str">
        <f aca="false">IF($K10="","",IF(INDEX('Prospect Tracker'!$A$5:$A$554,$K10)="","",INDEX('Prospect Tracker'!$A$5:$A$554,$K10)))</f>
        <v/>
      </c>
      <c r="C10" s="11" t="str">
        <f aca="false">IF($K10="","",IF(INDEX('Prospect Tracker'!$B$5:$B$554,$K10)="","",INDEX('Prospect Tracker'!$B$5:$B$554,$K10)))</f>
        <v/>
      </c>
      <c r="D10" s="11" t="str">
        <f aca="false">IF($K10="","",IF(INDEX('Prospect Tracker'!$M$5:$M$554,$K10)="","",INDEX('Prospect Tracker'!$M$5:$M$554,$K10)))</f>
        <v/>
      </c>
      <c r="E10" s="11" t="str">
        <f aca="false">IF($K10="","",IF(INDEX('Prospect Tracker'!$R$5:$R$554,$K10)="","",INDEX('Prospect Tracker'!$R$5:$R$554,$K10)))</f>
        <v/>
      </c>
      <c r="F10" s="11" t="str">
        <f aca="false">IF($K10="","",IF(INDEX('Prospect Tracker'!$J$5:$J$554,$K10)="","",INDEX('Prospect Tracker'!$J$5:$J$554,$K10)))</f>
        <v/>
      </c>
      <c r="G10" s="11" t="str">
        <f aca="false">IF($K10="","",IF(INDEX('Prospect Tracker'!$H$5:$H$554,$K10)="","",INDEX('Prospect Tracker'!$H$5:$H$554,$K10)))</f>
        <v/>
      </c>
      <c r="H10" s="12" t="str">
        <f aca="false">IF($K10="","",IF(INDEX('Prospect Tracker'!$K$5:$K$554,$K10)="","",INDEX('Prospect Tracker'!$K$5:$K$554,$K10)))</f>
        <v/>
      </c>
      <c r="I10" s="11" t="str">
        <f aca="false">IF($K10="","",IF(INDEX('Prospect Tracker'!$T$5:$T$554,$K10)="","",INDEX('Prospect Tracker'!$T$5:$T$554,$K10)))</f>
        <v/>
      </c>
      <c r="J10" s="11" t="str">
        <f aca="false">IF($K10="","",IF(INDEX('Prospect Tracker'!$L$5:$L$554,$K10)="","",INDEX('Prospect Tracker'!$L$5:$L$554,$K10)))</f>
        <v/>
      </c>
      <c r="K10" s="1" t="n">
        <f aca="false">IFERROR(MATCH(SMALL('Prospect Tracker'!$X$5:$X$554,ROW()-4),'Prospect Tracker'!$X$5:$X$554,0),"")</f>
        <v>6</v>
      </c>
    </row>
    <row r="11" customFormat="false" ht="15" hidden="false" customHeight="true" outlineLevel="0" collapsed="false">
      <c r="A11" s="6" t="str">
        <f aca="false">IF($K11="","",IF(INDEX('Prospect Tracker'!$W$5:$W$554,$K11)="","",INDEX('Prospect Tracker'!$W$5:$W$554,$K11)))</f>
        <v/>
      </c>
      <c r="B11" s="6" t="str">
        <f aca="false">IF($K11="","",IF(INDEX('Prospect Tracker'!$A$5:$A$554,$K11)="","",INDEX('Prospect Tracker'!$A$5:$A$554,$K11)))</f>
        <v/>
      </c>
      <c r="C11" s="6" t="str">
        <f aca="false">IF($K11="","",IF(INDEX('Prospect Tracker'!$B$5:$B$554,$K11)="","",INDEX('Prospect Tracker'!$B$5:$B$554,$K11)))</f>
        <v/>
      </c>
      <c r="D11" s="6" t="str">
        <f aca="false">IF($K11="","",IF(INDEX('Prospect Tracker'!$M$5:$M$554,$K11)="","",INDEX('Prospect Tracker'!$M$5:$M$554,$K11)))</f>
        <v/>
      </c>
      <c r="E11" s="6" t="str">
        <f aca="false">IF($K11="","",IF(INDEX('Prospect Tracker'!$R$5:$R$554,$K11)="","",INDEX('Prospect Tracker'!$R$5:$R$554,$K11)))</f>
        <v/>
      </c>
      <c r="F11" s="6" t="str">
        <f aca="false">IF($K11="","",IF(INDEX('Prospect Tracker'!$J$5:$J$554,$K11)="","",INDEX('Prospect Tracker'!$J$5:$J$554,$K11)))</f>
        <v/>
      </c>
      <c r="G11" s="6" t="str">
        <f aca="false">IF($K11="","",IF(INDEX('Prospect Tracker'!$H$5:$H$554,$K11)="","",INDEX('Prospect Tracker'!$H$5:$H$554,$K11)))</f>
        <v/>
      </c>
      <c r="H11" s="7" t="str">
        <f aca="false">IF($K11="","",IF(INDEX('Prospect Tracker'!$K$5:$K$554,$K11)="","",INDEX('Prospect Tracker'!$K$5:$K$554,$K11)))</f>
        <v/>
      </c>
      <c r="I11" s="6" t="str">
        <f aca="false">IF($K11="","",IF(INDEX('Prospect Tracker'!$T$5:$T$554,$K11)="","",INDEX('Prospect Tracker'!$T$5:$T$554,$K11)))</f>
        <v/>
      </c>
      <c r="J11" s="6" t="str">
        <f aca="false">IF($K11="","",IF(INDEX('Prospect Tracker'!$L$5:$L$554,$K11)="","",INDEX('Prospect Tracker'!$L$5:$L$554,$K11)))</f>
        <v/>
      </c>
      <c r="K11" s="1" t="n">
        <f aca="false">IFERROR(MATCH(SMALL('Prospect Tracker'!$X$5:$X$554,ROW()-4),'Prospect Tracker'!$X$5:$X$554,0),"")</f>
        <v>7</v>
      </c>
    </row>
    <row r="12" customFormat="false" ht="15" hidden="false" customHeight="true" outlineLevel="0" collapsed="false">
      <c r="A12" s="11" t="str">
        <f aca="false">IF($K12="","",IF(INDEX('Prospect Tracker'!$W$5:$W$554,$K12)="","",INDEX('Prospect Tracker'!$W$5:$W$554,$K12)))</f>
        <v/>
      </c>
      <c r="B12" s="11" t="str">
        <f aca="false">IF($K12="","",IF(INDEX('Prospect Tracker'!$A$5:$A$554,$K12)="","",INDEX('Prospect Tracker'!$A$5:$A$554,$K12)))</f>
        <v/>
      </c>
      <c r="C12" s="11" t="str">
        <f aca="false">IF($K12="","",IF(INDEX('Prospect Tracker'!$B$5:$B$554,$K12)="","",INDEX('Prospect Tracker'!$B$5:$B$554,$K12)))</f>
        <v/>
      </c>
      <c r="D12" s="11" t="str">
        <f aca="false">IF($K12="","",IF(INDEX('Prospect Tracker'!$M$5:$M$554,$K12)="","",INDEX('Prospect Tracker'!$M$5:$M$554,$K12)))</f>
        <v/>
      </c>
      <c r="E12" s="11" t="str">
        <f aca="false">IF($K12="","",IF(INDEX('Prospect Tracker'!$R$5:$R$554,$K12)="","",INDEX('Prospect Tracker'!$R$5:$R$554,$K12)))</f>
        <v/>
      </c>
      <c r="F12" s="11" t="str">
        <f aca="false">IF($K12="","",IF(INDEX('Prospect Tracker'!$J$5:$J$554,$K12)="","",INDEX('Prospect Tracker'!$J$5:$J$554,$K12)))</f>
        <v/>
      </c>
      <c r="G12" s="11" t="str">
        <f aca="false">IF($K12="","",IF(INDEX('Prospect Tracker'!$H$5:$H$554,$K12)="","",INDEX('Prospect Tracker'!$H$5:$H$554,$K12)))</f>
        <v/>
      </c>
      <c r="H12" s="12" t="str">
        <f aca="false">IF($K12="","",IF(INDEX('Prospect Tracker'!$K$5:$K$554,$K12)="","",INDEX('Prospect Tracker'!$K$5:$K$554,$K12)))</f>
        <v/>
      </c>
      <c r="I12" s="11" t="str">
        <f aca="false">IF($K12="","",IF(INDEX('Prospect Tracker'!$T$5:$T$554,$K12)="","",INDEX('Prospect Tracker'!$T$5:$T$554,$K12)))</f>
        <v/>
      </c>
      <c r="J12" s="11" t="str">
        <f aca="false">IF($K12="","",IF(INDEX('Prospect Tracker'!$L$5:$L$554,$K12)="","",INDEX('Prospect Tracker'!$L$5:$L$554,$K12)))</f>
        <v/>
      </c>
      <c r="K12" s="1" t="n">
        <f aca="false">IFERROR(MATCH(SMALL('Prospect Tracker'!$X$5:$X$554,ROW()-4),'Prospect Tracker'!$X$5:$X$554,0),"")</f>
        <v>8</v>
      </c>
    </row>
    <row r="13" customFormat="false" ht="15" hidden="false" customHeight="true" outlineLevel="0" collapsed="false">
      <c r="A13" s="6" t="str">
        <f aca="false">IF($K13="","",IF(INDEX('Prospect Tracker'!$W$5:$W$554,$K13)="","",INDEX('Prospect Tracker'!$W$5:$W$554,$K13)))</f>
        <v/>
      </c>
      <c r="B13" s="6" t="str">
        <f aca="false">IF($K13="","",IF(INDEX('Prospect Tracker'!$A$5:$A$554,$K13)="","",INDEX('Prospect Tracker'!$A$5:$A$554,$K13)))</f>
        <v/>
      </c>
      <c r="C13" s="6" t="str">
        <f aca="false">IF($K13="","",IF(INDEX('Prospect Tracker'!$B$5:$B$554,$K13)="","",INDEX('Prospect Tracker'!$B$5:$B$554,$K13)))</f>
        <v/>
      </c>
      <c r="D13" s="6" t="str">
        <f aca="false">IF($K13="","",IF(INDEX('Prospect Tracker'!$M$5:$M$554,$K13)="","",INDEX('Prospect Tracker'!$M$5:$M$554,$K13)))</f>
        <v/>
      </c>
      <c r="E13" s="6" t="str">
        <f aca="false">IF($K13="","",IF(INDEX('Prospect Tracker'!$R$5:$R$554,$K13)="","",INDEX('Prospect Tracker'!$R$5:$R$554,$K13)))</f>
        <v/>
      </c>
      <c r="F13" s="6" t="str">
        <f aca="false">IF($K13="","",IF(INDEX('Prospect Tracker'!$J$5:$J$554,$K13)="","",INDEX('Prospect Tracker'!$J$5:$J$554,$K13)))</f>
        <v/>
      </c>
      <c r="G13" s="6" t="str">
        <f aca="false">IF($K13="","",IF(INDEX('Prospect Tracker'!$H$5:$H$554,$K13)="","",INDEX('Prospect Tracker'!$H$5:$H$554,$K13)))</f>
        <v/>
      </c>
      <c r="H13" s="7" t="str">
        <f aca="false">IF($K13="","",IF(INDEX('Prospect Tracker'!$K$5:$K$554,$K13)="","",INDEX('Prospect Tracker'!$K$5:$K$554,$K13)))</f>
        <v/>
      </c>
      <c r="I13" s="6" t="str">
        <f aca="false">IF($K13="","",IF(INDEX('Prospect Tracker'!$T$5:$T$554,$K13)="","",INDEX('Prospect Tracker'!$T$5:$T$554,$K13)))</f>
        <v/>
      </c>
      <c r="J13" s="6" t="str">
        <f aca="false">IF($K13="","",IF(INDEX('Prospect Tracker'!$L$5:$L$554,$K13)="","",INDEX('Prospect Tracker'!$L$5:$L$554,$K13)))</f>
        <v/>
      </c>
      <c r="K13" s="1" t="n">
        <f aca="false">IFERROR(MATCH(SMALL('Prospect Tracker'!$X$5:$X$554,ROW()-4),'Prospect Tracker'!$X$5:$X$554,0),"")</f>
        <v>9</v>
      </c>
    </row>
    <row r="14" customFormat="false" ht="15" hidden="false" customHeight="true" outlineLevel="0" collapsed="false">
      <c r="A14" s="11" t="str">
        <f aca="false">IF($K14="","",IF(INDEX('Prospect Tracker'!$W$5:$W$554,$K14)="","",INDEX('Prospect Tracker'!$W$5:$W$554,$K14)))</f>
        <v/>
      </c>
      <c r="B14" s="11" t="str">
        <f aca="false">IF($K14="","",IF(INDEX('Prospect Tracker'!$A$5:$A$554,$K14)="","",INDEX('Prospect Tracker'!$A$5:$A$554,$K14)))</f>
        <v/>
      </c>
      <c r="C14" s="11" t="str">
        <f aca="false">IF($K14="","",IF(INDEX('Prospect Tracker'!$B$5:$B$554,$K14)="","",INDEX('Prospect Tracker'!$B$5:$B$554,$K14)))</f>
        <v/>
      </c>
      <c r="D14" s="11" t="str">
        <f aca="false">IF($K14="","",IF(INDEX('Prospect Tracker'!$M$5:$M$554,$K14)="","",INDEX('Prospect Tracker'!$M$5:$M$554,$K14)))</f>
        <v/>
      </c>
      <c r="E14" s="11" t="str">
        <f aca="false">IF($K14="","",IF(INDEX('Prospect Tracker'!$R$5:$R$554,$K14)="","",INDEX('Prospect Tracker'!$R$5:$R$554,$K14)))</f>
        <v/>
      </c>
      <c r="F14" s="11" t="str">
        <f aca="false">IF($K14="","",IF(INDEX('Prospect Tracker'!$J$5:$J$554,$K14)="","",INDEX('Prospect Tracker'!$J$5:$J$554,$K14)))</f>
        <v/>
      </c>
      <c r="G14" s="11" t="str">
        <f aca="false">IF($K14="","",IF(INDEX('Prospect Tracker'!$H$5:$H$554,$K14)="","",INDEX('Prospect Tracker'!$H$5:$H$554,$K14)))</f>
        <v/>
      </c>
      <c r="H14" s="12" t="str">
        <f aca="false">IF($K14="","",IF(INDEX('Prospect Tracker'!$K$5:$K$554,$K14)="","",INDEX('Prospect Tracker'!$K$5:$K$554,$K14)))</f>
        <v/>
      </c>
      <c r="I14" s="11" t="str">
        <f aca="false">IF($K14="","",IF(INDEX('Prospect Tracker'!$T$5:$T$554,$K14)="","",INDEX('Prospect Tracker'!$T$5:$T$554,$K14)))</f>
        <v/>
      </c>
      <c r="J14" s="11" t="str">
        <f aca="false">IF($K14="","",IF(INDEX('Prospect Tracker'!$L$5:$L$554,$K14)="","",INDEX('Prospect Tracker'!$L$5:$L$554,$K14)))</f>
        <v/>
      </c>
      <c r="K14" s="1" t="n">
        <f aca="false">IFERROR(MATCH(SMALL('Prospect Tracker'!$X$5:$X$554,ROW()-4),'Prospect Tracker'!$X$5:$X$554,0),"")</f>
        <v>10</v>
      </c>
    </row>
    <row r="15" customFormat="false" ht="15" hidden="false" customHeight="true" outlineLevel="0" collapsed="false">
      <c r="A15" s="6" t="str">
        <f aca="false">IF($K15="","",IF(INDEX('Prospect Tracker'!$W$5:$W$554,$K15)="","",INDEX('Prospect Tracker'!$W$5:$W$554,$K15)))</f>
        <v/>
      </c>
      <c r="B15" s="6" t="str">
        <f aca="false">IF($K15="","",IF(INDEX('Prospect Tracker'!$A$5:$A$554,$K15)="","",INDEX('Prospect Tracker'!$A$5:$A$554,$K15)))</f>
        <v/>
      </c>
      <c r="C15" s="6" t="str">
        <f aca="false">IF($K15="","",IF(INDEX('Prospect Tracker'!$B$5:$B$554,$K15)="","",INDEX('Prospect Tracker'!$B$5:$B$554,$K15)))</f>
        <v/>
      </c>
      <c r="D15" s="6" t="str">
        <f aca="false">IF($K15="","",IF(INDEX('Prospect Tracker'!$M$5:$M$554,$K15)="","",INDEX('Prospect Tracker'!$M$5:$M$554,$K15)))</f>
        <v/>
      </c>
      <c r="E15" s="6" t="str">
        <f aca="false">IF($K15="","",IF(INDEX('Prospect Tracker'!$R$5:$R$554,$K15)="","",INDEX('Prospect Tracker'!$R$5:$R$554,$K15)))</f>
        <v/>
      </c>
      <c r="F15" s="6" t="str">
        <f aca="false">IF($K15="","",IF(INDEX('Prospect Tracker'!$J$5:$J$554,$K15)="","",INDEX('Prospect Tracker'!$J$5:$J$554,$K15)))</f>
        <v/>
      </c>
      <c r="G15" s="6" t="str">
        <f aca="false">IF($K15="","",IF(INDEX('Prospect Tracker'!$H$5:$H$554,$K15)="","",INDEX('Prospect Tracker'!$H$5:$H$554,$K15)))</f>
        <v/>
      </c>
      <c r="H15" s="7" t="str">
        <f aca="false">IF($K15="","",IF(INDEX('Prospect Tracker'!$K$5:$K$554,$K15)="","",INDEX('Prospect Tracker'!$K$5:$K$554,$K15)))</f>
        <v/>
      </c>
      <c r="I15" s="6" t="str">
        <f aca="false">IF($K15="","",IF(INDEX('Prospect Tracker'!$T$5:$T$554,$K15)="","",INDEX('Prospect Tracker'!$T$5:$T$554,$K15)))</f>
        <v/>
      </c>
      <c r="J15" s="6" t="str">
        <f aca="false">IF($K15="","",IF(INDEX('Prospect Tracker'!$L$5:$L$554,$K15)="","",INDEX('Prospect Tracker'!$L$5:$L$554,$K15)))</f>
        <v/>
      </c>
      <c r="K15" s="1" t="n">
        <f aca="false">IFERROR(MATCH(SMALL('Prospect Tracker'!$X$5:$X$554,ROW()-4),'Prospect Tracker'!$X$5:$X$554,0),"")</f>
        <v>11</v>
      </c>
    </row>
    <row r="16" customFormat="false" ht="15" hidden="false" customHeight="true" outlineLevel="0" collapsed="false">
      <c r="A16" s="11" t="str">
        <f aca="false">IF($K16="","",IF(INDEX('Prospect Tracker'!$W$5:$W$554,$K16)="","",INDEX('Prospect Tracker'!$W$5:$W$554,$K16)))</f>
        <v/>
      </c>
      <c r="B16" s="11" t="str">
        <f aca="false">IF($K16="","",IF(INDEX('Prospect Tracker'!$A$5:$A$554,$K16)="","",INDEX('Prospect Tracker'!$A$5:$A$554,$K16)))</f>
        <v/>
      </c>
      <c r="C16" s="11" t="str">
        <f aca="false">IF($K16="","",IF(INDEX('Prospect Tracker'!$B$5:$B$554,$K16)="","",INDEX('Prospect Tracker'!$B$5:$B$554,$K16)))</f>
        <v/>
      </c>
      <c r="D16" s="11" t="str">
        <f aca="false">IF($K16="","",IF(INDEX('Prospect Tracker'!$M$5:$M$554,$K16)="","",INDEX('Prospect Tracker'!$M$5:$M$554,$K16)))</f>
        <v/>
      </c>
      <c r="E16" s="11" t="str">
        <f aca="false">IF($K16="","",IF(INDEX('Prospect Tracker'!$R$5:$R$554,$K16)="","",INDEX('Prospect Tracker'!$R$5:$R$554,$K16)))</f>
        <v/>
      </c>
      <c r="F16" s="11" t="str">
        <f aca="false">IF($K16="","",IF(INDEX('Prospect Tracker'!$J$5:$J$554,$K16)="","",INDEX('Prospect Tracker'!$J$5:$J$554,$K16)))</f>
        <v/>
      </c>
      <c r="G16" s="11" t="str">
        <f aca="false">IF($K16="","",IF(INDEX('Prospect Tracker'!$H$5:$H$554,$K16)="","",INDEX('Prospect Tracker'!$H$5:$H$554,$K16)))</f>
        <v/>
      </c>
      <c r="H16" s="12" t="str">
        <f aca="false">IF($K16="","",IF(INDEX('Prospect Tracker'!$K$5:$K$554,$K16)="","",INDEX('Prospect Tracker'!$K$5:$K$554,$K16)))</f>
        <v/>
      </c>
      <c r="I16" s="11" t="str">
        <f aca="false">IF($K16="","",IF(INDEX('Prospect Tracker'!$T$5:$T$554,$K16)="","",INDEX('Prospect Tracker'!$T$5:$T$554,$K16)))</f>
        <v/>
      </c>
      <c r="J16" s="11" t="str">
        <f aca="false">IF($K16="","",IF(INDEX('Prospect Tracker'!$L$5:$L$554,$K16)="","",INDEX('Prospect Tracker'!$L$5:$L$554,$K16)))</f>
        <v/>
      </c>
      <c r="K16" s="1" t="n">
        <f aca="false">IFERROR(MATCH(SMALL('Prospect Tracker'!$X$5:$X$554,ROW()-4),'Prospect Tracker'!$X$5:$X$554,0),"")</f>
        <v>12</v>
      </c>
    </row>
    <row r="17" customFormat="false" ht="15" hidden="false" customHeight="true" outlineLevel="0" collapsed="false">
      <c r="A17" s="6" t="str">
        <f aca="false">IF($K17="","",IF(INDEX('Prospect Tracker'!$W$5:$W$554,$K17)="","",INDEX('Prospect Tracker'!$W$5:$W$554,$K17)))</f>
        <v/>
      </c>
      <c r="B17" s="6" t="str">
        <f aca="false">IF($K17="","",IF(INDEX('Prospect Tracker'!$A$5:$A$554,$K17)="","",INDEX('Prospect Tracker'!$A$5:$A$554,$K17)))</f>
        <v/>
      </c>
      <c r="C17" s="6" t="str">
        <f aca="false">IF($K17="","",IF(INDEX('Prospect Tracker'!$B$5:$B$554,$K17)="","",INDEX('Prospect Tracker'!$B$5:$B$554,$K17)))</f>
        <v/>
      </c>
      <c r="D17" s="6" t="str">
        <f aca="false">IF($K17="","",IF(INDEX('Prospect Tracker'!$M$5:$M$554,$K17)="","",INDEX('Prospect Tracker'!$M$5:$M$554,$K17)))</f>
        <v/>
      </c>
      <c r="E17" s="6" t="str">
        <f aca="false">IF($K17="","",IF(INDEX('Prospect Tracker'!$R$5:$R$554,$K17)="","",INDEX('Prospect Tracker'!$R$5:$R$554,$K17)))</f>
        <v/>
      </c>
      <c r="F17" s="6" t="str">
        <f aca="false">IF($K17="","",IF(INDEX('Prospect Tracker'!$J$5:$J$554,$K17)="","",INDEX('Prospect Tracker'!$J$5:$J$554,$K17)))</f>
        <v/>
      </c>
      <c r="G17" s="6" t="str">
        <f aca="false">IF($K17="","",IF(INDEX('Prospect Tracker'!$H$5:$H$554,$K17)="","",INDEX('Prospect Tracker'!$H$5:$H$554,$K17)))</f>
        <v/>
      </c>
      <c r="H17" s="7" t="str">
        <f aca="false">IF($K17="","",IF(INDEX('Prospect Tracker'!$K$5:$K$554,$K17)="","",INDEX('Prospect Tracker'!$K$5:$K$554,$K17)))</f>
        <v/>
      </c>
      <c r="I17" s="6" t="str">
        <f aca="false">IF($K17="","",IF(INDEX('Prospect Tracker'!$T$5:$T$554,$K17)="","",INDEX('Prospect Tracker'!$T$5:$T$554,$K17)))</f>
        <v/>
      </c>
      <c r="J17" s="6" t="str">
        <f aca="false">IF($K17="","",IF(INDEX('Prospect Tracker'!$L$5:$L$554,$K17)="","",INDEX('Prospect Tracker'!$L$5:$L$554,$K17)))</f>
        <v/>
      </c>
      <c r="K17" s="1" t="n">
        <f aca="false">IFERROR(MATCH(SMALL('Prospect Tracker'!$X$5:$X$554,ROW()-4),'Prospect Tracker'!$X$5:$X$554,0),"")</f>
        <v>13</v>
      </c>
    </row>
    <row r="18" customFormat="false" ht="15" hidden="false" customHeight="true" outlineLevel="0" collapsed="false">
      <c r="A18" s="11" t="str">
        <f aca="false">IF($K18="","",IF(INDEX('Prospect Tracker'!$W$5:$W$554,$K18)="","",INDEX('Prospect Tracker'!$W$5:$W$554,$K18)))</f>
        <v/>
      </c>
      <c r="B18" s="11" t="str">
        <f aca="false">IF($K18="","",IF(INDEX('Prospect Tracker'!$A$5:$A$554,$K18)="","",INDEX('Prospect Tracker'!$A$5:$A$554,$K18)))</f>
        <v/>
      </c>
      <c r="C18" s="11" t="str">
        <f aca="false">IF($K18="","",IF(INDEX('Prospect Tracker'!$B$5:$B$554,$K18)="","",INDEX('Prospect Tracker'!$B$5:$B$554,$K18)))</f>
        <v/>
      </c>
      <c r="D18" s="11" t="str">
        <f aca="false">IF($K18="","",IF(INDEX('Prospect Tracker'!$M$5:$M$554,$K18)="","",INDEX('Prospect Tracker'!$M$5:$M$554,$K18)))</f>
        <v/>
      </c>
      <c r="E18" s="11" t="str">
        <f aca="false">IF($K18="","",IF(INDEX('Prospect Tracker'!$R$5:$R$554,$K18)="","",INDEX('Prospect Tracker'!$R$5:$R$554,$K18)))</f>
        <v/>
      </c>
      <c r="F18" s="11" t="str">
        <f aca="false">IF($K18="","",IF(INDEX('Prospect Tracker'!$J$5:$J$554,$K18)="","",INDEX('Prospect Tracker'!$J$5:$J$554,$K18)))</f>
        <v/>
      </c>
      <c r="G18" s="11" t="str">
        <f aca="false">IF($K18="","",IF(INDEX('Prospect Tracker'!$H$5:$H$554,$K18)="","",INDEX('Prospect Tracker'!$H$5:$H$554,$K18)))</f>
        <v/>
      </c>
      <c r="H18" s="12" t="str">
        <f aca="false">IF($K18="","",IF(INDEX('Prospect Tracker'!$K$5:$K$554,$K18)="","",INDEX('Prospect Tracker'!$K$5:$K$554,$K18)))</f>
        <v/>
      </c>
      <c r="I18" s="11" t="str">
        <f aca="false">IF($K18="","",IF(INDEX('Prospect Tracker'!$T$5:$T$554,$K18)="","",INDEX('Prospect Tracker'!$T$5:$T$554,$K18)))</f>
        <v/>
      </c>
      <c r="J18" s="11" t="str">
        <f aca="false">IF($K18="","",IF(INDEX('Prospect Tracker'!$L$5:$L$554,$K18)="","",INDEX('Prospect Tracker'!$L$5:$L$554,$K18)))</f>
        <v/>
      </c>
      <c r="K18" s="1" t="n">
        <f aca="false">IFERROR(MATCH(SMALL('Prospect Tracker'!$X$5:$X$554,ROW()-4),'Prospect Tracker'!$X$5:$X$554,0),"")</f>
        <v>14</v>
      </c>
    </row>
    <row r="19" customFormat="false" ht="15" hidden="false" customHeight="true" outlineLevel="0" collapsed="false">
      <c r="A19" s="6" t="str">
        <f aca="false">IF($K19="","",IF(INDEX('Prospect Tracker'!$W$5:$W$554,$K19)="","",INDEX('Prospect Tracker'!$W$5:$W$554,$K19)))</f>
        <v/>
      </c>
      <c r="B19" s="6" t="str">
        <f aca="false">IF($K19="","",IF(INDEX('Prospect Tracker'!$A$5:$A$554,$K19)="","",INDEX('Prospect Tracker'!$A$5:$A$554,$K19)))</f>
        <v/>
      </c>
      <c r="C19" s="6" t="str">
        <f aca="false">IF($K19="","",IF(INDEX('Prospect Tracker'!$B$5:$B$554,$K19)="","",INDEX('Prospect Tracker'!$B$5:$B$554,$K19)))</f>
        <v/>
      </c>
      <c r="D19" s="6" t="str">
        <f aca="false">IF($K19="","",IF(INDEX('Prospect Tracker'!$M$5:$M$554,$K19)="","",INDEX('Prospect Tracker'!$M$5:$M$554,$K19)))</f>
        <v/>
      </c>
      <c r="E19" s="6" t="str">
        <f aca="false">IF($K19="","",IF(INDEX('Prospect Tracker'!$R$5:$R$554,$K19)="","",INDEX('Prospect Tracker'!$R$5:$R$554,$K19)))</f>
        <v/>
      </c>
      <c r="F19" s="6" t="str">
        <f aca="false">IF($K19="","",IF(INDEX('Prospect Tracker'!$J$5:$J$554,$K19)="","",INDEX('Prospect Tracker'!$J$5:$J$554,$K19)))</f>
        <v/>
      </c>
      <c r="G19" s="6" t="str">
        <f aca="false">IF($K19="","",IF(INDEX('Prospect Tracker'!$H$5:$H$554,$K19)="","",INDEX('Prospect Tracker'!$H$5:$H$554,$K19)))</f>
        <v/>
      </c>
      <c r="H19" s="7" t="str">
        <f aca="false">IF($K19="","",IF(INDEX('Prospect Tracker'!$K$5:$K$554,$K19)="","",INDEX('Prospect Tracker'!$K$5:$K$554,$K19)))</f>
        <v/>
      </c>
      <c r="I19" s="6" t="str">
        <f aca="false">IF($K19="","",IF(INDEX('Prospect Tracker'!$T$5:$T$554,$K19)="","",INDEX('Prospect Tracker'!$T$5:$T$554,$K19)))</f>
        <v/>
      </c>
      <c r="J19" s="6" t="str">
        <f aca="false">IF($K19="","",IF(INDEX('Prospect Tracker'!$L$5:$L$554,$K19)="","",INDEX('Prospect Tracker'!$L$5:$L$554,$K19)))</f>
        <v/>
      </c>
      <c r="K19" s="1" t="n">
        <f aca="false">IFERROR(MATCH(SMALL('Prospect Tracker'!$X$5:$X$554,ROW()-4),'Prospect Tracker'!$X$5:$X$554,0),"")</f>
        <v>15</v>
      </c>
    </row>
    <row r="20" customFormat="false" ht="15" hidden="false" customHeight="true" outlineLevel="0" collapsed="false">
      <c r="A20" s="11" t="str">
        <f aca="false">IF($K20="","",IF(INDEX('Prospect Tracker'!$W$5:$W$554,$K20)="","",INDEX('Prospect Tracker'!$W$5:$W$554,$K20)))</f>
        <v/>
      </c>
      <c r="B20" s="11" t="str">
        <f aca="false">IF($K20="","",IF(INDEX('Prospect Tracker'!$A$5:$A$554,$K20)="","",INDEX('Prospect Tracker'!$A$5:$A$554,$K20)))</f>
        <v/>
      </c>
      <c r="C20" s="11" t="str">
        <f aca="false">IF($K20="","",IF(INDEX('Prospect Tracker'!$B$5:$B$554,$K20)="","",INDEX('Prospect Tracker'!$B$5:$B$554,$K20)))</f>
        <v/>
      </c>
      <c r="D20" s="11" t="str">
        <f aca="false">IF($K20="","",IF(INDEX('Prospect Tracker'!$M$5:$M$554,$K20)="","",INDEX('Prospect Tracker'!$M$5:$M$554,$K20)))</f>
        <v/>
      </c>
      <c r="E20" s="11" t="str">
        <f aca="false">IF($K20="","",IF(INDEX('Prospect Tracker'!$R$5:$R$554,$K20)="","",INDEX('Prospect Tracker'!$R$5:$R$554,$K20)))</f>
        <v/>
      </c>
      <c r="F20" s="11" t="str">
        <f aca="false">IF($K20="","",IF(INDEX('Prospect Tracker'!$J$5:$J$554,$K20)="","",INDEX('Prospect Tracker'!$J$5:$J$554,$K20)))</f>
        <v/>
      </c>
      <c r="G20" s="11" t="str">
        <f aca="false">IF($K20="","",IF(INDEX('Prospect Tracker'!$H$5:$H$554,$K20)="","",INDEX('Prospect Tracker'!$H$5:$H$554,$K20)))</f>
        <v/>
      </c>
      <c r="H20" s="12" t="str">
        <f aca="false">IF($K20="","",IF(INDEX('Prospect Tracker'!$K$5:$K$554,$K20)="","",INDEX('Prospect Tracker'!$K$5:$K$554,$K20)))</f>
        <v/>
      </c>
      <c r="I20" s="11" t="str">
        <f aca="false">IF($K20="","",IF(INDEX('Prospect Tracker'!$T$5:$T$554,$K20)="","",INDEX('Prospect Tracker'!$T$5:$T$554,$K20)))</f>
        <v/>
      </c>
      <c r="J20" s="11" t="str">
        <f aca="false">IF($K20="","",IF(INDEX('Prospect Tracker'!$L$5:$L$554,$K20)="","",INDEX('Prospect Tracker'!$L$5:$L$554,$K20)))</f>
        <v/>
      </c>
      <c r="K20" s="1" t="n">
        <f aca="false">IFERROR(MATCH(SMALL('Prospect Tracker'!$X$5:$X$554,ROW()-4),'Prospect Tracker'!$X$5:$X$554,0),"")</f>
        <v>16</v>
      </c>
    </row>
    <row r="21" customFormat="false" ht="15" hidden="false" customHeight="true" outlineLevel="0" collapsed="false">
      <c r="A21" s="6" t="str">
        <f aca="false">IF($K21="","",IF(INDEX('Prospect Tracker'!$W$5:$W$554,$K21)="","",INDEX('Prospect Tracker'!$W$5:$W$554,$K21)))</f>
        <v/>
      </c>
      <c r="B21" s="6" t="str">
        <f aca="false">IF($K21="","",IF(INDEX('Prospect Tracker'!$A$5:$A$554,$K21)="","",INDEX('Prospect Tracker'!$A$5:$A$554,$K21)))</f>
        <v/>
      </c>
      <c r="C21" s="6" t="str">
        <f aca="false">IF($K21="","",IF(INDEX('Prospect Tracker'!$B$5:$B$554,$K21)="","",INDEX('Prospect Tracker'!$B$5:$B$554,$K21)))</f>
        <v/>
      </c>
      <c r="D21" s="6" t="str">
        <f aca="false">IF($K21="","",IF(INDEX('Prospect Tracker'!$M$5:$M$554,$K21)="","",INDEX('Prospect Tracker'!$M$5:$M$554,$K21)))</f>
        <v/>
      </c>
      <c r="E21" s="6" t="str">
        <f aca="false">IF($K21="","",IF(INDEX('Prospect Tracker'!$R$5:$R$554,$K21)="","",INDEX('Prospect Tracker'!$R$5:$R$554,$K21)))</f>
        <v/>
      </c>
      <c r="F21" s="6" t="str">
        <f aca="false">IF($K21="","",IF(INDEX('Prospect Tracker'!$J$5:$J$554,$K21)="","",INDEX('Prospect Tracker'!$J$5:$J$554,$K21)))</f>
        <v/>
      </c>
      <c r="G21" s="6" t="str">
        <f aca="false">IF($K21="","",IF(INDEX('Prospect Tracker'!$H$5:$H$554,$K21)="","",INDEX('Prospect Tracker'!$H$5:$H$554,$K21)))</f>
        <v/>
      </c>
      <c r="H21" s="7" t="str">
        <f aca="false">IF($K21="","",IF(INDEX('Prospect Tracker'!$K$5:$K$554,$K21)="","",INDEX('Prospect Tracker'!$K$5:$K$554,$K21)))</f>
        <v/>
      </c>
      <c r="I21" s="6" t="str">
        <f aca="false">IF($K21="","",IF(INDEX('Prospect Tracker'!$T$5:$T$554,$K21)="","",INDEX('Prospect Tracker'!$T$5:$T$554,$K21)))</f>
        <v/>
      </c>
      <c r="J21" s="6" t="str">
        <f aca="false">IF($K21="","",IF(INDEX('Prospect Tracker'!$L$5:$L$554,$K21)="","",INDEX('Prospect Tracker'!$L$5:$L$554,$K21)))</f>
        <v/>
      </c>
      <c r="K21" s="1" t="n">
        <f aca="false">IFERROR(MATCH(SMALL('Prospect Tracker'!$X$5:$X$554,ROW()-4),'Prospect Tracker'!$X$5:$X$554,0),"")</f>
        <v>17</v>
      </c>
    </row>
    <row r="22" customFormat="false" ht="15" hidden="false" customHeight="true" outlineLevel="0" collapsed="false">
      <c r="A22" s="11" t="str">
        <f aca="false">IF($K22="","",IF(INDEX('Prospect Tracker'!$W$5:$W$554,$K22)="","",INDEX('Prospect Tracker'!$W$5:$W$554,$K22)))</f>
        <v/>
      </c>
      <c r="B22" s="11" t="str">
        <f aca="false">IF($K22="","",IF(INDEX('Prospect Tracker'!$A$5:$A$554,$K22)="","",INDEX('Prospect Tracker'!$A$5:$A$554,$K22)))</f>
        <v/>
      </c>
      <c r="C22" s="11" t="str">
        <f aca="false">IF($K22="","",IF(INDEX('Prospect Tracker'!$B$5:$B$554,$K22)="","",INDEX('Prospect Tracker'!$B$5:$B$554,$K22)))</f>
        <v/>
      </c>
      <c r="D22" s="11" t="str">
        <f aca="false">IF($K22="","",IF(INDEX('Prospect Tracker'!$M$5:$M$554,$K22)="","",INDEX('Prospect Tracker'!$M$5:$M$554,$K22)))</f>
        <v/>
      </c>
      <c r="E22" s="11" t="str">
        <f aca="false">IF($K22="","",IF(INDEX('Prospect Tracker'!$R$5:$R$554,$K22)="","",INDEX('Prospect Tracker'!$R$5:$R$554,$K22)))</f>
        <v/>
      </c>
      <c r="F22" s="11" t="str">
        <f aca="false">IF($K22="","",IF(INDEX('Prospect Tracker'!$J$5:$J$554,$K22)="","",INDEX('Prospect Tracker'!$J$5:$J$554,$K22)))</f>
        <v/>
      </c>
      <c r="G22" s="11" t="str">
        <f aca="false">IF($K22="","",IF(INDEX('Prospect Tracker'!$H$5:$H$554,$K22)="","",INDEX('Prospect Tracker'!$H$5:$H$554,$K22)))</f>
        <v/>
      </c>
      <c r="H22" s="12" t="str">
        <f aca="false">IF($K22="","",IF(INDEX('Prospect Tracker'!$K$5:$K$554,$K22)="","",INDEX('Prospect Tracker'!$K$5:$K$554,$K22)))</f>
        <v/>
      </c>
      <c r="I22" s="11" t="str">
        <f aca="false">IF($K22="","",IF(INDEX('Prospect Tracker'!$T$5:$T$554,$K22)="","",INDEX('Prospect Tracker'!$T$5:$T$554,$K22)))</f>
        <v/>
      </c>
      <c r="J22" s="11" t="str">
        <f aca="false">IF($K22="","",IF(INDEX('Prospect Tracker'!$L$5:$L$554,$K22)="","",INDEX('Prospect Tracker'!$L$5:$L$554,$K22)))</f>
        <v/>
      </c>
      <c r="K22" s="1" t="n">
        <f aca="false">IFERROR(MATCH(SMALL('Prospect Tracker'!$X$5:$X$554,ROW()-4),'Prospect Tracker'!$X$5:$X$554,0),"")</f>
        <v>18</v>
      </c>
    </row>
    <row r="23" customFormat="false" ht="15" hidden="false" customHeight="true" outlineLevel="0" collapsed="false">
      <c r="A23" s="6" t="str">
        <f aca="false">IF($K23="","",IF(INDEX('Prospect Tracker'!$W$5:$W$554,$K23)="","",INDEX('Prospect Tracker'!$W$5:$W$554,$K23)))</f>
        <v/>
      </c>
      <c r="B23" s="6" t="str">
        <f aca="false">IF($K23="","",IF(INDEX('Prospect Tracker'!$A$5:$A$554,$K23)="","",INDEX('Prospect Tracker'!$A$5:$A$554,$K23)))</f>
        <v/>
      </c>
      <c r="C23" s="6" t="str">
        <f aca="false">IF($K23="","",IF(INDEX('Prospect Tracker'!$B$5:$B$554,$K23)="","",INDEX('Prospect Tracker'!$B$5:$B$554,$K23)))</f>
        <v/>
      </c>
      <c r="D23" s="6" t="str">
        <f aca="false">IF($K23="","",IF(INDEX('Prospect Tracker'!$M$5:$M$554,$K23)="","",INDEX('Prospect Tracker'!$M$5:$M$554,$K23)))</f>
        <v/>
      </c>
      <c r="E23" s="6" t="str">
        <f aca="false">IF($K23="","",IF(INDEX('Prospect Tracker'!$R$5:$R$554,$K23)="","",INDEX('Prospect Tracker'!$R$5:$R$554,$K23)))</f>
        <v/>
      </c>
      <c r="F23" s="6" t="str">
        <f aca="false">IF($K23="","",IF(INDEX('Prospect Tracker'!$J$5:$J$554,$K23)="","",INDEX('Prospect Tracker'!$J$5:$J$554,$K23)))</f>
        <v/>
      </c>
      <c r="G23" s="6" t="str">
        <f aca="false">IF($K23="","",IF(INDEX('Prospect Tracker'!$H$5:$H$554,$K23)="","",INDEX('Prospect Tracker'!$H$5:$H$554,$K23)))</f>
        <v/>
      </c>
      <c r="H23" s="7" t="str">
        <f aca="false">IF($K23="","",IF(INDEX('Prospect Tracker'!$K$5:$K$554,$K23)="","",INDEX('Prospect Tracker'!$K$5:$K$554,$K23)))</f>
        <v/>
      </c>
      <c r="I23" s="6" t="str">
        <f aca="false">IF($K23="","",IF(INDEX('Prospect Tracker'!$T$5:$T$554,$K23)="","",INDEX('Prospect Tracker'!$T$5:$T$554,$K23)))</f>
        <v/>
      </c>
      <c r="J23" s="6" t="str">
        <f aca="false">IF($K23="","",IF(INDEX('Prospect Tracker'!$L$5:$L$554,$K23)="","",INDEX('Prospect Tracker'!$L$5:$L$554,$K23)))</f>
        <v/>
      </c>
      <c r="K23" s="1" t="n">
        <f aca="false">IFERROR(MATCH(SMALL('Prospect Tracker'!$X$5:$X$554,ROW()-4),'Prospect Tracker'!$X$5:$X$554,0),"")</f>
        <v>19</v>
      </c>
    </row>
    <row r="24" customFormat="false" ht="15" hidden="false" customHeight="true" outlineLevel="0" collapsed="false">
      <c r="A24" s="11" t="str">
        <f aca="false">IF($K24="","",IF(INDEX('Prospect Tracker'!$W$5:$W$554,$K24)="","",INDEX('Prospect Tracker'!$W$5:$W$554,$K24)))</f>
        <v/>
      </c>
      <c r="B24" s="11" t="str">
        <f aca="false">IF($K24="","",IF(INDEX('Prospect Tracker'!$A$5:$A$554,$K24)="","",INDEX('Prospect Tracker'!$A$5:$A$554,$K24)))</f>
        <v/>
      </c>
      <c r="C24" s="11" t="str">
        <f aca="false">IF($K24="","",IF(INDEX('Prospect Tracker'!$B$5:$B$554,$K24)="","",INDEX('Prospect Tracker'!$B$5:$B$554,$K24)))</f>
        <v/>
      </c>
      <c r="D24" s="11" t="str">
        <f aca="false">IF($K24="","",IF(INDEX('Prospect Tracker'!$M$5:$M$554,$K24)="","",INDEX('Prospect Tracker'!$M$5:$M$554,$K24)))</f>
        <v/>
      </c>
      <c r="E24" s="11" t="str">
        <f aca="false">IF($K24="","",IF(INDEX('Prospect Tracker'!$R$5:$R$554,$K24)="","",INDEX('Prospect Tracker'!$R$5:$R$554,$K24)))</f>
        <v/>
      </c>
      <c r="F24" s="11" t="str">
        <f aca="false">IF($K24="","",IF(INDEX('Prospect Tracker'!$J$5:$J$554,$K24)="","",INDEX('Prospect Tracker'!$J$5:$J$554,$K24)))</f>
        <v/>
      </c>
      <c r="G24" s="11" t="str">
        <f aca="false">IF($K24="","",IF(INDEX('Prospect Tracker'!$H$5:$H$554,$K24)="","",INDEX('Prospect Tracker'!$H$5:$H$554,$K24)))</f>
        <v/>
      </c>
      <c r="H24" s="12" t="str">
        <f aca="false">IF($K24="","",IF(INDEX('Prospect Tracker'!$K$5:$K$554,$K24)="","",INDEX('Prospect Tracker'!$K$5:$K$554,$K24)))</f>
        <v/>
      </c>
      <c r="I24" s="11" t="str">
        <f aca="false">IF($K24="","",IF(INDEX('Prospect Tracker'!$T$5:$T$554,$K24)="","",INDEX('Prospect Tracker'!$T$5:$T$554,$K24)))</f>
        <v/>
      </c>
      <c r="J24" s="11" t="str">
        <f aca="false">IF($K24="","",IF(INDEX('Prospect Tracker'!$L$5:$L$554,$K24)="","",INDEX('Prospect Tracker'!$L$5:$L$554,$K24)))</f>
        <v/>
      </c>
      <c r="K24" s="1" t="n">
        <f aca="false">IFERROR(MATCH(SMALL('Prospect Tracker'!$X$5:$X$554,ROW()-4),'Prospect Tracker'!$X$5:$X$554,0),"")</f>
        <v>20</v>
      </c>
    </row>
    <row r="25" customFormat="false" ht="15" hidden="false" customHeight="true" outlineLevel="0" collapsed="false">
      <c r="A25" s="6" t="str">
        <f aca="false">IF($K25="","",IF(INDEX('Prospect Tracker'!$W$5:$W$554,$K25)="","",INDEX('Prospect Tracker'!$W$5:$W$554,$K25)))</f>
        <v/>
      </c>
      <c r="B25" s="6" t="str">
        <f aca="false">IF($K25="","",IF(INDEX('Prospect Tracker'!$A$5:$A$554,$K25)="","",INDEX('Prospect Tracker'!$A$5:$A$554,$K25)))</f>
        <v/>
      </c>
      <c r="C25" s="6" t="str">
        <f aca="false">IF($K25="","",IF(INDEX('Prospect Tracker'!$B$5:$B$554,$K25)="","",INDEX('Prospect Tracker'!$B$5:$B$554,$K25)))</f>
        <v/>
      </c>
      <c r="D25" s="6" t="str">
        <f aca="false">IF($K25="","",IF(INDEX('Prospect Tracker'!$M$5:$M$554,$K25)="","",INDEX('Prospect Tracker'!$M$5:$M$554,$K25)))</f>
        <v/>
      </c>
      <c r="E25" s="6" t="str">
        <f aca="false">IF($K25="","",IF(INDEX('Prospect Tracker'!$R$5:$R$554,$K25)="","",INDEX('Prospect Tracker'!$R$5:$R$554,$K25)))</f>
        <v/>
      </c>
      <c r="F25" s="6" t="str">
        <f aca="false">IF($K25="","",IF(INDEX('Prospect Tracker'!$J$5:$J$554,$K25)="","",INDEX('Prospect Tracker'!$J$5:$J$554,$K25)))</f>
        <v/>
      </c>
      <c r="G25" s="6" t="str">
        <f aca="false">IF($K25="","",IF(INDEX('Prospect Tracker'!$H$5:$H$554,$K25)="","",INDEX('Prospect Tracker'!$H$5:$H$554,$K25)))</f>
        <v/>
      </c>
      <c r="H25" s="7" t="str">
        <f aca="false">IF($K25="","",IF(INDEX('Prospect Tracker'!$K$5:$K$554,$K25)="","",INDEX('Prospect Tracker'!$K$5:$K$554,$K25)))</f>
        <v/>
      </c>
      <c r="I25" s="6" t="str">
        <f aca="false">IF($K25="","",IF(INDEX('Prospect Tracker'!$T$5:$T$554,$K25)="","",INDEX('Prospect Tracker'!$T$5:$T$554,$K25)))</f>
        <v/>
      </c>
      <c r="J25" s="6" t="str">
        <f aca="false">IF($K25="","",IF(INDEX('Prospect Tracker'!$L$5:$L$554,$K25)="","",INDEX('Prospect Tracker'!$L$5:$L$554,$K25)))</f>
        <v/>
      </c>
      <c r="K25" s="1" t="n">
        <f aca="false">IFERROR(MATCH(SMALL('Prospect Tracker'!$X$5:$X$554,ROW()-4),'Prospect Tracker'!$X$5:$X$554,0),"")</f>
        <v>21</v>
      </c>
    </row>
    <row r="26" customFormat="false" ht="15" hidden="false" customHeight="true" outlineLevel="0" collapsed="false">
      <c r="A26" s="11" t="str">
        <f aca="false">IF($K26="","",IF(INDEX('Prospect Tracker'!$W$5:$W$554,$K26)="","",INDEX('Prospect Tracker'!$W$5:$W$554,$K26)))</f>
        <v/>
      </c>
      <c r="B26" s="11" t="str">
        <f aca="false">IF($K26="","",IF(INDEX('Prospect Tracker'!$A$5:$A$554,$K26)="","",INDEX('Prospect Tracker'!$A$5:$A$554,$K26)))</f>
        <v/>
      </c>
      <c r="C26" s="11" t="str">
        <f aca="false">IF($K26="","",IF(INDEX('Prospect Tracker'!$B$5:$B$554,$K26)="","",INDEX('Prospect Tracker'!$B$5:$B$554,$K26)))</f>
        <v/>
      </c>
      <c r="D26" s="11" t="str">
        <f aca="false">IF($K26="","",IF(INDEX('Prospect Tracker'!$M$5:$M$554,$K26)="","",INDEX('Prospect Tracker'!$M$5:$M$554,$K26)))</f>
        <v/>
      </c>
      <c r="E26" s="11" t="str">
        <f aca="false">IF($K26="","",IF(INDEX('Prospect Tracker'!$R$5:$R$554,$K26)="","",INDEX('Prospect Tracker'!$R$5:$R$554,$K26)))</f>
        <v/>
      </c>
      <c r="F26" s="11" t="str">
        <f aca="false">IF($K26="","",IF(INDEX('Prospect Tracker'!$J$5:$J$554,$K26)="","",INDEX('Prospect Tracker'!$J$5:$J$554,$K26)))</f>
        <v/>
      </c>
      <c r="G26" s="11" t="str">
        <f aca="false">IF($K26="","",IF(INDEX('Prospect Tracker'!$H$5:$H$554,$K26)="","",INDEX('Prospect Tracker'!$H$5:$H$554,$K26)))</f>
        <v/>
      </c>
      <c r="H26" s="12" t="str">
        <f aca="false">IF($K26="","",IF(INDEX('Prospect Tracker'!$K$5:$K$554,$K26)="","",INDEX('Prospect Tracker'!$K$5:$K$554,$K26)))</f>
        <v/>
      </c>
      <c r="I26" s="11" t="str">
        <f aca="false">IF($K26="","",IF(INDEX('Prospect Tracker'!$T$5:$T$554,$K26)="","",INDEX('Prospect Tracker'!$T$5:$T$554,$K26)))</f>
        <v/>
      </c>
      <c r="J26" s="11" t="str">
        <f aca="false">IF($K26="","",IF(INDEX('Prospect Tracker'!$L$5:$L$554,$K26)="","",INDEX('Prospect Tracker'!$L$5:$L$554,$K26)))</f>
        <v/>
      </c>
      <c r="K26" s="1" t="n">
        <f aca="false">IFERROR(MATCH(SMALL('Prospect Tracker'!$X$5:$X$554,ROW()-4),'Prospect Tracker'!$X$5:$X$554,0),"")</f>
        <v>22</v>
      </c>
    </row>
    <row r="27" customFormat="false" ht="15" hidden="false" customHeight="true" outlineLevel="0" collapsed="false">
      <c r="A27" s="6" t="str">
        <f aca="false">IF($K27="","",IF(INDEX('Prospect Tracker'!$W$5:$W$554,$K27)="","",INDEX('Prospect Tracker'!$W$5:$W$554,$K27)))</f>
        <v/>
      </c>
      <c r="B27" s="6" t="str">
        <f aca="false">IF($K27="","",IF(INDEX('Prospect Tracker'!$A$5:$A$554,$K27)="","",INDEX('Prospect Tracker'!$A$5:$A$554,$K27)))</f>
        <v/>
      </c>
      <c r="C27" s="6" t="str">
        <f aca="false">IF($K27="","",IF(INDEX('Prospect Tracker'!$B$5:$B$554,$K27)="","",INDEX('Prospect Tracker'!$B$5:$B$554,$K27)))</f>
        <v/>
      </c>
      <c r="D27" s="6" t="str">
        <f aca="false">IF($K27="","",IF(INDEX('Prospect Tracker'!$M$5:$M$554,$K27)="","",INDEX('Prospect Tracker'!$M$5:$M$554,$K27)))</f>
        <v/>
      </c>
      <c r="E27" s="6" t="str">
        <f aca="false">IF($K27="","",IF(INDEX('Prospect Tracker'!$R$5:$R$554,$K27)="","",INDEX('Prospect Tracker'!$R$5:$R$554,$K27)))</f>
        <v/>
      </c>
      <c r="F27" s="6" t="str">
        <f aca="false">IF($K27="","",IF(INDEX('Prospect Tracker'!$J$5:$J$554,$K27)="","",INDEX('Prospect Tracker'!$J$5:$J$554,$K27)))</f>
        <v/>
      </c>
      <c r="G27" s="6" t="str">
        <f aca="false">IF($K27="","",IF(INDEX('Prospect Tracker'!$H$5:$H$554,$K27)="","",INDEX('Prospect Tracker'!$H$5:$H$554,$K27)))</f>
        <v/>
      </c>
      <c r="H27" s="7" t="str">
        <f aca="false">IF($K27="","",IF(INDEX('Prospect Tracker'!$K$5:$K$554,$K27)="","",INDEX('Prospect Tracker'!$K$5:$K$554,$K27)))</f>
        <v/>
      </c>
      <c r="I27" s="6" t="str">
        <f aca="false">IF($K27="","",IF(INDEX('Prospect Tracker'!$T$5:$T$554,$K27)="","",INDEX('Prospect Tracker'!$T$5:$T$554,$K27)))</f>
        <v/>
      </c>
      <c r="J27" s="6" t="str">
        <f aca="false">IF($K27="","",IF(INDEX('Prospect Tracker'!$L$5:$L$554,$K27)="","",INDEX('Prospect Tracker'!$L$5:$L$554,$K27)))</f>
        <v/>
      </c>
      <c r="K27" s="1" t="n">
        <f aca="false">IFERROR(MATCH(SMALL('Prospect Tracker'!$X$5:$X$554,ROW()-4),'Prospect Tracker'!$X$5:$X$554,0),"")</f>
        <v>23</v>
      </c>
    </row>
    <row r="28" customFormat="false" ht="15" hidden="false" customHeight="true" outlineLevel="0" collapsed="false">
      <c r="A28" s="11" t="str">
        <f aca="false">IF($K28="","",IF(INDEX('Prospect Tracker'!$W$5:$W$554,$K28)="","",INDEX('Prospect Tracker'!$W$5:$W$554,$K28)))</f>
        <v/>
      </c>
      <c r="B28" s="11" t="str">
        <f aca="false">IF($K28="","",IF(INDEX('Prospect Tracker'!$A$5:$A$554,$K28)="","",INDEX('Prospect Tracker'!$A$5:$A$554,$K28)))</f>
        <v/>
      </c>
      <c r="C28" s="11" t="str">
        <f aca="false">IF($K28="","",IF(INDEX('Prospect Tracker'!$B$5:$B$554,$K28)="","",INDEX('Prospect Tracker'!$B$5:$B$554,$K28)))</f>
        <v/>
      </c>
      <c r="D28" s="11" t="str">
        <f aca="false">IF($K28="","",IF(INDEX('Prospect Tracker'!$M$5:$M$554,$K28)="","",INDEX('Prospect Tracker'!$M$5:$M$554,$K28)))</f>
        <v/>
      </c>
      <c r="E28" s="11" t="str">
        <f aca="false">IF($K28="","",IF(INDEX('Prospect Tracker'!$R$5:$R$554,$K28)="","",INDEX('Prospect Tracker'!$R$5:$R$554,$K28)))</f>
        <v/>
      </c>
      <c r="F28" s="11" t="str">
        <f aca="false">IF($K28="","",IF(INDEX('Prospect Tracker'!$J$5:$J$554,$K28)="","",INDEX('Prospect Tracker'!$J$5:$J$554,$K28)))</f>
        <v/>
      </c>
      <c r="G28" s="11" t="str">
        <f aca="false">IF($K28="","",IF(INDEX('Prospect Tracker'!$H$5:$H$554,$K28)="","",INDEX('Prospect Tracker'!$H$5:$H$554,$K28)))</f>
        <v/>
      </c>
      <c r="H28" s="12" t="str">
        <f aca="false">IF($K28="","",IF(INDEX('Prospect Tracker'!$K$5:$K$554,$K28)="","",INDEX('Prospect Tracker'!$K$5:$K$554,$K28)))</f>
        <v/>
      </c>
      <c r="I28" s="11" t="str">
        <f aca="false">IF($K28="","",IF(INDEX('Prospect Tracker'!$T$5:$T$554,$K28)="","",INDEX('Prospect Tracker'!$T$5:$T$554,$K28)))</f>
        <v/>
      </c>
      <c r="J28" s="11" t="str">
        <f aca="false">IF($K28="","",IF(INDEX('Prospect Tracker'!$L$5:$L$554,$K28)="","",INDEX('Prospect Tracker'!$L$5:$L$554,$K28)))</f>
        <v/>
      </c>
      <c r="K28" s="1" t="n">
        <f aca="false">IFERROR(MATCH(SMALL('Prospect Tracker'!$X$5:$X$554,ROW()-4),'Prospect Tracker'!$X$5:$X$554,0),"")</f>
        <v>24</v>
      </c>
    </row>
    <row r="29" customFormat="false" ht="15" hidden="false" customHeight="true" outlineLevel="0" collapsed="false">
      <c r="A29" s="6" t="str">
        <f aca="false">IF($K29="","",IF(INDEX('Prospect Tracker'!$W$5:$W$554,$K29)="","",INDEX('Prospect Tracker'!$W$5:$W$554,$K29)))</f>
        <v/>
      </c>
      <c r="B29" s="6" t="str">
        <f aca="false">IF($K29="","",IF(INDEX('Prospect Tracker'!$A$5:$A$554,$K29)="","",INDEX('Prospect Tracker'!$A$5:$A$554,$K29)))</f>
        <v/>
      </c>
      <c r="C29" s="6" t="str">
        <f aca="false">IF($K29="","",IF(INDEX('Prospect Tracker'!$B$5:$B$554,$K29)="","",INDEX('Prospect Tracker'!$B$5:$B$554,$K29)))</f>
        <v/>
      </c>
      <c r="D29" s="6" t="str">
        <f aca="false">IF($K29="","",IF(INDEX('Prospect Tracker'!$M$5:$M$554,$K29)="","",INDEX('Prospect Tracker'!$M$5:$M$554,$K29)))</f>
        <v/>
      </c>
      <c r="E29" s="6" t="str">
        <f aca="false">IF($K29="","",IF(INDEX('Prospect Tracker'!$R$5:$R$554,$K29)="","",INDEX('Prospect Tracker'!$R$5:$R$554,$K29)))</f>
        <v/>
      </c>
      <c r="F29" s="6" t="str">
        <f aca="false">IF($K29="","",IF(INDEX('Prospect Tracker'!$J$5:$J$554,$K29)="","",INDEX('Prospect Tracker'!$J$5:$J$554,$K29)))</f>
        <v/>
      </c>
      <c r="G29" s="6" t="str">
        <f aca="false">IF($K29="","",IF(INDEX('Prospect Tracker'!$H$5:$H$554,$K29)="","",INDEX('Prospect Tracker'!$H$5:$H$554,$K29)))</f>
        <v/>
      </c>
      <c r="H29" s="7" t="str">
        <f aca="false">IF($K29="","",IF(INDEX('Prospect Tracker'!$K$5:$K$554,$K29)="","",INDEX('Prospect Tracker'!$K$5:$K$554,$K29)))</f>
        <v/>
      </c>
      <c r="I29" s="6" t="str">
        <f aca="false">IF($K29="","",IF(INDEX('Prospect Tracker'!$T$5:$T$554,$K29)="","",INDEX('Prospect Tracker'!$T$5:$T$554,$K29)))</f>
        <v/>
      </c>
      <c r="J29" s="6" t="str">
        <f aca="false">IF($K29="","",IF(INDEX('Prospect Tracker'!$L$5:$L$554,$K29)="","",INDEX('Prospect Tracker'!$L$5:$L$554,$K29)))</f>
        <v/>
      </c>
      <c r="K29" s="1" t="n">
        <f aca="false">IFERROR(MATCH(SMALL('Prospect Tracker'!$X$5:$X$554,ROW()-4),'Prospect Tracker'!$X$5:$X$554,0),"")</f>
        <v>25</v>
      </c>
    </row>
    <row r="30" customFormat="false" ht="15" hidden="false" customHeight="true" outlineLevel="0" collapsed="false">
      <c r="A30" s="11" t="str">
        <f aca="false">IF($K30="","",IF(INDEX('Prospect Tracker'!$W$5:$W$554,$K30)="","",INDEX('Prospect Tracker'!$W$5:$W$554,$K30)))</f>
        <v/>
      </c>
      <c r="B30" s="11" t="str">
        <f aca="false">IF($K30="","",IF(INDEX('Prospect Tracker'!$A$5:$A$554,$K30)="","",INDEX('Prospect Tracker'!$A$5:$A$554,$K30)))</f>
        <v/>
      </c>
      <c r="C30" s="11" t="str">
        <f aca="false">IF($K30="","",IF(INDEX('Prospect Tracker'!$B$5:$B$554,$K30)="","",INDEX('Prospect Tracker'!$B$5:$B$554,$K30)))</f>
        <v/>
      </c>
      <c r="D30" s="11" t="str">
        <f aca="false">IF($K30="","",IF(INDEX('Prospect Tracker'!$M$5:$M$554,$K30)="","",INDEX('Prospect Tracker'!$M$5:$M$554,$K30)))</f>
        <v/>
      </c>
      <c r="E30" s="11" t="str">
        <f aca="false">IF($K30="","",IF(INDEX('Prospect Tracker'!$R$5:$R$554,$K30)="","",INDEX('Prospect Tracker'!$R$5:$R$554,$K30)))</f>
        <v/>
      </c>
      <c r="F30" s="11" t="str">
        <f aca="false">IF($K30="","",IF(INDEX('Prospect Tracker'!$J$5:$J$554,$K30)="","",INDEX('Prospect Tracker'!$J$5:$J$554,$K30)))</f>
        <v/>
      </c>
      <c r="G30" s="11" t="str">
        <f aca="false">IF($K30="","",IF(INDEX('Prospect Tracker'!$H$5:$H$554,$K30)="","",INDEX('Prospect Tracker'!$H$5:$H$554,$K30)))</f>
        <v/>
      </c>
      <c r="H30" s="12" t="str">
        <f aca="false">IF($K30="","",IF(INDEX('Prospect Tracker'!$K$5:$K$554,$K30)="","",INDEX('Prospect Tracker'!$K$5:$K$554,$K30)))</f>
        <v/>
      </c>
      <c r="I30" s="11" t="str">
        <f aca="false">IF($K30="","",IF(INDEX('Prospect Tracker'!$T$5:$T$554,$K30)="","",INDEX('Prospect Tracker'!$T$5:$T$554,$K30)))</f>
        <v/>
      </c>
      <c r="J30" s="11" t="str">
        <f aca="false">IF($K30="","",IF(INDEX('Prospect Tracker'!$L$5:$L$554,$K30)="","",INDEX('Prospect Tracker'!$L$5:$L$554,$K30)))</f>
        <v/>
      </c>
      <c r="K30" s="1" t="n">
        <f aca="false">IFERROR(MATCH(SMALL('Prospect Tracker'!$X$5:$X$554,ROW()-4),'Prospect Tracker'!$X$5:$X$554,0),"")</f>
        <v>26</v>
      </c>
    </row>
    <row r="31" customFormat="false" ht="15" hidden="false" customHeight="true" outlineLevel="0" collapsed="false">
      <c r="A31" s="6" t="str">
        <f aca="false">IF($K31="","",IF(INDEX('Prospect Tracker'!$W$5:$W$554,$K31)="","",INDEX('Prospect Tracker'!$W$5:$W$554,$K31)))</f>
        <v/>
      </c>
      <c r="B31" s="6" t="str">
        <f aca="false">IF($K31="","",IF(INDEX('Prospect Tracker'!$A$5:$A$554,$K31)="","",INDEX('Prospect Tracker'!$A$5:$A$554,$K31)))</f>
        <v/>
      </c>
      <c r="C31" s="6" t="str">
        <f aca="false">IF($K31="","",IF(INDEX('Prospect Tracker'!$B$5:$B$554,$K31)="","",INDEX('Prospect Tracker'!$B$5:$B$554,$K31)))</f>
        <v/>
      </c>
      <c r="D31" s="6" t="str">
        <f aca="false">IF($K31="","",IF(INDEX('Prospect Tracker'!$M$5:$M$554,$K31)="","",INDEX('Prospect Tracker'!$M$5:$M$554,$K31)))</f>
        <v/>
      </c>
      <c r="E31" s="6" t="str">
        <f aca="false">IF($K31="","",IF(INDEX('Prospect Tracker'!$R$5:$R$554,$K31)="","",INDEX('Prospect Tracker'!$R$5:$R$554,$K31)))</f>
        <v/>
      </c>
      <c r="F31" s="6" t="str">
        <f aca="false">IF($K31="","",IF(INDEX('Prospect Tracker'!$J$5:$J$554,$K31)="","",INDEX('Prospect Tracker'!$J$5:$J$554,$K31)))</f>
        <v/>
      </c>
      <c r="G31" s="6" t="str">
        <f aca="false">IF($K31="","",IF(INDEX('Prospect Tracker'!$H$5:$H$554,$K31)="","",INDEX('Prospect Tracker'!$H$5:$H$554,$K31)))</f>
        <v/>
      </c>
      <c r="H31" s="7" t="str">
        <f aca="false">IF($K31="","",IF(INDEX('Prospect Tracker'!$K$5:$K$554,$K31)="","",INDEX('Prospect Tracker'!$K$5:$K$554,$K31)))</f>
        <v/>
      </c>
      <c r="I31" s="6" t="str">
        <f aca="false">IF($K31="","",IF(INDEX('Prospect Tracker'!$T$5:$T$554,$K31)="","",INDEX('Prospect Tracker'!$T$5:$T$554,$K31)))</f>
        <v/>
      </c>
      <c r="J31" s="6" t="str">
        <f aca="false">IF($K31="","",IF(INDEX('Prospect Tracker'!$L$5:$L$554,$K31)="","",INDEX('Prospect Tracker'!$L$5:$L$554,$K31)))</f>
        <v/>
      </c>
      <c r="K31" s="1" t="n">
        <f aca="false">IFERROR(MATCH(SMALL('Prospect Tracker'!$X$5:$X$554,ROW()-4),'Prospect Tracker'!$X$5:$X$554,0),"")</f>
        <v>27</v>
      </c>
    </row>
    <row r="32" customFormat="false" ht="15" hidden="false" customHeight="true" outlineLevel="0" collapsed="false">
      <c r="A32" s="11" t="str">
        <f aca="false">IF($K32="","",IF(INDEX('Prospect Tracker'!$W$5:$W$554,$K32)="","",INDEX('Prospect Tracker'!$W$5:$W$554,$K32)))</f>
        <v/>
      </c>
      <c r="B32" s="11" t="str">
        <f aca="false">IF($K32="","",IF(INDEX('Prospect Tracker'!$A$5:$A$554,$K32)="","",INDEX('Prospect Tracker'!$A$5:$A$554,$K32)))</f>
        <v/>
      </c>
      <c r="C32" s="11" t="str">
        <f aca="false">IF($K32="","",IF(INDEX('Prospect Tracker'!$B$5:$B$554,$K32)="","",INDEX('Prospect Tracker'!$B$5:$B$554,$K32)))</f>
        <v/>
      </c>
      <c r="D32" s="11" t="str">
        <f aca="false">IF($K32="","",IF(INDEX('Prospect Tracker'!$M$5:$M$554,$K32)="","",INDEX('Prospect Tracker'!$M$5:$M$554,$K32)))</f>
        <v/>
      </c>
      <c r="E32" s="11" t="str">
        <f aca="false">IF($K32="","",IF(INDEX('Prospect Tracker'!$R$5:$R$554,$K32)="","",INDEX('Prospect Tracker'!$R$5:$R$554,$K32)))</f>
        <v/>
      </c>
      <c r="F32" s="11" t="str">
        <f aca="false">IF($K32="","",IF(INDEX('Prospect Tracker'!$J$5:$J$554,$K32)="","",INDEX('Prospect Tracker'!$J$5:$J$554,$K32)))</f>
        <v/>
      </c>
      <c r="G32" s="11" t="str">
        <f aca="false">IF($K32="","",IF(INDEX('Prospect Tracker'!$H$5:$H$554,$K32)="","",INDEX('Prospect Tracker'!$H$5:$H$554,$K32)))</f>
        <v/>
      </c>
      <c r="H32" s="12" t="str">
        <f aca="false">IF($K32="","",IF(INDEX('Prospect Tracker'!$K$5:$K$554,$K32)="","",INDEX('Prospect Tracker'!$K$5:$K$554,$K32)))</f>
        <v/>
      </c>
      <c r="I32" s="11" t="str">
        <f aca="false">IF($K32="","",IF(INDEX('Prospect Tracker'!$T$5:$T$554,$K32)="","",INDEX('Prospect Tracker'!$T$5:$T$554,$K32)))</f>
        <v/>
      </c>
      <c r="J32" s="11" t="str">
        <f aca="false">IF($K32="","",IF(INDEX('Prospect Tracker'!$L$5:$L$554,$K32)="","",INDEX('Prospect Tracker'!$L$5:$L$554,$K32)))</f>
        <v/>
      </c>
      <c r="K32" s="1" t="n">
        <f aca="false">IFERROR(MATCH(SMALL('Prospect Tracker'!$X$5:$X$554,ROW()-4),'Prospect Tracker'!$X$5:$X$554,0),"")</f>
        <v>28</v>
      </c>
    </row>
    <row r="33" customFormat="false" ht="15" hidden="false" customHeight="true" outlineLevel="0" collapsed="false">
      <c r="A33" s="6" t="str">
        <f aca="false">IF($K33="","",IF(INDEX('Prospect Tracker'!$W$5:$W$554,$K33)="","",INDEX('Prospect Tracker'!$W$5:$W$554,$K33)))</f>
        <v/>
      </c>
      <c r="B33" s="6" t="str">
        <f aca="false">IF($K33="","",IF(INDEX('Prospect Tracker'!$A$5:$A$554,$K33)="","",INDEX('Prospect Tracker'!$A$5:$A$554,$K33)))</f>
        <v/>
      </c>
      <c r="C33" s="6" t="str">
        <f aca="false">IF($K33="","",IF(INDEX('Prospect Tracker'!$B$5:$B$554,$K33)="","",INDEX('Prospect Tracker'!$B$5:$B$554,$K33)))</f>
        <v/>
      </c>
      <c r="D33" s="6" t="str">
        <f aca="false">IF($K33="","",IF(INDEX('Prospect Tracker'!$M$5:$M$554,$K33)="","",INDEX('Prospect Tracker'!$M$5:$M$554,$K33)))</f>
        <v/>
      </c>
      <c r="E33" s="6" t="str">
        <f aca="false">IF($K33="","",IF(INDEX('Prospect Tracker'!$R$5:$R$554,$K33)="","",INDEX('Prospect Tracker'!$R$5:$R$554,$K33)))</f>
        <v/>
      </c>
      <c r="F33" s="6" t="str">
        <f aca="false">IF($K33="","",IF(INDEX('Prospect Tracker'!$J$5:$J$554,$K33)="","",INDEX('Prospect Tracker'!$J$5:$J$554,$K33)))</f>
        <v/>
      </c>
      <c r="G33" s="6" t="str">
        <f aca="false">IF($K33="","",IF(INDEX('Prospect Tracker'!$H$5:$H$554,$K33)="","",INDEX('Prospect Tracker'!$H$5:$H$554,$K33)))</f>
        <v/>
      </c>
      <c r="H33" s="7" t="str">
        <f aca="false">IF($K33="","",IF(INDEX('Prospect Tracker'!$K$5:$K$554,$K33)="","",INDEX('Prospect Tracker'!$K$5:$K$554,$K33)))</f>
        <v/>
      </c>
      <c r="I33" s="6" t="str">
        <f aca="false">IF($K33="","",IF(INDEX('Prospect Tracker'!$T$5:$T$554,$K33)="","",INDEX('Prospect Tracker'!$T$5:$T$554,$K33)))</f>
        <v/>
      </c>
      <c r="J33" s="6" t="str">
        <f aca="false">IF($K33="","",IF(INDEX('Prospect Tracker'!$L$5:$L$554,$K33)="","",INDEX('Prospect Tracker'!$L$5:$L$554,$K33)))</f>
        <v/>
      </c>
      <c r="K33" s="1" t="n">
        <f aca="false">IFERROR(MATCH(SMALL('Prospect Tracker'!$X$5:$X$554,ROW()-4),'Prospect Tracker'!$X$5:$X$554,0),"")</f>
        <v>29</v>
      </c>
    </row>
    <row r="34" customFormat="false" ht="15" hidden="false" customHeight="true" outlineLevel="0" collapsed="false">
      <c r="A34" s="11" t="str">
        <f aca="false">IF($K34="","",IF(INDEX('Prospect Tracker'!$W$5:$W$554,$K34)="","",INDEX('Prospect Tracker'!$W$5:$W$554,$K34)))</f>
        <v/>
      </c>
      <c r="B34" s="11" t="str">
        <f aca="false">IF($K34="","",IF(INDEX('Prospect Tracker'!$A$5:$A$554,$K34)="","",INDEX('Prospect Tracker'!$A$5:$A$554,$K34)))</f>
        <v/>
      </c>
      <c r="C34" s="11" t="str">
        <f aca="false">IF($K34="","",IF(INDEX('Prospect Tracker'!$B$5:$B$554,$K34)="","",INDEX('Prospect Tracker'!$B$5:$B$554,$K34)))</f>
        <v/>
      </c>
      <c r="D34" s="11" t="str">
        <f aca="false">IF($K34="","",IF(INDEX('Prospect Tracker'!$M$5:$M$554,$K34)="","",INDEX('Prospect Tracker'!$M$5:$M$554,$K34)))</f>
        <v/>
      </c>
      <c r="E34" s="11" t="str">
        <f aca="false">IF($K34="","",IF(INDEX('Prospect Tracker'!$R$5:$R$554,$K34)="","",INDEX('Prospect Tracker'!$R$5:$R$554,$K34)))</f>
        <v/>
      </c>
      <c r="F34" s="11" t="str">
        <f aca="false">IF($K34="","",IF(INDEX('Prospect Tracker'!$J$5:$J$554,$K34)="","",INDEX('Prospect Tracker'!$J$5:$J$554,$K34)))</f>
        <v/>
      </c>
      <c r="G34" s="11" t="str">
        <f aca="false">IF($K34="","",IF(INDEX('Prospect Tracker'!$H$5:$H$554,$K34)="","",INDEX('Prospect Tracker'!$H$5:$H$554,$K34)))</f>
        <v/>
      </c>
      <c r="H34" s="12" t="str">
        <f aca="false">IF($K34="","",IF(INDEX('Prospect Tracker'!$K$5:$K$554,$K34)="","",INDEX('Prospect Tracker'!$K$5:$K$554,$K34)))</f>
        <v/>
      </c>
      <c r="I34" s="11" t="str">
        <f aca="false">IF($K34="","",IF(INDEX('Prospect Tracker'!$T$5:$T$554,$K34)="","",INDEX('Prospect Tracker'!$T$5:$T$554,$K34)))</f>
        <v/>
      </c>
      <c r="J34" s="11" t="str">
        <f aca="false">IF($K34="","",IF(INDEX('Prospect Tracker'!$L$5:$L$554,$K34)="","",INDEX('Prospect Tracker'!$L$5:$L$554,$K34)))</f>
        <v/>
      </c>
      <c r="K34" s="1" t="n">
        <f aca="false">IFERROR(MATCH(SMALL('Prospect Tracker'!$X$5:$X$554,ROW()-4),'Prospect Tracker'!$X$5:$X$554,0),"")</f>
        <v>30</v>
      </c>
    </row>
    <row r="35" customFormat="false" ht="15" hidden="false" customHeight="true" outlineLevel="0" collapsed="false">
      <c r="A35" s="6" t="str">
        <f aca="false">IF($K35="","",IF(INDEX('Prospect Tracker'!$W$5:$W$554,$K35)="","",INDEX('Prospect Tracker'!$W$5:$W$554,$K35)))</f>
        <v/>
      </c>
      <c r="B35" s="6" t="str">
        <f aca="false">IF($K35="","",IF(INDEX('Prospect Tracker'!$A$5:$A$554,$K35)="","",INDEX('Prospect Tracker'!$A$5:$A$554,$K35)))</f>
        <v/>
      </c>
      <c r="C35" s="6" t="str">
        <f aca="false">IF($K35="","",IF(INDEX('Prospect Tracker'!$B$5:$B$554,$K35)="","",INDEX('Prospect Tracker'!$B$5:$B$554,$K35)))</f>
        <v/>
      </c>
      <c r="D35" s="6" t="str">
        <f aca="false">IF($K35="","",IF(INDEX('Prospect Tracker'!$M$5:$M$554,$K35)="","",INDEX('Prospect Tracker'!$M$5:$M$554,$K35)))</f>
        <v/>
      </c>
      <c r="E35" s="6" t="str">
        <f aca="false">IF($K35="","",IF(INDEX('Prospect Tracker'!$R$5:$R$554,$K35)="","",INDEX('Prospect Tracker'!$R$5:$R$554,$K35)))</f>
        <v/>
      </c>
      <c r="F35" s="6" t="str">
        <f aca="false">IF($K35="","",IF(INDEX('Prospect Tracker'!$J$5:$J$554,$K35)="","",INDEX('Prospect Tracker'!$J$5:$J$554,$K35)))</f>
        <v/>
      </c>
      <c r="G35" s="6" t="str">
        <f aca="false">IF($K35="","",IF(INDEX('Prospect Tracker'!$H$5:$H$554,$K35)="","",INDEX('Prospect Tracker'!$H$5:$H$554,$K35)))</f>
        <v/>
      </c>
      <c r="H35" s="7" t="str">
        <f aca="false">IF($K35="","",IF(INDEX('Prospect Tracker'!$K$5:$K$554,$K35)="","",INDEX('Prospect Tracker'!$K$5:$K$554,$K35)))</f>
        <v/>
      </c>
      <c r="I35" s="6" t="str">
        <f aca="false">IF($K35="","",IF(INDEX('Prospect Tracker'!$T$5:$T$554,$K35)="","",INDEX('Prospect Tracker'!$T$5:$T$554,$K35)))</f>
        <v/>
      </c>
      <c r="J35" s="6" t="str">
        <f aca="false">IF($K35="","",IF(INDEX('Prospect Tracker'!$L$5:$L$554,$K35)="","",INDEX('Prospect Tracker'!$L$5:$L$554,$K35)))</f>
        <v/>
      </c>
      <c r="K35" s="1" t="n">
        <f aca="false">IFERROR(MATCH(SMALL('Prospect Tracker'!$X$5:$X$554,ROW()-4),'Prospect Tracker'!$X$5:$X$554,0),"")</f>
        <v>31</v>
      </c>
    </row>
    <row r="36" customFormat="false" ht="15" hidden="false" customHeight="true" outlineLevel="0" collapsed="false">
      <c r="A36" s="11" t="str">
        <f aca="false">IF($K36="","",IF(INDEX('Prospect Tracker'!$W$5:$W$554,$K36)="","",INDEX('Prospect Tracker'!$W$5:$W$554,$K36)))</f>
        <v/>
      </c>
      <c r="B36" s="11" t="str">
        <f aca="false">IF($K36="","",IF(INDEX('Prospect Tracker'!$A$5:$A$554,$K36)="","",INDEX('Prospect Tracker'!$A$5:$A$554,$K36)))</f>
        <v/>
      </c>
      <c r="C36" s="11" t="str">
        <f aca="false">IF($K36="","",IF(INDEX('Prospect Tracker'!$B$5:$B$554,$K36)="","",INDEX('Prospect Tracker'!$B$5:$B$554,$K36)))</f>
        <v/>
      </c>
      <c r="D36" s="11" t="str">
        <f aca="false">IF($K36="","",IF(INDEX('Prospect Tracker'!$M$5:$M$554,$K36)="","",INDEX('Prospect Tracker'!$M$5:$M$554,$K36)))</f>
        <v/>
      </c>
      <c r="E36" s="11" t="str">
        <f aca="false">IF($K36="","",IF(INDEX('Prospect Tracker'!$R$5:$R$554,$K36)="","",INDEX('Prospect Tracker'!$R$5:$R$554,$K36)))</f>
        <v/>
      </c>
      <c r="F36" s="11" t="str">
        <f aca="false">IF($K36="","",IF(INDEX('Prospect Tracker'!$J$5:$J$554,$K36)="","",INDEX('Prospect Tracker'!$J$5:$J$554,$K36)))</f>
        <v/>
      </c>
      <c r="G36" s="11" t="str">
        <f aca="false">IF($K36="","",IF(INDEX('Prospect Tracker'!$H$5:$H$554,$K36)="","",INDEX('Prospect Tracker'!$H$5:$H$554,$K36)))</f>
        <v/>
      </c>
      <c r="H36" s="12" t="str">
        <f aca="false">IF($K36="","",IF(INDEX('Prospect Tracker'!$K$5:$K$554,$K36)="","",INDEX('Prospect Tracker'!$K$5:$K$554,$K36)))</f>
        <v/>
      </c>
      <c r="I36" s="11" t="str">
        <f aca="false">IF($K36="","",IF(INDEX('Prospect Tracker'!$T$5:$T$554,$K36)="","",INDEX('Prospect Tracker'!$T$5:$T$554,$K36)))</f>
        <v/>
      </c>
      <c r="J36" s="11" t="str">
        <f aca="false">IF($K36="","",IF(INDEX('Prospect Tracker'!$L$5:$L$554,$K36)="","",INDEX('Prospect Tracker'!$L$5:$L$554,$K36)))</f>
        <v/>
      </c>
      <c r="K36" s="1" t="n">
        <f aca="false">IFERROR(MATCH(SMALL('Prospect Tracker'!$X$5:$X$554,ROW()-4),'Prospect Tracker'!$X$5:$X$554,0),"")</f>
        <v>32</v>
      </c>
    </row>
    <row r="37" customFormat="false" ht="15" hidden="false" customHeight="true" outlineLevel="0" collapsed="false">
      <c r="A37" s="6" t="str">
        <f aca="false">IF($K37="","",IF(INDEX('Prospect Tracker'!$W$5:$W$554,$K37)="","",INDEX('Prospect Tracker'!$W$5:$W$554,$K37)))</f>
        <v/>
      </c>
      <c r="B37" s="6" t="str">
        <f aca="false">IF($K37="","",IF(INDEX('Prospect Tracker'!$A$5:$A$554,$K37)="","",INDEX('Prospect Tracker'!$A$5:$A$554,$K37)))</f>
        <v/>
      </c>
      <c r="C37" s="6" t="str">
        <f aca="false">IF($K37="","",IF(INDEX('Prospect Tracker'!$B$5:$B$554,$K37)="","",INDEX('Prospect Tracker'!$B$5:$B$554,$K37)))</f>
        <v/>
      </c>
      <c r="D37" s="6" t="str">
        <f aca="false">IF($K37="","",IF(INDEX('Prospect Tracker'!$M$5:$M$554,$K37)="","",INDEX('Prospect Tracker'!$M$5:$M$554,$K37)))</f>
        <v/>
      </c>
      <c r="E37" s="6" t="str">
        <f aca="false">IF($K37="","",IF(INDEX('Prospect Tracker'!$R$5:$R$554,$K37)="","",INDEX('Prospect Tracker'!$R$5:$R$554,$K37)))</f>
        <v/>
      </c>
      <c r="F37" s="6" t="str">
        <f aca="false">IF($K37="","",IF(INDEX('Prospect Tracker'!$J$5:$J$554,$K37)="","",INDEX('Prospect Tracker'!$J$5:$J$554,$K37)))</f>
        <v/>
      </c>
      <c r="G37" s="6" t="str">
        <f aca="false">IF($K37="","",IF(INDEX('Prospect Tracker'!$H$5:$H$554,$K37)="","",INDEX('Prospect Tracker'!$H$5:$H$554,$K37)))</f>
        <v/>
      </c>
      <c r="H37" s="7" t="str">
        <f aca="false">IF($K37="","",IF(INDEX('Prospect Tracker'!$K$5:$K$554,$K37)="","",INDEX('Prospect Tracker'!$K$5:$K$554,$K37)))</f>
        <v/>
      </c>
      <c r="I37" s="6" t="str">
        <f aca="false">IF($K37="","",IF(INDEX('Prospect Tracker'!$T$5:$T$554,$K37)="","",INDEX('Prospect Tracker'!$T$5:$T$554,$K37)))</f>
        <v/>
      </c>
      <c r="J37" s="6" t="str">
        <f aca="false">IF($K37="","",IF(INDEX('Prospect Tracker'!$L$5:$L$554,$K37)="","",INDEX('Prospect Tracker'!$L$5:$L$554,$K37)))</f>
        <v/>
      </c>
      <c r="K37" s="1" t="n">
        <f aca="false">IFERROR(MATCH(SMALL('Prospect Tracker'!$X$5:$X$554,ROW()-4),'Prospect Tracker'!$X$5:$X$554,0),"")</f>
        <v>33</v>
      </c>
    </row>
    <row r="38" customFormat="false" ht="15" hidden="false" customHeight="true" outlineLevel="0" collapsed="false">
      <c r="A38" s="11" t="str">
        <f aca="false">IF($K38="","",IF(INDEX('Prospect Tracker'!$W$5:$W$554,$K38)="","",INDEX('Prospect Tracker'!$W$5:$W$554,$K38)))</f>
        <v/>
      </c>
      <c r="B38" s="11" t="str">
        <f aca="false">IF($K38="","",IF(INDEX('Prospect Tracker'!$A$5:$A$554,$K38)="","",INDEX('Prospect Tracker'!$A$5:$A$554,$K38)))</f>
        <v/>
      </c>
      <c r="C38" s="11" t="str">
        <f aca="false">IF($K38="","",IF(INDEX('Prospect Tracker'!$B$5:$B$554,$K38)="","",INDEX('Prospect Tracker'!$B$5:$B$554,$K38)))</f>
        <v/>
      </c>
      <c r="D38" s="11" t="str">
        <f aca="false">IF($K38="","",IF(INDEX('Prospect Tracker'!$M$5:$M$554,$K38)="","",INDEX('Prospect Tracker'!$M$5:$M$554,$K38)))</f>
        <v/>
      </c>
      <c r="E38" s="11" t="str">
        <f aca="false">IF($K38="","",IF(INDEX('Prospect Tracker'!$R$5:$R$554,$K38)="","",INDEX('Prospect Tracker'!$R$5:$R$554,$K38)))</f>
        <v/>
      </c>
      <c r="F38" s="11" t="str">
        <f aca="false">IF($K38="","",IF(INDEX('Prospect Tracker'!$J$5:$J$554,$K38)="","",INDEX('Prospect Tracker'!$J$5:$J$554,$K38)))</f>
        <v/>
      </c>
      <c r="G38" s="11" t="str">
        <f aca="false">IF($K38="","",IF(INDEX('Prospect Tracker'!$H$5:$H$554,$K38)="","",INDEX('Prospect Tracker'!$H$5:$H$554,$K38)))</f>
        <v/>
      </c>
      <c r="H38" s="12" t="str">
        <f aca="false">IF($K38="","",IF(INDEX('Prospect Tracker'!$K$5:$K$554,$K38)="","",INDEX('Prospect Tracker'!$K$5:$K$554,$K38)))</f>
        <v/>
      </c>
      <c r="I38" s="11" t="str">
        <f aca="false">IF($K38="","",IF(INDEX('Prospect Tracker'!$T$5:$T$554,$K38)="","",INDEX('Prospect Tracker'!$T$5:$T$554,$K38)))</f>
        <v/>
      </c>
      <c r="J38" s="11" t="str">
        <f aca="false">IF($K38="","",IF(INDEX('Prospect Tracker'!$L$5:$L$554,$K38)="","",INDEX('Prospect Tracker'!$L$5:$L$554,$K38)))</f>
        <v/>
      </c>
      <c r="K38" s="1" t="n">
        <f aca="false">IFERROR(MATCH(SMALL('Prospect Tracker'!$X$5:$X$554,ROW()-4),'Prospect Tracker'!$X$5:$X$554,0),"")</f>
        <v>34</v>
      </c>
    </row>
    <row r="39" customFormat="false" ht="15" hidden="false" customHeight="true" outlineLevel="0" collapsed="false">
      <c r="A39" s="6" t="str">
        <f aca="false">IF($K39="","",IF(INDEX('Prospect Tracker'!$W$5:$W$554,$K39)="","",INDEX('Prospect Tracker'!$W$5:$W$554,$K39)))</f>
        <v/>
      </c>
      <c r="B39" s="6" t="str">
        <f aca="false">IF($K39="","",IF(INDEX('Prospect Tracker'!$A$5:$A$554,$K39)="","",INDEX('Prospect Tracker'!$A$5:$A$554,$K39)))</f>
        <v/>
      </c>
      <c r="C39" s="6" t="str">
        <f aca="false">IF($K39="","",IF(INDEX('Prospect Tracker'!$B$5:$B$554,$K39)="","",INDEX('Prospect Tracker'!$B$5:$B$554,$K39)))</f>
        <v/>
      </c>
      <c r="D39" s="6" t="str">
        <f aca="false">IF($K39="","",IF(INDEX('Prospect Tracker'!$M$5:$M$554,$K39)="","",INDEX('Prospect Tracker'!$M$5:$M$554,$K39)))</f>
        <v/>
      </c>
      <c r="E39" s="6" t="str">
        <f aca="false">IF($K39="","",IF(INDEX('Prospect Tracker'!$R$5:$R$554,$K39)="","",INDEX('Prospect Tracker'!$R$5:$R$554,$K39)))</f>
        <v/>
      </c>
      <c r="F39" s="6" t="str">
        <f aca="false">IF($K39="","",IF(INDEX('Prospect Tracker'!$J$5:$J$554,$K39)="","",INDEX('Prospect Tracker'!$J$5:$J$554,$K39)))</f>
        <v/>
      </c>
      <c r="G39" s="6" t="str">
        <f aca="false">IF($K39="","",IF(INDEX('Prospect Tracker'!$H$5:$H$554,$K39)="","",INDEX('Prospect Tracker'!$H$5:$H$554,$K39)))</f>
        <v/>
      </c>
      <c r="H39" s="7" t="str">
        <f aca="false">IF($K39="","",IF(INDEX('Prospect Tracker'!$K$5:$K$554,$K39)="","",INDEX('Prospect Tracker'!$K$5:$K$554,$K39)))</f>
        <v/>
      </c>
      <c r="I39" s="6" t="str">
        <f aca="false">IF($K39="","",IF(INDEX('Prospect Tracker'!$T$5:$T$554,$K39)="","",INDEX('Prospect Tracker'!$T$5:$T$554,$K39)))</f>
        <v/>
      </c>
      <c r="J39" s="6" t="str">
        <f aca="false">IF($K39="","",IF(INDEX('Prospect Tracker'!$L$5:$L$554,$K39)="","",INDEX('Prospect Tracker'!$L$5:$L$554,$K39)))</f>
        <v/>
      </c>
      <c r="K39" s="1" t="n">
        <f aca="false">IFERROR(MATCH(SMALL('Prospect Tracker'!$X$5:$X$554,ROW()-4),'Prospect Tracker'!$X$5:$X$554,0),"")</f>
        <v>35</v>
      </c>
    </row>
    <row r="40" customFormat="false" ht="15" hidden="false" customHeight="true" outlineLevel="0" collapsed="false">
      <c r="A40" s="11" t="str">
        <f aca="false">IF($K40="","",IF(INDEX('Prospect Tracker'!$W$5:$W$554,$K40)="","",INDEX('Prospect Tracker'!$W$5:$W$554,$K40)))</f>
        <v/>
      </c>
      <c r="B40" s="11" t="str">
        <f aca="false">IF($K40="","",IF(INDEX('Prospect Tracker'!$A$5:$A$554,$K40)="","",INDEX('Prospect Tracker'!$A$5:$A$554,$K40)))</f>
        <v/>
      </c>
      <c r="C40" s="11" t="str">
        <f aca="false">IF($K40="","",IF(INDEX('Prospect Tracker'!$B$5:$B$554,$K40)="","",INDEX('Prospect Tracker'!$B$5:$B$554,$K40)))</f>
        <v/>
      </c>
      <c r="D40" s="11" t="str">
        <f aca="false">IF($K40="","",IF(INDEX('Prospect Tracker'!$M$5:$M$554,$K40)="","",INDEX('Prospect Tracker'!$M$5:$M$554,$K40)))</f>
        <v/>
      </c>
      <c r="E40" s="11" t="str">
        <f aca="false">IF($K40="","",IF(INDEX('Prospect Tracker'!$R$5:$R$554,$K40)="","",INDEX('Prospect Tracker'!$R$5:$R$554,$K40)))</f>
        <v/>
      </c>
      <c r="F40" s="11" t="str">
        <f aca="false">IF($K40="","",IF(INDEX('Prospect Tracker'!$J$5:$J$554,$K40)="","",INDEX('Prospect Tracker'!$J$5:$J$554,$K40)))</f>
        <v/>
      </c>
      <c r="G40" s="11" t="str">
        <f aca="false">IF($K40="","",IF(INDEX('Prospect Tracker'!$H$5:$H$554,$K40)="","",INDEX('Prospect Tracker'!$H$5:$H$554,$K40)))</f>
        <v/>
      </c>
      <c r="H40" s="12" t="str">
        <f aca="false">IF($K40="","",IF(INDEX('Prospect Tracker'!$K$5:$K$554,$K40)="","",INDEX('Prospect Tracker'!$K$5:$K$554,$K40)))</f>
        <v/>
      </c>
      <c r="I40" s="11" t="str">
        <f aca="false">IF($K40="","",IF(INDEX('Prospect Tracker'!$T$5:$T$554,$K40)="","",INDEX('Prospect Tracker'!$T$5:$T$554,$K40)))</f>
        <v/>
      </c>
      <c r="J40" s="11" t="str">
        <f aca="false">IF($K40="","",IF(INDEX('Prospect Tracker'!$L$5:$L$554,$K40)="","",INDEX('Prospect Tracker'!$L$5:$L$554,$K40)))</f>
        <v/>
      </c>
      <c r="K40" s="1" t="n">
        <f aca="false">IFERROR(MATCH(SMALL('Prospect Tracker'!$X$5:$X$554,ROW()-4),'Prospect Tracker'!$X$5:$X$554,0),"")</f>
        <v>36</v>
      </c>
    </row>
    <row r="41" customFormat="false" ht="15" hidden="false" customHeight="true" outlineLevel="0" collapsed="false">
      <c r="A41" s="6" t="str">
        <f aca="false">IF($K41="","",IF(INDEX('Prospect Tracker'!$W$5:$W$554,$K41)="","",INDEX('Prospect Tracker'!$W$5:$W$554,$K41)))</f>
        <v/>
      </c>
      <c r="B41" s="6" t="str">
        <f aca="false">IF($K41="","",IF(INDEX('Prospect Tracker'!$A$5:$A$554,$K41)="","",INDEX('Prospect Tracker'!$A$5:$A$554,$K41)))</f>
        <v/>
      </c>
      <c r="C41" s="6" t="str">
        <f aca="false">IF($K41="","",IF(INDEX('Prospect Tracker'!$B$5:$B$554,$K41)="","",INDEX('Prospect Tracker'!$B$5:$B$554,$K41)))</f>
        <v/>
      </c>
      <c r="D41" s="6" t="str">
        <f aca="false">IF($K41="","",IF(INDEX('Prospect Tracker'!$M$5:$M$554,$K41)="","",INDEX('Prospect Tracker'!$M$5:$M$554,$K41)))</f>
        <v/>
      </c>
      <c r="E41" s="6" t="str">
        <f aca="false">IF($K41="","",IF(INDEX('Prospect Tracker'!$R$5:$R$554,$K41)="","",INDEX('Prospect Tracker'!$R$5:$R$554,$K41)))</f>
        <v/>
      </c>
      <c r="F41" s="6" t="str">
        <f aca="false">IF($K41="","",IF(INDEX('Prospect Tracker'!$J$5:$J$554,$K41)="","",INDEX('Prospect Tracker'!$J$5:$J$554,$K41)))</f>
        <v/>
      </c>
      <c r="G41" s="6" t="str">
        <f aca="false">IF($K41="","",IF(INDEX('Prospect Tracker'!$H$5:$H$554,$K41)="","",INDEX('Prospect Tracker'!$H$5:$H$554,$K41)))</f>
        <v/>
      </c>
      <c r="H41" s="7" t="str">
        <f aca="false">IF($K41="","",IF(INDEX('Prospect Tracker'!$K$5:$K$554,$K41)="","",INDEX('Prospect Tracker'!$K$5:$K$554,$K41)))</f>
        <v/>
      </c>
      <c r="I41" s="6" t="str">
        <f aca="false">IF($K41="","",IF(INDEX('Prospect Tracker'!$T$5:$T$554,$K41)="","",INDEX('Prospect Tracker'!$T$5:$T$554,$K41)))</f>
        <v/>
      </c>
      <c r="J41" s="6" t="str">
        <f aca="false">IF($K41="","",IF(INDEX('Prospect Tracker'!$L$5:$L$554,$K41)="","",INDEX('Prospect Tracker'!$L$5:$L$554,$K41)))</f>
        <v/>
      </c>
      <c r="K41" s="1" t="n">
        <f aca="false">IFERROR(MATCH(SMALL('Prospect Tracker'!$X$5:$X$554,ROW()-4),'Prospect Tracker'!$X$5:$X$554,0),"")</f>
        <v>37</v>
      </c>
    </row>
    <row r="42" customFormat="false" ht="15" hidden="false" customHeight="true" outlineLevel="0" collapsed="false">
      <c r="A42" s="11" t="str">
        <f aca="false">IF($K42="","",IF(INDEX('Prospect Tracker'!$W$5:$W$554,$K42)="","",INDEX('Prospect Tracker'!$W$5:$W$554,$K42)))</f>
        <v/>
      </c>
      <c r="B42" s="11" t="str">
        <f aca="false">IF($K42="","",IF(INDEX('Prospect Tracker'!$A$5:$A$554,$K42)="","",INDEX('Prospect Tracker'!$A$5:$A$554,$K42)))</f>
        <v/>
      </c>
      <c r="C42" s="11" t="str">
        <f aca="false">IF($K42="","",IF(INDEX('Prospect Tracker'!$B$5:$B$554,$K42)="","",INDEX('Prospect Tracker'!$B$5:$B$554,$K42)))</f>
        <v/>
      </c>
      <c r="D42" s="11" t="str">
        <f aca="false">IF($K42="","",IF(INDEX('Prospect Tracker'!$M$5:$M$554,$K42)="","",INDEX('Prospect Tracker'!$M$5:$M$554,$K42)))</f>
        <v/>
      </c>
      <c r="E42" s="11" t="str">
        <f aca="false">IF($K42="","",IF(INDEX('Prospect Tracker'!$R$5:$R$554,$K42)="","",INDEX('Prospect Tracker'!$R$5:$R$554,$K42)))</f>
        <v/>
      </c>
      <c r="F42" s="11" t="str">
        <f aca="false">IF($K42="","",IF(INDEX('Prospect Tracker'!$J$5:$J$554,$K42)="","",INDEX('Prospect Tracker'!$J$5:$J$554,$K42)))</f>
        <v/>
      </c>
      <c r="G42" s="11" t="str">
        <f aca="false">IF($K42="","",IF(INDEX('Prospect Tracker'!$H$5:$H$554,$K42)="","",INDEX('Prospect Tracker'!$H$5:$H$554,$K42)))</f>
        <v/>
      </c>
      <c r="H42" s="12" t="str">
        <f aca="false">IF($K42="","",IF(INDEX('Prospect Tracker'!$K$5:$K$554,$K42)="","",INDEX('Prospect Tracker'!$K$5:$K$554,$K42)))</f>
        <v/>
      </c>
      <c r="I42" s="11" t="str">
        <f aca="false">IF($K42="","",IF(INDEX('Prospect Tracker'!$T$5:$T$554,$K42)="","",INDEX('Prospect Tracker'!$T$5:$T$554,$K42)))</f>
        <v/>
      </c>
      <c r="J42" s="11" t="str">
        <f aca="false">IF($K42="","",IF(INDEX('Prospect Tracker'!$L$5:$L$554,$K42)="","",INDEX('Prospect Tracker'!$L$5:$L$554,$K42)))</f>
        <v/>
      </c>
      <c r="K42" s="1" t="n">
        <f aca="false">IFERROR(MATCH(SMALL('Prospect Tracker'!$X$5:$X$554,ROW()-4),'Prospect Tracker'!$X$5:$X$554,0),"")</f>
        <v>38</v>
      </c>
    </row>
    <row r="43" customFormat="false" ht="15" hidden="false" customHeight="true" outlineLevel="0" collapsed="false">
      <c r="A43" s="6" t="str">
        <f aca="false">IF($K43="","",IF(INDEX('Prospect Tracker'!$W$5:$W$554,$K43)="","",INDEX('Prospect Tracker'!$W$5:$W$554,$K43)))</f>
        <v/>
      </c>
      <c r="B43" s="6" t="str">
        <f aca="false">IF($K43="","",IF(INDEX('Prospect Tracker'!$A$5:$A$554,$K43)="","",INDEX('Prospect Tracker'!$A$5:$A$554,$K43)))</f>
        <v/>
      </c>
      <c r="C43" s="6" t="str">
        <f aca="false">IF($K43="","",IF(INDEX('Prospect Tracker'!$B$5:$B$554,$K43)="","",INDEX('Prospect Tracker'!$B$5:$B$554,$K43)))</f>
        <v/>
      </c>
      <c r="D43" s="6" t="str">
        <f aca="false">IF($K43="","",IF(INDEX('Prospect Tracker'!$M$5:$M$554,$K43)="","",INDEX('Prospect Tracker'!$M$5:$M$554,$K43)))</f>
        <v/>
      </c>
      <c r="E43" s="6" t="str">
        <f aca="false">IF($K43="","",IF(INDEX('Prospect Tracker'!$R$5:$R$554,$K43)="","",INDEX('Prospect Tracker'!$R$5:$R$554,$K43)))</f>
        <v/>
      </c>
      <c r="F43" s="6" t="str">
        <f aca="false">IF($K43="","",IF(INDEX('Prospect Tracker'!$J$5:$J$554,$K43)="","",INDEX('Prospect Tracker'!$J$5:$J$554,$K43)))</f>
        <v/>
      </c>
      <c r="G43" s="6" t="str">
        <f aca="false">IF($K43="","",IF(INDEX('Prospect Tracker'!$H$5:$H$554,$K43)="","",INDEX('Prospect Tracker'!$H$5:$H$554,$K43)))</f>
        <v/>
      </c>
      <c r="H43" s="7" t="str">
        <f aca="false">IF($K43="","",IF(INDEX('Prospect Tracker'!$K$5:$K$554,$K43)="","",INDEX('Prospect Tracker'!$K$5:$K$554,$K43)))</f>
        <v/>
      </c>
      <c r="I43" s="6" t="str">
        <f aca="false">IF($K43="","",IF(INDEX('Prospect Tracker'!$T$5:$T$554,$K43)="","",INDEX('Prospect Tracker'!$T$5:$T$554,$K43)))</f>
        <v/>
      </c>
      <c r="J43" s="6" t="str">
        <f aca="false">IF($K43="","",IF(INDEX('Prospect Tracker'!$L$5:$L$554,$K43)="","",INDEX('Prospect Tracker'!$L$5:$L$554,$K43)))</f>
        <v/>
      </c>
      <c r="K43" s="1" t="n">
        <f aca="false">IFERROR(MATCH(SMALL('Prospect Tracker'!$X$5:$X$554,ROW()-4),'Prospect Tracker'!$X$5:$X$554,0),"")</f>
        <v>39</v>
      </c>
    </row>
    <row r="44" customFormat="false" ht="15" hidden="false" customHeight="true" outlineLevel="0" collapsed="false">
      <c r="A44" s="11" t="str">
        <f aca="false">IF($K44="","",IF(INDEX('Prospect Tracker'!$W$5:$W$554,$K44)="","",INDEX('Prospect Tracker'!$W$5:$W$554,$K44)))</f>
        <v/>
      </c>
      <c r="B44" s="11" t="str">
        <f aca="false">IF($K44="","",IF(INDEX('Prospect Tracker'!$A$5:$A$554,$K44)="","",INDEX('Prospect Tracker'!$A$5:$A$554,$K44)))</f>
        <v/>
      </c>
      <c r="C44" s="11" t="str">
        <f aca="false">IF($K44="","",IF(INDEX('Prospect Tracker'!$B$5:$B$554,$K44)="","",INDEX('Prospect Tracker'!$B$5:$B$554,$K44)))</f>
        <v/>
      </c>
      <c r="D44" s="11" t="str">
        <f aca="false">IF($K44="","",IF(INDEX('Prospect Tracker'!$M$5:$M$554,$K44)="","",INDEX('Prospect Tracker'!$M$5:$M$554,$K44)))</f>
        <v/>
      </c>
      <c r="E44" s="11" t="str">
        <f aca="false">IF($K44="","",IF(INDEX('Prospect Tracker'!$R$5:$R$554,$K44)="","",INDEX('Prospect Tracker'!$R$5:$R$554,$K44)))</f>
        <v/>
      </c>
      <c r="F44" s="11" t="str">
        <f aca="false">IF($K44="","",IF(INDEX('Prospect Tracker'!$J$5:$J$554,$K44)="","",INDEX('Prospect Tracker'!$J$5:$J$554,$K44)))</f>
        <v/>
      </c>
      <c r="G44" s="11" t="str">
        <f aca="false">IF($K44="","",IF(INDEX('Prospect Tracker'!$H$5:$H$554,$K44)="","",INDEX('Prospect Tracker'!$H$5:$H$554,$K44)))</f>
        <v/>
      </c>
      <c r="H44" s="12" t="str">
        <f aca="false">IF($K44="","",IF(INDEX('Prospect Tracker'!$K$5:$K$554,$K44)="","",INDEX('Prospect Tracker'!$K$5:$K$554,$K44)))</f>
        <v/>
      </c>
      <c r="I44" s="11" t="str">
        <f aca="false">IF($K44="","",IF(INDEX('Prospect Tracker'!$T$5:$T$554,$K44)="","",INDEX('Prospect Tracker'!$T$5:$T$554,$K44)))</f>
        <v/>
      </c>
      <c r="J44" s="11" t="str">
        <f aca="false">IF($K44="","",IF(INDEX('Prospect Tracker'!$L$5:$L$554,$K44)="","",INDEX('Prospect Tracker'!$L$5:$L$554,$K44)))</f>
        <v/>
      </c>
      <c r="K44" s="1" t="n">
        <f aca="false">IFERROR(MATCH(SMALL('Prospect Tracker'!$X$5:$X$554,ROW()-4),'Prospect Tracker'!$X$5:$X$554,0),"")</f>
        <v>40</v>
      </c>
    </row>
    <row r="45" customFormat="false" ht="15" hidden="false" customHeight="true" outlineLevel="0" collapsed="false">
      <c r="A45" s="6" t="str">
        <f aca="false">IF($K45="","",IF(INDEX('Prospect Tracker'!$W$5:$W$554,$K45)="","",INDEX('Prospect Tracker'!$W$5:$W$554,$K45)))</f>
        <v/>
      </c>
      <c r="B45" s="6" t="str">
        <f aca="false">IF($K45="","",IF(INDEX('Prospect Tracker'!$A$5:$A$554,$K45)="","",INDEX('Prospect Tracker'!$A$5:$A$554,$K45)))</f>
        <v/>
      </c>
      <c r="C45" s="6" t="str">
        <f aca="false">IF($K45="","",IF(INDEX('Prospect Tracker'!$B$5:$B$554,$K45)="","",INDEX('Prospect Tracker'!$B$5:$B$554,$K45)))</f>
        <v/>
      </c>
      <c r="D45" s="6" t="str">
        <f aca="false">IF($K45="","",IF(INDEX('Prospect Tracker'!$M$5:$M$554,$K45)="","",INDEX('Prospect Tracker'!$M$5:$M$554,$K45)))</f>
        <v/>
      </c>
      <c r="E45" s="6" t="str">
        <f aca="false">IF($K45="","",IF(INDEX('Prospect Tracker'!$R$5:$R$554,$K45)="","",INDEX('Prospect Tracker'!$R$5:$R$554,$K45)))</f>
        <v/>
      </c>
      <c r="F45" s="6" t="str">
        <f aca="false">IF($K45="","",IF(INDEX('Prospect Tracker'!$J$5:$J$554,$K45)="","",INDEX('Prospect Tracker'!$J$5:$J$554,$K45)))</f>
        <v/>
      </c>
      <c r="G45" s="6" t="str">
        <f aca="false">IF($K45="","",IF(INDEX('Prospect Tracker'!$H$5:$H$554,$K45)="","",INDEX('Prospect Tracker'!$H$5:$H$554,$K45)))</f>
        <v/>
      </c>
      <c r="H45" s="7" t="str">
        <f aca="false">IF($K45="","",IF(INDEX('Prospect Tracker'!$K$5:$K$554,$K45)="","",INDEX('Prospect Tracker'!$K$5:$K$554,$K45)))</f>
        <v/>
      </c>
      <c r="I45" s="6" t="str">
        <f aca="false">IF($K45="","",IF(INDEX('Prospect Tracker'!$T$5:$T$554,$K45)="","",INDEX('Prospect Tracker'!$T$5:$T$554,$K45)))</f>
        <v/>
      </c>
      <c r="J45" s="6" t="str">
        <f aca="false">IF($K45="","",IF(INDEX('Prospect Tracker'!$L$5:$L$554,$K45)="","",INDEX('Prospect Tracker'!$L$5:$L$554,$K45)))</f>
        <v/>
      </c>
      <c r="K45" s="1" t="n">
        <f aca="false">IFERROR(MATCH(SMALL('Prospect Tracker'!$X$5:$X$554,ROW()-4),'Prospect Tracker'!$X$5:$X$554,0),"")</f>
        <v>41</v>
      </c>
    </row>
    <row r="46" customFormat="false" ht="15" hidden="false" customHeight="true" outlineLevel="0" collapsed="false">
      <c r="A46" s="11" t="str">
        <f aca="false">IF($K46="","",IF(INDEX('Prospect Tracker'!$W$5:$W$554,$K46)="","",INDEX('Prospect Tracker'!$W$5:$W$554,$K46)))</f>
        <v/>
      </c>
      <c r="B46" s="11" t="str">
        <f aca="false">IF($K46="","",IF(INDEX('Prospect Tracker'!$A$5:$A$554,$K46)="","",INDEX('Prospect Tracker'!$A$5:$A$554,$K46)))</f>
        <v/>
      </c>
      <c r="C46" s="11" t="str">
        <f aca="false">IF($K46="","",IF(INDEX('Prospect Tracker'!$B$5:$B$554,$K46)="","",INDEX('Prospect Tracker'!$B$5:$B$554,$K46)))</f>
        <v/>
      </c>
      <c r="D46" s="11" t="str">
        <f aca="false">IF($K46="","",IF(INDEX('Prospect Tracker'!$M$5:$M$554,$K46)="","",INDEX('Prospect Tracker'!$M$5:$M$554,$K46)))</f>
        <v/>
      </c>
      <c r="E46" s="11" t="str">
        <f aca="false">IF($K46="","",IF(INDEX('Prospect Tracker'!$R$5:$R$554,$K46)="","",INDEX('Prospect Tracker'!$R$5:$R$554,$K46)))</f>
        <v/>
      </c>
      <c r="F46" s="11" t="str">
        <f aca="false">IF($K46="","",IF(INDEX('Prospect Tracker'!$J$5:$J$554,$K46)="","",INDEX('Prospect Tracker'!$J$5:$J$554,$K46)))</f>
        <v/>
      </c>
      <c r="G46" s="11" t="str">
        <f aca="false">IF($K46="","",IF(INDEX('Prospect Tracker'!$H$5:$H$554,$K46)="","",INDEX('Prospect Tracker'!$H$5:$H$554,$K46)))</f>
        <v/>
      </c>
      <c r="H46" s="12" t="str">
        <f aca="false">IF($K46="","",IF(INDEX('Prospect Tracker'!$K$5:$K$554,$K46)="","",INDEX('Prospect Tracker'!$K$5:$K$554,$K46)))</f>
        <v/>
      </c>
      <c r="I46" s="11" t="str">
        <f aca="false">IF($K46="","",IF(INDEX('Prospect Tracker'!$T$5:$T$554,$K46)="","",INDEX('Prospect Tracker'!$T$5:$T$554,$K46)))</f>
        <v/>
      </c>
      <c r="J46" s="11" t="str">
        <f aca="false">IF($K46="","",IF(INDEX('Prospect Tracker'!$L$5:$L$554,$K46)="","",INDEX('Prospect Tracker'!$L$5:$L$554,$K46)))</f>
        <v/>
      </c>
      <c r="K46" s="1" t="n">
        <f aca="false">IFERROR(MATCH(SMALL('Prospect Tracker'!$X$5:$X$554,ROW()-4),'Prospect Tracker'!$X$5:$X$554,0),"")</f>
        <v>42</v>
      </c>
    </row>
    <row r="47" customFormat="false" ht="15" hidden="false" customHeight="true" outlineLevel="0" collapsed="false">
      <c r="A47" s="6" t="str">
        <f aca="false">IF($K47="","",IF(INDEX('Prospect Tracker'!$W$5:$W$554,$K47)="","",INDEX('Prospect Tracker'!$W$5:$W$554,$K47)))</f>
        <v/>
      </c>
      <c r="B47" s="6" t="str">
        <f aca="false">IF($K47="","",IF(INDEX('Prospect Tracker'!$A$5:$A$554,$K47)="","",INDEX('Prospect Tracker'!$A$5:$A$554,$K47)))</f>
        <v/>
      </c>
      <c r="C47" s="6" t="str">
        <f aca="false">IF($K47="","",IF(INDEX('Prospect Tracker'!$B$5:$B$554,$K47)="","",INDEX('Prospect Tracker'!$B$5:$B$554,$K47)))</f>
        <v/>
      </c>
      <c r="D47" s="6" t="str">
        <f aca="false">IF($K47="","",IF(INDEX('Prospect Tracker'!$M$5:$M$554,$K47)="","",INDEX('Prospect Tracker'!$M$5:$M$554,$K47)))</f>
        <v/>
      </c>
      <c r="E47" s="6" t="str">
        <f aca="false">IF($K47="","",IF(INDEX('Prospect Tracker'!$R$5:$R$554,$K47)="","",INDEX('Prospect Tracker'!$R$5:$R$554,$K47)))</f>
        <v/>
      </c>
      <c r="F47" s="6" t="str">
        <f aca="false">IF($K47="","",IF(INDEX('Prospect Tracker'!$J$5:$J$554,$K47)="","",INDEX('Prospect Tracker'!$J$5:$J$554,$K47)))</f>
        <v/>
      </c>
      <c r="G47" s="6" t="str">
        <f aca="false">IF($K47="","",IF(INDEX('Prospect Tracker'!$H$5:$H$554,$K47)="","",INDEX('Prospect Tracker'!$H$5:$H$554,$K47)))</f>
        <v/>
      </c>
      <c r="H47" s="7" t="str">
        <f aca="false">IF($K47="","",IF(INDEX('Prospect Tracker'!$K$5:$K$554,$K47)="","",INDEX('Prospect Tracker'!$K$5:$K$554,$K47)))</f>
        <v/>
      </c>
      <c r="I47" s="6" t="str">
        <f aca="false">IF($K47="","",IF(INDEX('Prospect Tracker'!$T$5:$T$554,$K47)="","",INDEX('Prospect Tracker'!$T$5:$T$554,$K47)))</f>
        <v/>
      </c>
      <c r="J47" s="6" t="str">
        <f aca="false">IF($K47="","",IF(INDEX('Prospect Tracker'!$L$5:$L$554,$K47)="","",INDEX('Prospect Tracker'!$L$5:$L$554,$K47)))</f>
        <v/>
      </c>
      <c r="K47" s="1" t="n">
        <f aca="false">IFERROR(MATCH(SMALL('Prospect Tracker'!$X$5:$X$554,ROW()-4),'Prospect Tracker'!$X$5:$X$554,0),"")</f>
        <v>43</v>
      </c>
    </row>
    <row r="48" customFormat="false" ht="15" hidden="false" customHeight="true" outlineLevel="0" collapsed="false">
      <c r="A48" s="11" t="str">
        <f aca="false">IF($K48="","",IF(INDEX('Prospect Tracker'!$W$5:$W$554,$K48)="","",INDEX('Prospect Tracker'!$W$5:$W$554,$K48)))</f>
        <v/>
      </c>
      <c r="B48" s="11" t="str">
        <f aca="false">IF($K48="","",IF(INDEX('Prospect Tracker'!$A$5:$A$554,$K48)="","",INDEX('Prospect Tracker'!$A$5:$A$554,$K48)))</f>
        <v/>
      </c>
      <c r="C48" s="11" t="str">
        <f aca="false">IF($K48="","",IF(INDEX('Prospect Tracker'!$B$5:$B$554,$K48)="","",INDEX('Prospect Tracker'!$B$5:$B$554,$K48)))</f>
        <v/>
      </c>
      <c r="D48" s="11" t="str">
        <f aca="false">IF($K48="","",IF(INDEX('Prospect Tracker'!$M$5:$M$554,$K48)="","",INDEX('Prospect Tracker'!$M$5:$M$554,$K48)))</f>
        <v/>
      </c>
      <c r="E48" s="11" t="str">
        <f aca="false">IF($K48="","",IF(INDEX('Prospect Tracker'!$R$5:$R$554,$K48)="","",INDEX('Prospect Tracker'!$R$5:$R$554,$K48)))</f>
        <v/>
      </c>
      <c r="F48" s="11" t="str">
        <f aca="false">IF($K48="","",IF(INDEX('Prospect Tracker'!$J$5:$J$554,$K48)="","",INDEX('Prospect Tracker'!$J$5:$J$554,$K48)))</f>
        <v/>
      </c>
      <c r="G48" s="11" t="str">
        <f aca="false">IF($K48="","",IF(INDEX('Prospect Tracker'!$H$5:$H$554,$K48)="","",INDEX('Prospect Tracker'!$H$5:$H$554,$K48)))</f>
        <v/>
      </c>
      <c r="H48" s="12" t="str">
        <f aca="false">IF($K48="","",IF(INDEX('Prospect Tracker'!$K$5:$K$554,$K48)="","",INDEX('Prospect Tracker'!$K$5:$K$554,$K48)))</f>
        <v/>
      </c>
      <c r="I48" s="11" t="str">
        <f aca="false">IF($K48="","",IF(INDEX('Prospect Tracker'!$T$5:$T$554,$K48)="","",INDEX('Prospect Tracker'!$T$5:$T$554,$K48)))</f>
        <v/>
      </c>
      <c r="J48" s="11" t="str">
        <f aca="false">IF($K48="","",IF(INDEX('Prospect Tracker'!$L$5:$L$554,$K48)="","",INDEX('Prospect Tracker'!$L$5:$L$554,$K48)))</f>
        <v/>
      </c>
      <c r="K48" s="1" t="n">
        <f aca="false">IFERROR(MATCH(SMALL('Prospect Tracker'!$X$5:$X$554,ROW()-4),'Prospect Tracker'!$X$5:$X$554,0),"")</f>
        <v>44</v>
      </c>
    </row>
    <row r="49" customFormat="false" ht="15" hidden="false" customHeight="true" outlineLevel="0" collapsed="false">
      <c r="A49" s="6" t="str">
        <f aca="false">IF($K49="","",IF(INDEX('Prospect Tracker'!$W$5:$W$554,$K49)="","",INDEX('Prospect Tracker'!$W$5:$W$554,$K49)))</f>
        <v/>
      </c>
      <c r="B49" s="6" t="str">
        <f aca="false">IF($K49="","",IF(INDEX('Prospect Tracker'!$A$5:$A$554,$K49)="","",INDEX('Prospect Tracker'!$A$5:$A$554,$K49)))</f>
        <v/>
      </c>
      <c r="C49" s="6" t="str">
        <f aca="false">IF($K49="","",IF(INDEX('Prospect Tracker'!$B$5:$B$554,$K49)="","",INDEX('Prospect Tracker'!$B$5:$B$554,$K49)))</f>
        <v/>
      </c>
      <c r="D49" s="6" t="str">
        <f aca="false">IF($K49="","",IF(INDEX('Prospect Tracker'!$M$5:$M$554,$K49)="","",INDEX('Prospect Tracker'!$M$5:$M$554,$K49)))</f>
        <v/>
      </c>
      <c r="E49" s="6" t="str">
        <f aca="false">IF($K49="","",IF(INDEX('Prospect Tracker'!$R$5:$R$554,$K49)="","",INDEX('Prospect Tracker'!$R$5:$R$554,$K49)))</f>
        <v/>
      </c>
      <c r="F49" s="6" t="str">
        <f aca="false">IF($K49="","",IF(INDEX('Prospect Tracker'!$J$5:$J$554,$K49)="","",INDEX('Prospect Tracker'!$J$5:$J$554,$K49)))</f>
        <v/>
      </c>
      <c r="G49" s="6" t="str">
        <f aca="false">IF($K49="","",IF(INDEX('Prospect Tracker'!$H$5:$H$554,$K49)="","",INDEX('Prospect Tracker'!$H$5:$H$554,$K49)))</f>
        <v/>
      </c>
      <c r="H49" s="7" t="str">
        <f aca="false">IF($K49="","",IF(INDEX('Prospect Tracker'!$K$5:$K$554,$K49)="","",INDEX('Prospect Tracker'!$K$5:$K$554,$K49)))</f>
        <v/>
      </c>
      <c r="I49" s="6" t="str">
        <f aca="false">IF($K49="","",IF(INDEX('Prospect Tracker'!$T$5:$T$554,$K49)="","",INDEX('Prospect Tracker'!$T$5:$T$554,$K49)))</f>
        <v/>
      </c>
      <c r="J49" s="6" t="str">
        <f aca="false">IF($K49="","",IF(INDEX('Prospect Tracker'!$L$5:$L$554,$K49)="","",INDEX('Prospect Tracker'!$L$5:$L$554,$K49)))</f>
        <v/>
      </c>
      <c r="K49" s="1" t="n">
        <f aca="false">IFERROR(MATCH(SMALL('Prospect Tracker'!$X$5:$X$554,ROW()-4),'Prospect Tracker'!$X$5:$X$554,0),"")</f>
        <v>45</v>
      </c>
    </row>
    <row r="50" customFormat="false" ht="15" hidden="false" customHeight="true" outlineLevel="0" collapsed="false">
      <c r="A50" s="11" t="str">
        <f aca="false">IF($K50="","",IF(INDEX('Prospect Tracker'!$W$5:$W$554,$K50)="","",INDEX('Prospect Tracker'!$W$5:$W$554,$K50)))</f>
        <v/>
      </c>
      <c r="B50" s="11" t="str">
        <f aca="false">IF($K50="","",IF(INDEX('Prospect Tracker'!$A$5:$A$554,$K50)="","",INDEX('Prospect Tracker'!$A$5:$A$554,$K50)))</f>
        <v/>
      </c>
      <c r="C50" s="11" t="str">
        <f aca="false">IF($K50="","",IF(INDEX('Prospect Tracker'!$B$5:$B$554,$K50)="","",INDEX('Prospect Tracker'!$B$5:$B$554,$K50)))</f>
        <v/>
      </c>
      <c r="D50" s="11" t="str">
        <f aca="false">IF($K50="","",IF(INDEX('Prospect Tracker'!$M$5:$M$554,$K50)="","",INDEX('Prospect Tracker'!$M$5:$M$554,$K50)))</f>
        <v/>
      </c>
      <c r="E50" s="11" t="str">
        <f aca="false">IF($K50="","",IF(INDEX('Prospect Tracker'!$R$5:$R$554,$K50)="","",INDEX('Prospect Tracker'!$R$5:$R$554,$K50)))</f>
        <v/>
      </c>
      <c r="F50" s="11" t="str">
        <f aca="false">IF($K50="","",IF(INDEX('Prospect Tracker'!$J$5:$J$554,$K50)="","",INDEX('Prospect Tracker'!$J$5:$J$554,$K50)))</f>
        <v/>
      </c>
      <c r="G50" s="11" t="str">
        <f aca="false">IF($K50="","",IF(INDEX('Prospect Tracker'!$H$5:$H$554,$K50)="","",INDEX('Prospect Tracker'!$H$5:$H$554,$K50)))</f>
        <v/>
      </c>
      <c r="H50" s="12" t="str">
        <f aca="false">IF($K50="","",IF(INDEX('Prospect Tracker'!$K$5:$K$554,$K50)="","",INDEX('Prospect Tracker'!$K$5:$K$554,$K50)))</f>
        <v/>
      </c>
      <c r="I50" s="11" t="str">
        <f aca="false">IF($K50="","",IF(INDEX('Prospect Tracker'!$T$5:$T$554,$K50)="","",INDEX('Prospect Tracker'!$T$5:$T$554,$K50)))</f>
        <v/>
      </c>
      <c r="J50" s="11" t="str">
        <f aca="false">IF($K50="","",IF(INDEX('Prospect Tracker'!$L$5:$L$554,$K50)="","",INDEX('Prospect Tracker'!$L$5:$L$554,$K50)))</f>
        <v/>
      </c>
      <c r="K50" s="1" t="n">
        <f aca="false">IFERROR(MATCH(SMALL('Prospect Tracker'!$X$5:$X$554,ROW()-4),'Prospect Tracker'!$X$5:$X$554,0),"")</f>
        <v>46</v>
      </c>
    </row>
    <row r="51" customFormat="false" ht="15" hidden="false" customHeight="true" outlineLevel="0" collapsed="false">
      <c r="A51" s="6" t="str">
        <f aca="false">IF($K51="","",IF(INDEX('Prospect Tracker'!$W$5:$W$554,$K51)="","",INDEX('Prospect Tracker'!$W$5:$W$554,$K51)))</f>
        <v/>
      </c>
      <c r="B51" s="6" t="str">
        <f aca="false">IF($K51="","",IF(INDEX('Prospect Tracker'!$A$5:$A$554,$K51)="","",INDEX('Prospect Tracker'!$A$5:$A$554,$K51)))</f>
        <v/>
      </c>
      <c r="C51" s="6" t="str">
        <f aca="false">IF($K51="","",IF(INDEX('Prospect Tracker'!$B$5:$B$554,$K51)="","",INDEX('Prospect Tracker'!$B$5:$B$554,$K51)))</f>
        <v/>
      </c>
      <c r="D51" s="6" t="str">
        <f aca="false">IF($K51="","",IF(INDEX('Prospect Tracker'!$M$5:$M$554,$K51)="","",INDEX('Prospect Tracker'!$M$5:$M$554,$K51)))</f>
        <v/>
      </c>
      <c r="E51" s="6" t="str">
        <f aca="false">IF($K51="","",IF(INDEX('Prospect Tracker'!$R$5:$R$554,$K51)="","",INDEX('Prospect Tracker'!$R$5:$R$554,$K51)))</f>
        <v/>
      </c>
      <c r="F51" s="6" t="str">
        <f aca="false">IF($K51="","",IF(INDEX('Prospect Tracker'!$J$5:$J$554,$K51)="","",INDEX('Prospect Tracker'!$J$5:$J$554,$K51)))</f>
        <v/>
      </c>
      <c r="G51" s="6" t="str">
        <f aca="false">IF($K51="","",IF(INDEX('Prospect Tracker'!$H$5:$H$554,$K51)="","",INDEX('Prospect Tracker'!$H$5:$H$554,$K51)))</f>
        <v/>
      </c>
      <c r="H51" s="7" t="str">
        <f aca="false">IF($K51="","",IF(INDEX('Prospect Tracker'!$K$5:$K$554,$K51)="","",INDEX('Prospect Tracker'!$K$5:$K$554,$K51)))</f>
        <v/>
      </c>
      <c r="I51" s="6" t="str">
        <f aca="false">IF($K51="","",IF(INDEX('Prospect Tracker'!$T$5:$T$554,$K51)="","",INDEX('Prospect Tracker'!$T$5:$T$554,$K51)))</f>
        <v/>
      </c>
      <c r="J51" s="6" t="str">
        <f aca="false">IF($K51="","",IF(INDEX('Prospect Tracker'!$L$5:$L$554,$K51)="","",INDEX('Prospect Tracker'!$L$5:$L$554,$K51)))</f>
        <v/>
      </c>
      <c r="K51" s="1" t="n">
        <f aca="false">IFERROR(MATCH(SMALL('Prospect Tracker'!$X$5:$X$554,ROW()-4),'Prospect Tracker'!$X$5:$X$554,0),"")</f>
        <v>47</v>
      </c>
    </row>
    <row r="52" customFormat="false" ht="15" hidden="false" customHeight="true" outlineLevel="0" collapsed="false">
      <c r="A52" s="11" t="str">
        <f aca="false">IF($K52="","",IF(INDEX('Prospect Tracker'!$W$5:$W$554,$K52)="","",INDEX('Prospect Tracker'!$W$5:$W$554,$K52)))</f>
        <v/>
      </c>
      <c r="B52" s="11" t="str">
        <f aca="false">IF($K52="","",IF(INDEX('Prospect Tracker'!$A$5:$A$554,$K52)="","",INDEX('Prospect Tracker'!$A$5:$A$554,$K52)))</f>
        <v/>
      </c>
      <c r="C52" s="11" t="str">
        <f aca="false">IF($K52="","",IF(INDEX('Prospect Tracker'!$B$5:$B$554,$K52)="","",INDEX('Prospect Tracker'!$B$5:$B$554,$K52)))</f>
        <v/>
      </c>
      <c r="D52" s="11" t="str">
        <f aca="false">IF($K52="","",IF(INDEX('Prospect Tracker'!$M$5:$M$554,$K52)="","",INDEX('Prospect Tracker'!$M$5:$M$554,$K52)))</f>
        <v/>
      </c>
      <c r="E52" s="11" t="str">
        <f aca="false">IF($K52="","",IF(INDEX('Prospect Tracker'!$R$5:$R$554,$K52)="","",INDEX('Prospect Tracker'!$R$5:$R$554,$K52)))</f>
        <v/>
      </c>
      <c r="F52" s="11" t="str">
        <f aca="false">IF($K52="","",IF(INDEX('Prospect Tracker'!$J$5:$J$554,$K52)="","",INDEX('Prospect Tracker'!$J$5:$J$554,$K52)))</f>
        <v/>
      </c>
      <c r="G52" s="11" t="str">
        <f aca="false">IF($K52="","",IF(INDEX('Prospect Tracker'!$H$5:$H$554,$K52)="","",INDEX('Prospect Tracker'!$H$5:$H$554,$K52)))</f>
        <v/>
      </c>
      <c r="H52" s="12" t="str">
        <f aca="false">IF($K52="","",IF(INDEX('Prospect Tracker'!$K$5:$K$554,$K52)="","",INDEX('Prospect Tracker'!$K$5:$K$554,$K52)))</f>
        <v/>
      </c>
      <c r="I52" s="11" t="str">
        <f aca="false">IF($K52="","",IF(INDEX('Prospect Tracker'!$T$5:$T$554,$K52)="","",INDEX('Prospect Tracker'!$T$5:$T$554,$K52)))</f>
        <v/>
      </c>
      <c r="J52" s="11" t="str">
        <f aca="false">IF($K52="","",IF(INDEX('Prospect Tracker'!$L$5:$L$554,$K52)="","",INDEX('Prospect Tracker'!$L$5:$L$554,$K52)))</f>
        <v/>
      </c>
      <c r="K52" s="1" t="n">
        <f aca="false">IFERROR(MATCH(SMALL('Prospect Tracker'!$X$5:$X$554,ROW()-4),'Prospect Tracker'!$X$5:$X$554,0),"")</f>
        <v>48</v>
      </c>
    </row>
    <row r="53" customFormat="false" ht="15" hidden="false" customHeight="true" outlineLevel="0" collapsed="false">
      <c r="A53" s="6" t="str">
        <f aca="false">IF($K53="","",IF(INDEX('Prospect Tracker'!$W$5:$W$554,$K53)="","",INDEX('Prospect Tracker'!$W$5:$W$554,$K53)))</f>
        <v/>
      </c>
      <c r="B53" s="6" t="str">
        <f aca="false">IF($K53="","",IF(INDEX('Prospect Tracker'!$A$5:$A$554,$K53)="","",INDEX('Prospect Tracker'!$A$5:$A$554,$K53)))</f>
        <v/>
      </c>
      <c r="C53" s="6" t="str">
        <f aca="false">IF($K53="","",IF(INDEX('Prospect Tracker'!$B$5:$B$554,$K53)="","",INDEX('Prospect Tracker'!$B$5:$B$554,$K53)))</f>
        <v/>
      </c>
      <c r="D53" s="6" t="str">
        <f aca="false">IF($K53="","",IF(INDEX('Prospect Tracker'!$M$5:$M$554,$K53)="","",INDEX('Prospect Tracker'!$M$5:$M$554,$K53)))</f>
        <v/>
      </c>
      <c r="E53" s="6" t="str">
        <f aca="false">IF($K53="","",IF(INDEX('Prospect Tracker'!$R$5:$R$554,$K53)="","",INDEX('Prospect Tracker'!$R$5:$R$554,$K53)))</f>
        <v/>
      </c>
      <c r="F53" s="6" t="str">
        <f aca="false">IF($K53="","",IF(INDEX('Prospect Tracker'!$J$5:$J$554,$K53)="","",INDEX('Prospect Tracker'!$J$5:$J$554,$K53)))</f>
        <v/>
      </c>
      <c r="G53" s="6" t="str">
        <f aca="false">IF($K53="","",IF(INDEX('Prospect Tracker'!$H$5:$H$554,$K53)="","",INDEX('Prospect Tracker'!$H$5:$H$554,$K53)))</f>
        <v/>
      </c>
      <c r="H53" s="7" t="str">
        <f aca="false">IF($K53="","",IF(INDEX('Prospect Tracker'!$K$5:$K$554,$K53)="","",INDEX('Prospect Tracker'!$K$5:$K$554,$K53)))</f>
        <v/>
      </c>
      <c r="I53" s="6" t="str">
        <f aca="false">IF($K53="","",IF(INDEX('Prospect Tracker'!$T$5:$T$554,$K53)="","",INDEX('Prospect Tracker'!$T$5:$T$554,$K53)))</f>
        <v/>
      </c>
      <c r="J53" s="6" t="str">
        <f aca="false">IF($K53="","",IF(INDEX('Prospect Tracker'!$L$5:$L$554,$K53)="","",INDEX('Prospect Tracker'!$L$5:$L$554,$K53)))</f>
        <v/>
      </c>
      <c r="K53" s="1" t="n">
        <f aca="false">IFERROR(MATCH(SMALL('Prospect Tracker'!$X$5:$X$554,ROW()-4),'Prospect Tracker'!$X$5:$X$554,0),"")</f>
        <v>49</v>
      </c>
    </row>
    <row r="54" customFormat="false" ht="15" hidden="false" customHeight="true" outlineLevel="0" collapsed="false">
      <c r="A54" s="11" t="str">
        <f aca="false">IF($K54="","",IF(INDEX('Prospect Tracker'!$W$5:$W$554,$K54)="","",INDEX('Prospect Tracker'!$W$5:$W$554,$K54)))</f>
        <v/>
      </c>
      <c r="B54" s="11" t="str">
        <f aca="false">IF($K54="","",IF(INDEX('Prospect Tracker'!$A$5:$A$554,$K54)="","",INDEX('Prospect Tracker'!$A$5:$A$554,$K54)))</f>
        <v/>
      </c>
      <c r="C54" s="11" t="str">
        <f aca="false">IF($K54="","",IF(INDEX('Prospect Tracker'!$B$5:$B$554,$K54)="","",INDEX('Prospect Tracker'!$B$5:$B$554,$K54)))</f>
        <v/>
      </c>
      <c r="D54" s="11" t="str">
        <f aca="false">IF($K54="","",IF(INDEX('Prospect Tracker'!$M$5:$M$554,$K54)="","",INDEX('Prospect Tracker'!$M$5:$M$554,$K54)))</f>
        <v/>
      </c>
      <c r="E54" s="11" t="str">
        <f aca="false">IF($K54="","",IF(INDEX('Prospect Tracker'!$R$5:$R$554,$K54)="","",INDEX('Prospect Tracker'!$R$5:$R$554,$K54)))</f>
        <v/>
      </c>
      <c r="F54" s="11" t="str">
        <f aca="false">IF($K54="","",IF(INDEX('Prospect Tracker'!$J$5:$J$554,$K54)="","",INDEX('Prospect Tracker'!$J$5:$J$554,$K54)))</f>
        <v/>
      </c>
      <c r="G54" s="11" t="str">
        <f aca="false">IF($K54="","",IF(INDEX('Prospect Tracker'!$H$5:$H$554,$K54)="","",INDEX('Prospect Tracker'!$H$5:$H$554,$K54)))</f>
        <v/>
      </c>
      <c r="H54" s="12" t="str">
        <f aca="false">IF($K54="","",IF(INDEX('Prospect Tracker'!$K$5:$K$554,$K54)="","",INDEX('Prospect Tracker'!$K$5:$K$554,$K54)))</f>
        <v/>
      </c>
      <c r="I54" s="11" t="str">
        <f aca="false">IF($K54="","",IF(INDEX('Prospect Tracker'!$T$5:$T$554,$K54)="","",INDEX('Prospect Tracker'!$T$5:$T$554,$K54)))</f>
        <v/>
      </c>
      <c r="J54" s="11" t="str">
        <f aca="false">IF($K54="","",IF(INDEX('Prospect Tracker'!$L$5:$L$554,$K54)="","",INDEX('Prospect Tracker'!$L$5:$L$554,$K54)))</f>
        <v/>
      </c>
      <c r="K54" s="1" t="n">
        <f aca="false">IFERROR(MATCH(SMALL('Prospect Tracker'!$X$5:$X$554,ROW()-4),'Prospect Tracker'!$X$5:$X$554,0),"")</f>
        <v>50</v>
      </c>
    </row>
    <row r="55" customFormat="false" ht="15" hidden="false" customHeight="true" outlineLevel="0" collapsed="false">
      <c r="A55" s="6" t="str">
        <f aca="false">IF($K55="","",IF(INDEX('Prospect Tracker'!$W$5:$W$554,$K55)="","",INDEX('Prospect Tracker'!$W$5:$W$554,$K55)))</f>
        <v/>
      </c>
      <c r="B55" s="6" t="str">
        <f aca="false">IF($K55="","",IF(INDEX('Prospect Tracker'!$A$5:$A$554,$K55)="","",INDEX('Prospect Tracker'!$A$5:$A$554,$K55)))</f>
        <v/>
      </c>
      <c r="C55" s="6" t="str">
        <f aca="false">IF($K55="","",IF(INDEX('Prospect Tracker'!$B$5:$B$554,$K55)="","",INDEX('Prospect Tracker'!$B$5:$B$554,$K55)))</f>
        <v/>
      </c>
      <c r="D55" s="6" t="str">
        <f aca="false">IF($K55="","",IF(INDEX('Prospect Tracker'!$M$5:$M$554,$K55)="","",INDEX('Prospect Tracker'!$M$5:$M$554,$K55)))</f>
        <v/>
      </c>
      <c r="E55" s="6" t="str">
        <f aca="false">IF($K55="","",IF(INDEX('Prospect Tracker'!$R$5:$R$554,$K55)="","",INDEX('Prospect Tracker'!$R$5:$R$554,$K55)))</f>
        <v/>
      </c>
      <c r="F55" s="6" t="str">
        <f aca="false">IF($K55="","",IF(INDEX('Prospect Tracker'!$J$5:$J$554,$K55)="","",INDEX('Prospect Tracker'!$J$5:$J$554,$K55)))</f>
        <v/>
      </c>
      <c r="G55" s="6" t="str">
        <f aca="false">IF($K55="","",IF(INDEX('Prospect Tracker'!$H$5:$H$554,$K55)="","",INDEX('Prospect Tracker'!$H$5:$H$554,$K55)))</f>
        <v/>
      </c>
      <c r="H55" s="7" t="str">
        <f aca="false">IF($K55="","",IF(INDEX('Prospect Tracker'!$K$5:$K$554,$K55)="","",INDEX('Prospect Tracker'!$K$5:$K$554,$K55)))</f>
        <v/>
      </c>
      <c r="I55" s="6" t="str">
        <f aca="false">IF($K55="","",IF(INDEX('Prospect Tracker'!$T$5:$T$554,$K55)="","",INDEX('Prospect Tracker'!$T$5:$T$554,$K55)))</f>
        <v/>
      </c>
      <c r="J55" s="6" t="str">
        <f aca="false">IF($K55="","",IF(INDEX('Prospect Tracker'!$L$5:$L$554,$K55)="","",INDEX('Prospect Tracker'!$L$5:$L$554,$K55)))</f>
        <v/>
      </c>
      <c r="K55" s="1" t="n">
        <f aca="false">IFERROR(MATCH(SMALL('Prospect Tracker'!$X$5:$X$554,ROW()-4),'Prospect Tracker'!$X$5:$X$554,0),"")</f>
        <v>51</v>
      </c>
    </row>
    <row r="56" customFormat="false" ht="15" hidden="false" customHeight="true" outlineLevel="0" collapsed="false">
      <c r="A56" s="11" t="str">
        <f aca="false">IF($K56="","",IF(INDEX('Prospect Tracker'!$W$5:$W$554,$K56)="","",INDEX('Prospect Tracker'!$W$5:$W$554,$K56)))</f>
        <v/>
      </c>
      <c r="B56" s="11" t="str">
        <f aca="false">IF($K56="","",IF(INDEX('Prospect Tracker'!$A$5:$A$554,$K56)="","",INDEX('Prospect Tracker'!$A$5:$A$554,$K56)))</f>
        <v/>
      </c>
      <c r="C56" s="11" t="str">
        <f aca="false">IF($K56="","",IF(INDEX('Prospect Tracker'!$B$5:$B$554,$K56)="","",INDEX('Prospect Tracker'!$B$5:$B$554,$K56)))</f>
        <v/>
      </c>
      <c r="D56" s="11" t="str">
        <f aca="false">IF($K56="","",IF(INDEX('Prospect Tracker'!$M$5:$M$554,$K56)="","",INDEX('Prospect Tracker'!$M$5:$M$554,$K56)))</f>
        <v/>
      </c>
      <c r="E56" s="11" t="str">
        <f aca="false">IF($K56="","",IF(INDEX('Prospect Tracker'!$R$5:$R$554,$K56)="","",INDEX('Prospect Tracker'!$R$5:$R$554,$K56)))</f>
        <v/>
      </c>
      <c r="F56" s="11" t="str">
        <f aca="false">IF($K56="","",IF(INDEX('Prospect Tracker'!$J$5:$J$554,$K56)="","",INDEX('Prospect Tracker'!$J$5:$J$554,$K56)))</f>
        <v/>
      </c>
      <c r="G56" s="11" t="str">
        <f aca="false">IF($K56="","",IF(INDEX('Prospect Tracker'!$H$5:$H$554,$K56)="","",INDEX('Prospect Tracker'!$H$5:$H$554,$K56)))</f>
        <v/>
      </c>
      <c r="H56" s="12" t="str">
        <f aca="false">IF($K56="","",IF(INDEX('Prospect Tracker'!$K$5:$K$554,$K56)="","",INDEX('Prospect Tracker'!$K$5:$K$554,$K56)))</f>
        <v/>
      </c>
      <c r="I56" s="11" t="str">
        <f aca="false">IF($K56="","",IF(INDEX('Prospect Tracker'!$T$5:$T$554,$K56)="","",INDEX('Prospect Tracker'!$T$5:$T$554,$K56)))</f>
        <v/>
      </c>
      <c r="J56" s="11" t="str">
        <f aca="false">IF($K56="","",IF(INDEX('Prospect Tracker'!$L$5:$L$554,$K56)="","",INDEX('Prospect Tracker'!$L$5:$L$554,$K56)))</f>
        <v/>
      </c>
      <c r="K56" s="1" t="n">
        <f aca="false">IFERROR(MATCH(SMALL('Prospect Tracker'!$X$5:$X$554,ROW()-4),'Prospect Tracker'!$X$5:$X$554,0),"")</f>
        <v>52</v>
      </c>
    </row>
    <row r="57" customFormat="false" ht="15" hidden="false" customHeight="true" outlineLevel="0" collapsed="false">
      <c r="A57" s="6" t="str">
        <f aca="false">IF($K57="","",IF(INDEX('Prospect Tracker'!$W$5:$W$554,$K57)="","",INDEX('Prospect Tracker'!$W$5:$W$554,$K57)))</f>
        <v/>
      </c>
      <c r="B57" s="6" t="str">
        <f aca="false">IF($K57="","",IF(INDEX('Prospect Tracker'!$A$5:$A$554,$K57)="","",INDEX('Prospect Tracker'!$A$5:$A$554,$K57)))</f>
        <v/>
      </c>
      <c r="C57" s="6" t="str">
        <f aca="false">IF($K57="","",IF(INDEX('Prospect Tracker'!$B$5:$B$554,$K57)="","",INDEX('Prospect Tracker'!$B$5:$B$554,$K57)))</f>
        <v/>
      </c>
      <c r="D57" s="6" t="str">
        <f aca="false">IF($K57="","",IF(INDEX('Prospect Tracker'!$M$5:$M$554,$K57)="","",INDEX('Prospect Tracker'!$M$5:$M$554,$K57)))</f>
        <v/>
      </c>
      <c r="E57" s="6" t="str">
        <f aca="false">IF($K57="","",IF(INDEX('Prospect Tracker'!$R$5:$R$554,$K57)="","",INDEX('Prospect Tracker'!$R$5:$R$554,$K57)))</f>
        <v/>
      </c>
      <c r="F57" s="6" t="str">
        <f aca="false">IF($K57="","",IF(INDEX('Prospect Tracker'!$J$5:$J$554,$K57)="","",INDEX('Prospect Tracker'!$J$5:$J$554,$K57)))</f>
        <v/>
      </c>
      <c r="G57" s="6" t="str">
        <f aca="false">IF($K57="","",IF(INDEX('Prospect Tracker'!$H$5:$H$554,$K57)="","",INDEX('Prospect Tracker'!$H$5:$H$554,$K57)))</f>
        <v/>
      </c>
      <c r="H57" s="7" t="str">
        <f aca="false">IF($K57="","",IF(INDEX('Prospect Tracker'!$K$5:$K$554,$K57)="","",INDEX('Prospect Tracker'!$K$5:$K$554,$K57)))</f>
        <v/>
      </c>
      <c r="I57" s="6" t="str">
        <f aca="false">IF($K57="","",IF(INDEX('Prospect Tracker'!$T$5:$T$554,$K57)="","",INDEX('Prospect Tracker'!$T$5:$T$554,$K57)))</f>
        <v/>
      </c>
      <c r="J57" s="6" t="str">
        <f aca="false">IF($K57="","",IF(INDEX('Prospect Tracker'!$L$5:$L$554,$K57)="","",INDEX('Prospect Tracker'!$L$5:$L$554,$K57)))</f>
        <v/>
      </c>
      <c r="K57" s="1" t="n">
        <f aca="false">IFERROR(MATCH(SMALL('Prospect Tracker'!$X$5:$X$554,ROW()-4),'Prospect Tracker'!$X$5:$X$554,0),"")</f>
        <v>53</v>
      </c>
    </row>
    <row r="58" customFormat="false" ht="15" hidden="false" customHeight="true" outlineLevel="0" collapsed="false">
      <c r="A58" s="11" t="str">
        <f aca="false">IF($K58="","",IF(INDEX('Prospect Tracker'!$W$5:$W$554,$K58)="","",INDEX('Prospect Tracker'!$W$5:$W$554,$K58)))</f>
        <v/>
      </c>
      <c r="B58" s="11" t="str">
        <f aca="false">IF($K58="","",IF(INDEX('Prospect Tracker'!$A$5:$A$554,$K58)="","",INDEX('Prospect Tracker'!$A$5:$A$554,$K58)))</f>
        <v/>
      </c>
      <c r="C58" s="11" t="str">
        <f aca="false">IF($K58="","",IF(INDEX('Prospect Tracker'!$B$5:$B$554,$K58)="","",INDEX('Prospect Tracker'!$B$5:$B$554,$K58)))</f>
        <v/>
      </c>
      <c r="D58" s="11" t="str">
        <f aca="false">IF($K58="","",IF(INDEX('Prospect Tracker'!$M$5:$M$554,$K58)="","",INDEX('Prospect Tracker'!$M$5:$M$554,$K58)))</f>
        <v/>
      </c>
      <c r="E58" s="11" t="str">
        <f aca="false">IF($K58="","",IF(INDEX('Prospect Tracker'!$R$5:$R$554,$K58)="","",INDEX('Prospect Tracker'!$R$5:$R$554,$K58)))</f>
        <v/>
      </c>
      <c r="F58" s="11" t="str">
        <f aca="false">IF($K58="","",IF(INDEX('Prospect Tracker'!$J$5:$J$554,$K58)="","",INDEX('Prospect Tracker'!$J$5:$J$554,$K58)))</f>
        <v/>
      </c>
      <c r="G58" s="11" t="str">
        <f aca="false">IF($K58="","",IF(INDEX('Prospect Tracker'!$H$5:$H$554,$K58)="","",INDEX('Prospect Tracker'!$H$5:$H$554,$K58)))</f>
        <v/>
      </c>
      <c r="H58" s="12" t="str">
        <f aca="false">IF($K58="","",IF(INDEX('Prospect Tracker'!$K$5:$K$554,$K58)="","",INDEX('Prospect Tracker'!$K$5:$K$554,$K58)))</f>
        <v/>
      </c>
      <c r="I58" s="11" t="str">
        <f aca="false">IF($K58="","",IF(INDEX('Prospect Tracker'!$T$5:$T$554,$K58)="","",INDEX('Prospect Tracker'!$T$5:$T$554,$K58)))</f>
        <v/>
      </c>
      <c r="J58" s="11" t="str">
        <f aca="false">IF($K58="","",IF(INDEX('Prospect Tracker'!$L$5:$L$554,$K58)="","",INDEX('Prospect Tracker'!$L$5:$L$554,$K58)))</f>
        <v/>
      </c>
      <c r="K58" s="1" t="n">
        <f aca="false">IFERROR(MATCH(SMALL('Prospect Tracker'!$X$5:$X$554,ROW()-4),'Prospect Tracker'!$X$5:$X$554,0),"")</f>
        <v>54</v>
      </c>
    </row>
    <row r="59" customFormat="false" ht="15" hidden="false" customHeight="true" outlineLevel="0" collapsed="false">
      <c r="A59" s="6" t="str">
        <f aca="false">IF($K59="","",IF(INDEX('Prospect Tracker'!$W$5:$W$554,$K59)="","",INDEX('Prospect Tracker'!$W$5:$W$554,$K59)))</f>
        <v/>
      </c>
      <c r="B59" s="6" t="str">
        <f aca="false">IF($K59="","",IF(INDEX('Prospect Tracker'!$A$5:$A$554,$K59)="","",INDEX('Prospect Tracker'!$A$5:$A$554,$K59)))</f>
        <v/>
      </c>
      <c r="C59" s="6" t="str">
        <f aca="false">IF($K59="","",IF(INDEX('Prospect Tracker'!$B$5:$B$554,$K59)="","",INDEX('Prospect Tracker'!$B$5:$B$554,$K59)))</f>
        <v/>
      </c>
      <c r="D59" s="6" t="str">
        <f aca="false">IF($K59="","",IF(INDEX('Prospect Tracker'!$M$5:$M$554,$K59)="","",INDEX('Prospect Tracker'!$M$5:$M$554,$K59)))</f>
        <v/>
      </c>
      <c r="E59" s="6" t="str">
        <f aca="false">IF($K59="","",IF(INDEX('Prospect Tracker'!$R$5:$R$554,$K59)="","",INDEX('Prospect Tracker'!$R$5:$R$554,$K59)))</f>
        <v/>
      </c>
      <c r="F59" s="6" t="str">
        <f aca="false">IF($K59="","",IF(INDEX('Prospect Tracker'!$J$5:$J$554,$K59)="","",INDEX('Prospect Tracker'!$J$5:$J$554,$K59)))</f>
        <v/>
      </c>
      <c r="G59" s="6" t="str">
        <f aca="false">IF($K59="","",IF(INDEX('Prospect Tracker'!$H$5:$H$554,$K59)="","",INDEX('Prospect Tracker'!$H$5:$H$554,$K59)))</f>
        <v/>
      </c>
      <c r="H59" s="7" t="str">
        <f aca="false">IF($K59="","",IF(INDEX('Prospect Tracker'!$K$5:$K$554,$K59)="","",INDEX('Prospect Tracker'!$K$5:$K$554,$K59)))</f>
        <v/>
      </c>
      <c r="I59" s="6" t="str">
        <f aca="false">IF($K59="","",IF(INDEX('Prospect Tracker'!$T$5:$T$554,$K59)="","",INDEX('Prospect Tracker'!$T$5:$T$554,$K59)))</f>
        <v/>
      </c>
      <c r="J59" s="6" t="str">
        <f aca="false">IF($K59="","",IF(INDEX('Prospect Tracker'!$L$5:$L$554,$K59)="","",INDEX('Prospect Tracker'!$L$5:$L$554,$K59)))</f>
        <v/>
      </c>
      <c r="K59" s="1" t="n">
        <f aca="false">IFERROR(MATCH(SMALL('Prospect Tracker'!$X$5:$X$554,ROW()-4),'Prospect Tracker'!$X$5:$X$554,0),"")</f>
        <v>55</v>
      </c>
    </row>
    <row r="60" customFormat="false" ht="15" hidden="false" customHeight="true" outlineLevel="0" collapsed="false">
      <c r="A60" s="11" t="str">
        <f aca="false">IF($K60="","",IF(INDEX('Prospect Tracker'!$W$5:$W$554,$K60)="","",INDEX('Prospect Tracker'!$W$5:$W$554,$K60)))</f>
        <v/>
      </c>
      <c r="B60" s="11" t="str">
        <f aca="false">IF($K60="","",IF(INDEX('Prospect Tracker'!$A$5:$A$554,$K60)="","",INDEX('Prospect Tracker'!$A$5:$A$554,$K60)))</f>
        <v/>
      </c>
      <c r="C60" s="11" t="str">
        <f aca="false">IF($K60="","",IF(INDEX('Prospect Tracker'!$B$5:$B$554,$K60)="","",INDEX('Prospect Tracker'!$B$5:$B$554,$K60)))</f>
        <v/>
      </c>
      <c r="D60" s="11" t="str">
        <f aca="false">IF($K60="","",IF(INDEX('Prospect Tracker'!$M$5:$M$554,$K60)="","",INDEX('Prospect Tracker'!$M$5:$M$554,$K60)))</f>
        <v/>
      </c>
      <c r="E60" s="11" t="str">
        <f aca="false">IF($K60="","",IF(INDEX('Prospect Tracker'!$R$5:$R$554,$K60)="","",INDEX('Prospect Tracker'!$R$5:$R$554,$K60)))</f>
        <v/>
      </c>
      <c r="F60" s="11" t="str">
        <f aca="false">IF($K60="","",IF(INDEX('Prospect Tracker'!$J$5:$J$554,$K60)="","",INDEX('Prospect Tracker'!$J$5:$J$554,$K60)))</f>
        <v/>
      </c>
      <c r="G60" s="11" t="str">
        <f aca="false">IF($K60="","",IF(INDEX('Prospect Tracker'!$H$5:$H$554,$K60)="","",INDEX('Prospect Tracker'!$H$5:$H$554,$K60)))</f>
        <v/>
      </c>
      <c r="H60" s="12" t="str">
        <f aca="false">IF($K60="","",IF(INDEX('Prospect Tracker'!$K$5:$K$554,$K60)="","",INDEX('Prospect Tracker'!$K$5:$K$554,$K60)))</f>
        <v/>
      </c>
      <c r="I60" s="11" t="str">
        <f aca="false">IF($K60="","",IF(INDEX('Prospect Tracker'!$T$5:$T$554,$K60)="","",INDEX('Prospect Tracker'!$T$5:$T$554,$K60)))</f>
        <v/>
      </c>
      <c r="J60" s="11" t="str">
        <f aca="false">IF($K60="","",IF(INDEX('Prospect Tracker'!$L$5:$L$554,$K60)="","",INDEX('Prospect Tracker'!$L$5:$L$554,$K60)))</f>
        <v/>
      </c>
      <c r="K60" s="1" t="n">
        <f aca="false">IFERROR(MATCH(SMALL('Prospect Tracker'!$X$5:$X$554,ROW()-4),'Prospect Tracker'!$X$5:$X$554,0),"")</f>
        <v>56</v>
      </c>
    </row>
    <row r="61" customFormat="false" ht="15" hidden="false" customHeight="true" outlineLevel="0" collapsed="false">
      <c r="A61" s="6" t="str">
        <f aca="false">IF($K61="","",IF(INDEX('Prospect Tracker'!$W$5:$W$554,$K61)="","",INDEX('Prospect Tracker'!$W$5:$W$554,$K61)))</f>
        <v/>
      </c>
      <c r="B61" s="6" t="str">
        <f aca="false">IF($K61="","",IF(INDEX('Prospect Tracker'!$A$5:$A$554,$K61)="","",INDEX('Prospect Tracker'!$A$5:$A$554,$K61)))</f>
        <v/>
      </c>
      <c r="C61" s="6" t="str">
        <f aca="false">IF($K61="","",IF(INDEX('Prospect Tracker'!$B$5:$B$554,$K61)="","",INDEX('Prospect Tracker'!$B$5:$B$554,$K61)))</f>
        <v/>
      </c>
      <c r="D61" s="6" t="str">
        <f aca="false">IF($K61="","",IF(INDEX('Prospect Tracker'!$M$5:$M$554,$K61)="","",INDEX('Prospect Tracker'!$M$5:$M$554,$K61)))</f>
        <v/>
      </c>
      <c r="E61" s="6" t="str">
        <f aca="false">IF($K61="","",IF(INDEX('Prospect Tracker'!$R$5:$R$554,$K61)="","",INDEX('Prospect Tracker'!$R$5:$R$554,$K61)))</f>
        <v/>
      </c>
      <c r="F61" s="6" t="str">
        <f aca="false">IF($K61="","",IF(INDEX('Prospect Tracker'!$J$5:$J$554,$K61)="","",INDEX('Prospect Tracker'!$J$5:$J$554,$K61)))</f>
        <v/>
      </c>
      <c r="G61" s="6" t="str">
        <f aca="false">IF($K61="","",IF(INDEX('Prospect Tracker'!$H$5:$H$554,$K61)="","",INDEX('Prospect Tracker'!$H$5:$H$554,$K61)))</f>
        <v/>
      </c>
      <c r="H61" s="7" t="str">
        <f aca="false">IF($K61="","",IF(INDEX('Prospect Tracker'!$K$5:$K$554,$K61)="","",INDEX('Prospect Tracker'!$K$5:$K$554,$K61)))</f>
        <v/>
      </c>
      <c r="I61" s="6" t="str">
        <f aca="false">IF($K61="","",IF(INDEX('Prospect Tracker'!$T$5:$T$554,$K61)="","",INDEX('Prospect Tracker'!$T$5:$T$554,$K61)))</f>
        <v/>
      </c>
      <c r="J61" s="6" t="str">
        <f aca="false">IF($K61="","",IF(INDEX('Prospect Tracker'!$L$5:$L$554,$K61)="","",INDEX('Prospect Tracker'!$L$5:$L$554,$K61)))</f>
        <v/>
      </c>
      <c r="K61" s="1" t="n">
        <f aca="false">IFERROR(MATCH(SMALL('Prospect Tracker'!$X$5:$X$554,ROW()-4),'Prospect Tracker'!$X$5:$X$554,0),"")</f>
        <v>57</v>
      </c>
    </row>
    <row r="62" customFormat="false" ht="15" hidden="false" customHeight="true" outlineLevel="0" collapsed="false">
      <c r="A62" s="11" t="str">
        <f aca="false">IF($K62="","",IF(INDEX('Prospect Tracker'!$W$5:$W$554,$K62)="","",INDEX('Prospect Tracker'!$W$5:$W$554,$K62)))</f>
        <v/>
      </c>
      <c r="B62" s="11" t="str">
        <f aca="false">IF($K62="","",IF(INDEX('Prospect Tracker'!$A$5:$A$554,$K62)="","",INDEX('Prospect Tracker'!$A$5:$A$554,$K62)))</f>
        <v/>
      </c>
      <c r="C62" s="11" t="str">
        <f aca="false">IF($K62="","",IF(INDEX('Prospect Tracker'!$B$5:$B$554,$K62)="","",INDEX('Prospect Tracker'!$B$5:$B$554,$K62)))</f>
        <v/>
      </c>
      <c r="D62" s="11" t="str">
        <f aca="false">IF($K62="","",IF(INDEX('Prospect Tracker'!$M$5:$M$554,$K62)="","",INDEX('Prospect Tracker'!$M$5:$M$554,$K62)))</f>
        <v/>
      </c>
      <c r="E62" s="11" t="str">
        <f aca="false">IF($K62="","",IF(INDEX('Prospect Tracker'!$R$5:$R$554,$K62)="","",INDEX('Prospect Tracker'!$R$5:$R$554,$K62)))</f>
        <v/>
      </c>
      <c r="F62" s="11" t="str">
        <f aca="false">IF($K62="","",IF(INDEX('Prospect Tracker'!$J$5:$J$554,$K62)="","",INDEX('Prospect Tracker'!$J$5:$J$554,$K62)))</f>
        <v/>
      </c>
      <c r="G62" s="11" t="str">
        <f aca="false">IF($K62="","",IF(INDEX('Prospect Tracker'!$H$5:$H$554,$K62)="","",INDEX('Prospect Tracker'!$H$5:$H$554,$K62)))</f>
        <v/>
      </c>
      <c r="H62" s="12" t="str">
        <f aca="false">IF($K62="","",IF(INDEX('Prospect Tracker'!$K$5:$K$554,$K62)="","",INDEX('Prospect Tracker'!$K$5:$K$554,$K62)))</f>
        <v/>
      </c>
      <c r="I62" s="11" t="str">
        <f aca="false">IF($K62="","",IF(INDEX('Prospect Tracker'!$T$5:$T$554,$K62)="","",INDEX('Prospect Tracker'!$T$5:$T$554,$K62)))</f>
        <v/>
      </c>
      <c r="J62" s="11" t="str">
        <f aca="false">IF($K62="","",IF(INDEX('Prospect Tracker'!$L$5:$L$554,$K62)="","",INDEX('Prospect Tracker'!$L$5:$L$554,$K62)))</f>
        <v/>
      </c>
      <c r="K62" s="1" t="n">
        <f aca="false">IFERROR(MATCH(SMALL('Prospect Tracker'!$X$5:$X$554,ROW()-4),'Prospect Tracker'!$X$5:$X$554,0),"")</f>
        <v>58</v>
      </c>
    </row>
    <row r="63" customFormat="false" ht="15" hidden="false" customHeight="true" outlineLevel="0" collapsed="false">
      <c r="A63" s="6" t="str">
        <f aca="false">IF($K63="","",IF(INDEX('Prospect Tracker'!$W$5:$W$554,$K63)="","",INDEX('Prospect Tracker'!$W$5:$W$554,$K63)))</f>
        <v/>
      </c>
      <c r="B63" s="6" t="str">
        <f aca="false">IF($K63="","",IF(INDEX('Prospect Tracker'!$A$5:$A$554,$K63)="","",INDEX('Prospect Tracker'!$A$5:$A$554,$K63)))</f>
        <v/>
      </c>
      <c r="C63" s="6" t="str">
        <f aca="false">IF($K63="","",IF(INDEX('Prospect Tracker'!$B$5:$B$554,$K63)="","",INDEX('Prospect Tracker'!$B$5:$B$554,$K63)))</f>
        <v/>
      </c>
      <c r="D63" s="6" t="str">
        <f aca="false">IF($K63="","",IF(INDEX('Prospect Tracker'!$M$5:$M$554,$K63)="","",INDEX('Prospect Tracker'!$M$5:$M$554,$K63)))</f>
        <v/>
      </c>
      <c r="E63" s="6" t="str">
        <f aca="false">IF($K63="","",IF(INDEX('Prospect Tracker'!$R$5:$R$554,$K63)="","",INDEX('Prospect Tracker'!$R$5:$R$554,$K63)))</f>
        <v/>
      </c>
      <c r="F63" s="6" t="str">
        <f aca="false">IF($K63="","",IF(INDEX('Prospect Tracker'!$J$5:$J$554,$K63)="","",INDEX('Prospect Tracker'!$J$5:$J$554,$K63)))</f>
        <v/>
      </c>
      <c r="G63" s="6" t="str">
        <f aca="false">IF($K63="","",IF(INDEX('Prospect Tracker'!$H$5:$H$554,$K63)="","",INDEX('Prospect Tracker'!$H$5:$H$554,$K63)))</f>
        <v/>
      </c>
      <c r="H63" s="7" t="str">
        <f aca="false">IF($K63="","",IF(INDEX('Prospect Tracker'!$K$5:$K$554,$K63)="","",INDEX('Prospect Tracker'!$K$5:$K$554,$K63)))</f>
        <v/>
      </c>
      <c r="I63" s="6" t="str">
        <f aca="false">IF($K63="","",IF(INDEX('Prospect Tracker'!$T$5:$T$554,$K63)="","",INDEX('Prospect Tracker'!$T$5:$T$554,$K63)))</f>
        <v/>
      </c>
      <c r="J63" s="6" t="str">
        <f aca="false">IF($K63="","",IF(INDEX('Prospect Tracker'!$L$5:$L$554,$K63)="","",INDEX('Prospect Tracker'!$L$5:$L$554,$K63)))</f>
        <v/>
      </c>
      <c r="K63" s="1" t="n">
        <f aca="false">IFERROR(MATCH(SMALL('Prospect Tracker'!$X$5:$X$554,ROW()-4),'Prospect Tracker'!$X$5:$X$554,0),"")</f>
        <v>59</v>
      </c>
    </row>
    <row r="64" customFormat="false" ht="15" hidden="false" customHeight="true" outlineLevel="0" collapsed="false">
      <c r="A64" s="11" t="str">
        <f aca="false">IF($K64="","",IF(INDEX('Prospect Tracker'!$W$5:$W$554,$K64)="","",INDEX('Prospect Tracker'!$W$5:$W$554,$K64)))</f>
        <v/>
      </c>
      <c r="B64" s="11" t="str">
        <f aca="false">IF($K64="","",IF(INDEX('Prospect Tracker'!$A$5:$A$554,$K64)="","",INDEX('Prospect Tracker'!$A$5:$A$554,$K64)))</f>
        <v/>
      </c>
      <c r="C64" s="11" t="str">
        <f aca="false">IF($K64="","",IF(INDEX('Prospect Tracker'!$B$5:$B$554,$K64)="","",INDEX('Prospect Tracker'!$B$5:$B$554,$K64)))</f>
        <v/>
      </c>
      <c r="D64" s="11" t="str">
        <f aca="false">IF($K64="","",IF(INDEX('Prospect Tracker'!$M$5:$M$554,$K64)="","",INDEX('Prospect Tracker'!$M$5:$M$554,$K64)))</f>
        <v/>
      </c>
      <c r="E64" s="11" t="str">
        <f aca="false">IF($K64="","",IF(INDEX('Prospect Tracker'!$R$5:$R$554,$K64)="","",INDEX('Prospect Tracker'!$R$5:$R$554,$K64)))</f>
        <v/>
      </c>
      <c r="F64" s="11" t="str">
        <f aca="false">IF($K64="","",IF(INDEX('Prospect Tracker'!$J$5:$J$554,$K64)="","",INDEX('Prospect Tracker'!$J$5:$J$554,$K64)))</f>
        <v/>
      </c>
      <c r="G64" s="11" t="str">
        <f aca="false">IF($K64="","",IF(INDEX('Prospect Tracker'!$H$5:$H$554,$K64)="","",INDEX('Prospect Tracker'!$H$5:$H$554,$K64)))</f>
        <v/>
      </c>
      <c r="H64" s="12" t="str">
        <f aca="false">IF($K64="","",IF(INDEX('Prospect Tracker'!$K$5:$K$554,$K64)="","",INDEX('Prospect Tracker'!$K$5:$K$554,$K64)))</f>
        <v/>
      </c>
      <c r="I64" s="11" t="str">
        <f aca="false">IF($K64="","",IF(INDEX('Prospect Tracker'!$T$5:$T$554,$K64)="","",INDEX('Prospect Tracker'!$T$5:$T$554,$K64)))</f>
        <v/>
      </c>
      <c r="J64" s="11" t="str">
        <f aca="false">IF($K64="","",IF(INDEX('Prospect Tracker'!$L$5:$L$554,$K64)="","",INDEX('Prospect Tracker'!$L$5:$L$554,$K64)))</f>
        <v/>
      </c>
      <c r="K64" s="1" t="n">
        <f aca="false">IFERROR(MATCH(SMALL('Prospect Tracker'!$X$5:$X$554,ROW()-4),'Prospect Tracker'!$X$5:$X$554,0),"")</f>
        <v>60</v>
      </c>
    </row>
    <row r="65" customFormat="false" ht="15" hidden="false" customHeight="true" outlineLevel="0" collapsed="false">
      <c r="A65" s="6" t="str">
        <f aca="false">IF($K65="","",IF(INDEX('Prospect Tracker'!$W$5:$W$554,$K65)="","",INDEX('Prospect Tracker'!$W$5:$W$554,$K65)))</f>
        <v/>
      </c>
      <c r="B65" s="6" t="str">
        <f aca="false">IF($K65="","",IF(INDEX('Prospect Tracker'!$A$5:$A$554,$K65)="","",INDEX('Prospect Tracker'!$A$5:$A$554,$K65)))</f>
        <v/>
      </c>
      <c r="C65" s="6" t="str">
        <f aca="false">IF($K65="","",IF(INDEX('Prospect Tracker'!$B$5:$B$554,$K65)="","",INDEX('Prospect Tracker'!$B$5:$B$554,$K65)))</f>
        <v/>
      </c>
      <c r="D65" s="6" t="str">
        <f aca="false">IF($K65="","",IF(INDEX('Prospect Tracker'!$M$5:$M$554,$K65)="","",INDEX('Prospect Tracker'!$M$5:$M$554,$K65)))</f>
        <v/>
      </c>
      <c r="E65" s="6" t="str">
        <f aca="false">IF($K65="","",IF(INDEX('Prospect Tracker'!$R$5:$R$554,$K65)="","",INDEX('Prospect Tracker'!$R$5:$R$554,$K65)))</f>
        <v/>
      </c>
      <c r="F65" s="6" t="str">
        <f aca="false">IF($K65="","",IF(INDEX('Prospect Tracker'!$J$5:$J$554,$K65)="","",INDEX('Prospect Tracker'!$J$5:$J$554,$K65)))</f>
        <v/>
      </c>
      <c r="G65" s="6" t="str">
        <f aca="false">IF($K65="","",IF(INDEX('Prospect Tracker'!$H$5:$H$554,$K65)="","",INDEX('Prospect Tracker'!$H$5:$H$554,$K65)))</f>
        <v/>
      </c>
      <c r="H65" s="7" t="str">
        <f aca="false">IF($K65="","",IF(INDEX('Prospect Tracker'!$K$5:$K$554,$K65)="","",INDEX('Prospect Tracker'!$K$5:$K$554,$K65)))</f>
        <v/>
      </c>
      <c r="I65" s="6" t="str">
        <f aca="false">IF($K65="","",IF(INDEX('Prospect Tracker'!$T$5:$T$554,$K65)="","",INDEX('Prospect Tracker'!$T$5:$T$554,$K65)))</f>
        <v/>
      </c>
      <c r="J65" s="6" t="str">
        <f aca="false">IF($K65="","",IF(INDEX('Prospect Tracker'!$L$5:$L$554,$K65)="","",INDEX('Prospect Tracker'!$L$5:$L$554,$K65)))</f>
        <v/>
      </c>
      <c r="K65" s="1" t="n">
        <f aca="false">IFERROR(MATCH(SMALL('Prospect Tracker'!$X$5:$X$554,ROW()-4),'Prospect Tracker'!$X$5:$X$554,0),"")</f>
        <v>61</v>
      </c>
    </row>
    <row r="66" customFormat="false" ht="15" hidden="false" customHeight="true" outlineLevel="0" collapsed="false">
      <c r="A66" s="11" t="str">
        <f aca="false">IF($K66="","",IF(INDEX('Prospect Tracker'!$W$5:$W$554,$K66)="","",INDEX('Prospect Tracker'!$W$5:$W$554,$K66)))</f>
        <v/>
      </c>
      <c r="B66" s="11" t="str">
        <f aca="false">IF($K66="","",IF(INDEX('Prospect Tracker'!$A$5:$A$554,$K66)="","",INDEX('Prospect Tracker'!$A$5:$A$554,$K66)))</f>
        <v/>
      </c>
      <c r="C66" s="11" t="str">
        <f aca="false">IF($K66="","",IF(INDEX('Prospect Tracker'!$B$5:$B$554,$K66)="","",INDEX('Prospect Tracker'!$B$5:$B$554,$K66)))</f>
        <v/>
      </c>
      <c r="D66" s="11" t="str">
        <f aca="false">IF($K66="","",IF(INDEX('Prospect Tracker'!$M$5:$M$554,$K66)="","",INDEX('Prospect Tracker'!$M$5:$M$554,$K66)))</f>
        <v/>
      </c>
      <c r="E66" s="11" t="str">
        <f aca="false">IF($K66="","",IF(INDEX('Prospect Tracker'!$R$5:$R$554,$K66)="","",INDEX('Prospect Tracker'!$R$5:$R$554,$K66)))</f>
        <v/>
      </c>
      <c r="F66" s="11" t="str">
        <f aca="false">IF($K66="","",IF(INDEX('Prospect Tracker'!$J$5:$J$554,$K66)="","",INDEX('Prospect Tracker'!$J$5:$J$554,$K66)))</f>
        <v/>
      </c>
      <c r="G66" s="11" t="str">
        <f aca="false">IF($K66="","",IF(INDEX('Prospect Tracker'!$H$5:$H$554,$K66)="","",INDEX('Prospect Tracker'!$H$5:$H$554,$K66)))</f>
        <v/>
      </c>
      <c r="H66" s="12" t="str">
        <f aca="false">IF($K66="","",IF(INDEX('Prospect Tracker'!$K$5:$K$554,$K66)="","",INDEX('Prospect Tracker'!$K$5:$K$554,$K66)))</f>
        <v/>
      </c>
      <c r="I66" s="11" t="str">
        <f aca="false">IF($K66="","",IF(INDEX('Prospect Tracker'!$T$5:$T$554,$K66)="","",INDEX('Prospect Tracker'!$T$5:$T$554,$K66)))</f>
        <v/>
      </c>
      <c r="J66" s="11" t="str">
        <f aca="false">IF($K66="","",IF(INDEX('Prospect Tracker'!$L$5:$L$554,$K66)="","",INDEX('Prospect Tracker'!$L$5:$L$554,$K66)))</f>
        <v/>
      </c>
      <c r="K66" s="1" t="n">
        <f aca="false">IFERROR(MATCH(SMALL('Prospect Tracker'!$X$5:$X$554,ROW()-4),'Prospect Tracker'!$X$5:$X$554,0),"")</f>
        <v>62</v>
      </c>
    </row>
    <row r="67" customFormat="false" ht="15" hidden="false" customHeight="true" outlineLevel="0" collapsed="false">
      <c r="A67" s="6" t="str">
        <f aca="false">IF($K67="","",IF(INDEX('Prospect Tracker'!$W$5:$W$554,$K67)="","",INDEX('Prospect Tracker'!$W$5:$W$554,$K67)))</f>
        <v/>
      </c>
      <c r="B67" s="6" t="str">
        <f aca="false">IF($K67="","",IF(INDEX('Prospect Tracker'!$A$5:$A$554,$K67)="","",INDEX('Prospect Tracker'!$A$5:$A$554,$K67)))</f>
        <v/>
      </c>
      <c r="C67" s="6" t="str">
        <f aca="false">IF($K67="","",IF(INDEX('Prospect Tracker'!$B$5:$B$554,$K67)="","",INDEX('Prospect Tracker'!$B$5:$B$554,$K67)))</f>
        <v/>
      </c>
      <c r="D67" s="6" t="str">
        <f aca="false">IF($K67="","",IF(INDEX('Prospect Tracker'!$M$5:$M$554,$K67)="","",INDEX('Prospect Tracker'!$M$5:$M$554,$K67)))</f>
        <v/>
      </c>
      <c r="E67" s="6" t="str">
        <f aca="false">IF($K67="","",IF(INDEX('Prospect Tracker'!$R$5:$R$554,$K67)="","",INDEX('Prospect Tracker'!$R$5:$R$554,$K67)))</f>
        <v/>
      </c>
      <c r="F67" s="6" t="str">
        <f aca="false">IF($K67="","",IF(INDEX('Prospect Tracker'!$J$5:$J$554,$K67)="","",INDEX('Prospect Tracker'!$J$5:$J$554,$K67)))</f>
        <v/>
      </c>
      <c r="G67" s="6" t="str">
        <f aca="false">IF($K67="","",IF(INDEX('Prospect Tracker'!$H$5:$H$554,$K67)="","",INDEX('Prospect Tracker'!$H$5:$H$554,$K67)))</f>
        <v/>
      </c>
      <c r="H67" s="7" t="str">
        <f aca="false">IF($K67="","",IF(INDEX('Prospect Tracker'!$K$5:$K$554,$K67)="","",INDEX('Prospect Tracker'!$K$5:$K$554,$K67)))</f>
        <v/>
      </c>
      <c r="I67" s="6" t="str">
        <f aca="false">IF($K67="","",IF(INDEX('Prospect Tracker'!$T$5:$T$554,$K67)="","",INDEX('Prospect Tracker'!$T$5:$T$554,$K67)))</f>
        <v/>
      </c>
      <c r="J67" s="6" t="str">
        <f aca="false">IF($K67="","",IF(INDEX('Prospect Tracker'!$L$5:$L$554,$K67)="","",INDEX('Prospect Tracker'!$L$5:$L$554,$K67)))</f>
        <v/>
      </c>
      <c r="K67" s="1" t="n">
        <f aca="false">IFERROR(MATCH(SMALL('Prospect Tracker'!$X$5:$X$554,ROW()-4),'Prospect Tracker'!$X$5:$X$554,0),"")</f>
        <v>63</v>
      </c>
    </row>
    <row r="68" customFormat="false" ht="15" hidden="false" customHeight="true" outlineLevel="0" collapsed="false">
      <c r="A68" s="11" t="str">
        <f aca="false">IF($K68="","",IF(INDEX('Prospect Tracker'!$W$5:$W$554,$K68)="","",INDEX('Prospect Tracker'!$W$5:$W$554,$K68)))</f>
        <v/>
      </c>
      <c r="B68" s="11" t="str">
        <f aca="false">IF($K68="","",IF(INDEX('Prospect Tracker'!$A$5:$A$554,$K68)="","",INDEX('Prospect Tracker'!$A$5:$A$554,$K68)))</f>
        <v/>
      </c>
      <c r="C68" s="11" t="str">
        <f aca="false">IF($K68="","",IF(INDEX('Prospect Tracker'!$B$5:$B$554,$K68)="","",INDEX('Prospect Tracker'!$B$5:$B$554,$K68)))</f>
        <v/>
      </c>
      <c r="D68" s="11" t="str">
        <f aca="false">IF($K68="","",IF(INDEX('Prospect Tracker'!$M$5:$M$554,$K68)="","",INDEX('Prospect Tracker'!$M$5:$M$554,$K68)))</f>
        <v/>
      </c>
      <c r="E68" s="11" t="str">
        <f aca="false">IF($K68="","",IF(INDEX('Prospect Tracker'!$R$5:$R$554,$K68)="","",INDEX('Prospect Tracker'!$R$5:$R$554,$K68)))</f>
        <v/>
      </c>
      <c r="F68" s="11" t="str">
        <f aca="false">IF($K68="","",IF(INDEX('Prospect Tracker'!$J$5:$J$554,$K68)="","",INDEX('Prospect Tracker'!$J$5:$J$554,$K68)))</f>
        <v/>
      </c>
      <c r="G68" s="11" t="str">
        <f aca="false">IF($K68="","",IF(INDEX('Prospect Tracker'!$H$5:$H$554,$K68)="","",INDEX('Prospect Tracker'!$H$5:$H$554,$K68)))</f>
        <v/>
      </c>
      <c r="H68" s="12" t="str">
        <f aca="false">IF($K68="","",IF(INDEX('Prospect Tracker'!$K$5:$K$554,$K68)="","",INDEX('Prospect Tracker'!$K$5:$K$554,$K68)))</f>
        <v/>
      </c>
      <c r="I68" s="11" t="str">
        <f aca="false">IF($K68="","",IF(INDEX('Prospect Tracker'!$T$5:$T$554,$K68)="","",INDEX('Prospect Tracker'!$T$5:$T$554,$K68)))</f>
        <v/>
      </c>
      <c r="J68" s="11" t="str">
        <f aca="false">IF($K68="","",IF(INDEX('Prospect Tracker'!$L$5:$L$554,$K68)="","",INDEX('Prospect Tracker'!$L$5:$L$554,$K68)))</f>
        <v/>
      </c>
      <c r="K68" s="1" t="n">
        <f aca="false">IFERROR(MATCH(SMALL('Prospect Tracker'!$X$5:$X$554,ROW()-4),'Prospect Tracker'!$X$5:$X$554,0),"")</f>
        <v>64</v>
      </c>
    </row>
    <row r="69" customFormat="false" ht="15" hidden="false" customHeight="true" outlineLevel="0" collapsed="false">
      <c r="A69" s="6" t="str">
        <f aca="false">IF($K69="","",IF(INDEX('Prospect Tracker'!$W$5:$W$554,$K69)="","",INDEX('Prospect Tracker'!$W$5:$W$554,$K69)))</f>
        <v/>
      </c>
      <c r="B69" s="6" t="str">
        <f aca="false">IF($K69="","",IF(INDEX('Prospect Tracker'!$A$5:$A$554,$K69)="","",INDEX('Prospect Tracker'!$A$5:$A$554,$K69)))</f>
        <v/>
      </c>
      <c r="C69" s="6" t="str">
        <f aca="false">IF($K69="","",IF(INDEX('Prospect Tracker'!$B$5:$B$554,$K69)="","",INDEX('Prospect Tracker'!$B$5:$B$554,$K69)))</f>
        <v/>
      </c>
      <c r="D69" s="6" t="str">
        <f aca="false">IF($K69="","",IF(INDEX('Prospect Tracker'!$M$5:$M$554,$K69)="","",INDEX('Prospect Tracker'!$M$5:$M$554,$K69)))</f>
        <v/>
      </c>
      <c r="E69" s="6" t="str">
        <f aca="false">IF($K69="","",IF(INDEX('Prospect Tracker'!$R$5:$R$554,$K69)="","",INDEX('Prospect Tracker'!$R$5:$R$554,$K69)))</f>
        <v/>
      </c>
      <c r="F69" s="6" t="str">
        <f aca="false">IF($K69="","",IF(INDEX('Prospect Tracker'!$J$5:$J$554,$K69)="","",INDEX('Prospect Tracker'!$J$5:$J$554,$K69)))</f>
        <v/>
      </c>
      <c r="G69" s="6" t="str">
        <f aca="false">IF($K69="","",IF(INDEX('Prospect Tracker'!$H$5:$H$554,$K69)="","",INDEX('Prospect Tracker'!$H$5:$H$554,$K69)))</f>
        <v/>
      </c>
      <c r="H69" s="7" t="str">
        <f aca="false">IF($K69="","",IF(INDEX('Prospect Tracker'!$K$5:$K$554,$K69)="","",INDEX('Prospect Tracker'!$K$5:$K$554,$K69)))</f>
        <v/>
      </c>
      <c r="I69" s="6" t="str">
        <f aca="false">IF($K69="","",IF(INDEX('Prospect Tracker'!$T$5:$T$554,$K69)="","",INDEX('Prospect Tracker'!$T$5:$T$554,$K69)))</f>
        <v/>
      </c>
      <c r="J69" s="6" t="str">
        <f aca="false">IF($K69="","",IF(INDEX('Prospect Tracker'!$L$5:$L$554,$K69)="","",INDEX('Prospect Tracker'!$L$5:$L$554,$K69)))</f>
        <v/>
      </c>
      <c r="K69" s="1" t="n">
        <f aca="false">IFERROR(MATCH(SMALL('Prospect Tracker'!$X$5:$X$554,ROW()-4),'Prospect Tracker'!$X$5:$X$554,0),"")</f>
        <v>65</v>
      </c>
    </row>
    <row r="70" customFormat="false" ht="15" hidden="false" customHeight="true" outlineLevel="0" collapsed="false">
      <c r="A70" s="11" t="str">
        <f aca="false">IF($K70="","",IF(INDEX('Prospect Tracker'!$W$5:$W$554,$K70)="","",INDEX('Prospect Tracker'!$W$5:$W$554,$K70)))</f>
        <v/>
      </c>
      <c r="B70" s="11" t="str">
        <f aca="false">IF($K70="","",IF(INDEX('Prospect Tracker'!$A$5:$A$554,$K70)="","",INDEX('Prospect Tracker'!$A$5:$A$554,$K70)))</f>
        <v/>
      </c>
      <c r="C70" s="11" t="str">
        <f aca="false">IF($K70="","",IF(INDEX('Prospect Tracker'!$B$5:$B$554,$K70)="","",INDEX('Prospect Tracker'!$B$5:$B$554,$K70)))</f>
        <v/>
      </c>
      <c r="D70" s="11" t="str">
        <f aca="false">IF($K70="","",IF(INDEX('Prospect Tracker'!$M$5:$M$554,$K70)="","",INDEX('Prospect Tracker'!$M$5:$M$554,$K70)))</f>
        <v/>
      </c>
      <c r="E70" s="11" t="str">
        <f aca="false">IF($K70="","",IF(INDEX('Prospect Tracker'!$R$5:$R$554,$K70)="","",INDEX('Prospect Tracker'!$R$5:$R$554,$K70)))</f>
        <v/>
      </c>
      <c r="F70" s="11" t="str">
        <f aca="false">IF($K70="","",IF(INDEX('Prospect Tracker'!$J$5:$J$554,$K70)="","",INDEX('Prospect Tracker'!$J$5:$J$554,$K70)))</f>
        <v/>
      </c>
      <c r="G70" s="11" t="str">
        <f aca="false">IF($K70="","",IF(INDEX('Prospect Tracker'!$H$5:$H$554,$K70)="","",INDEX('Prospect Tracker'!$H$5:$H$554,$K70)))</f>
        <v/>
      </c>
      <c r="H70" s="12" t="str">
        <f aca="false">IF($K70="","",IF(INDEX('Prospect Tracker'!$K$5:$K$554,$K70)="","",INDEX('Prospect Tracker'!$K$5:$K$554,$K70)))</f>
        <v/>
      </c>
      <c r="I70" s="11" t="str">
        <f aca="false">IF($K70="","",IF(INDEX('Prospect Tracker'!$T$5:$T$554,$K70)="","",INDEX('Prospect Tracker'!$T$5:$T$554,$K70)))</f>
        <v/>
      </c>
      <c r="J70" s="11" t="str">
        <f aca="false">IF($K70="","",IF(INDEX('Prospect Tracker'!$L$5:$L$554,$K70)="","",INDEX('Prospect Tracker'!$L$5:$L$554,$K70)))</f>
        <v/>
      </c>
      <c r="K70" s="1" t="n">
        <f aca="false">IFERROR(MATCH(SMALL('Prospect Tracker'!$X$5:$X$554,ROW()-4),'Prospect Tracker'!$X$5:$X$554,0),"")</f>
        <v>66</v>
      </c>
    </row>
    <row r="71" customFormat="false" ht="15" hidden="false" customHeight="true" outlineLevel="0" collapsed="false">
      <c r="A71" s="6" t="str">
        <f aca="false">IF($K71="","",IF(INDEX('Prospect Tracker'!$W$5:$W$554,$K71)="","",INDEX('Prospect Tracker'!$W$5:$W$554,$K71)))</f>
        <v/>
      </c>
      <c r="B71" s="6" t="str">
        <f aca="false">IF($K71="","",IF(INDEX('Prospect Tracker'!$A$5:$A$554,$K71)="","",INDEX('Prospect Tracker'!$A$5:$A$554,$K71)))</f>
        <v/>
      </c>
      <c r="C71" s="6" t="str">
        <f aca="false">IF($K71="","",IF(INDEX('Prospect Tracker'!$B$5:$B$554,$K71)="","",INDEX('Prospect Tracker'!$B$5:$B$554,$K71)))</f>
        <v/>
      </c>
      <c r="D71" s="6" t="str">
        <f aca="false">IF($K71="","",IF(INDEX('Prospect Tracker'!$M$5:$M$554,$K71)="","",INDEX('Prospect Tracker'!$M$5:$M$554,$K71)))</f>
        <v/>
      </c>
      <c r="E71" s="6" t="str">
        <f aca="false">IF($K71="","",IF(INDEX('Prospect Tracker'!$R$5:$R$554,$K71)="","",INDEX('Prospect Tracker'!$R$5:$R$554,$K71)))</f>
        <v/>
      </c>
      <c r="F71" s="6" t="str">
        <f aca="false">IF($K71="","",IF(INDEX('Prospect Tracker'!$J$5:$J$554,$K71)="","",INDEX('Prospect Tracker'!$J$5:$J$554,$K71)))</f>
        <v/>
      </c>
      <c r="G71" s="6" t="str">
        <f aca="false">IF($K71="","",IF(INDEX('Prospect Tracker'!$H$5:$H$554,$K71)="","",INDEX('Prospect Tracker'!$H$5:$H$554,$K71)))</f>
        <v/>
      </c>
      <c r="H71" s="7" t="str">
        <f aca="false">IF($K71="","",IF(INDEX('Prospect Tracker'!$K$5:$K$554,$K71)="","",INDEX('Prospect Tracker'!$K$5:$K$554,$K71)))</f>
        <v/>
      </c>
      <c r="I71" s="6" t="str">
        <f aca="false">IF($K71="","",IF(INDEX('Prospect Tracker'!$T$5:$T$554,$K71)="","",INDEX('Prospect Tracker'!$T$5:$T$554,$K71)))</f>
        <v/>
      </c>
      <c r="J71" s="6" t="str">
        <f aca="false">IF($K71="","",IF(INDEX('Prospect Tracker'!$L$5:$L$554,$K71)="","",INDEX('Prospect Tracker'!$L$5:$L$554,$K71)))</f>
        <v/>
      </c>
      <c r="K71" s="1" t="n">
        <f aca="false">IFERROR(MATCH(SMALL('Prospect Tracker'!$X$5:$X$554,ROW()-4),'Prospect Tracker'!$X$5:$X$554,0),"")</f>
        <v>67</v>
      </c>
    </row>
    <row r="72" customFormat="false" ht="15" hidden="false" customHeight="true" outlineLevel="0" collapsed="false">
      <c r="A72" s="11" t="str">
        <f aca="false">IF($K72="","",IF(INDEX('Prospect Tracker'!$W$5:$W$554,$K72)="","",INDEX('Prospect Tracker'!$W$5:$W$554,$K72)))</f>
        <v/>
      </c>
      <c r="B72" s="11" t="str">
        <f aca="false">IF($K72="","",IF(INDEX('Prospect Tracker'!$A$5:$A$554,$K72)="","",INDEX('Prospect Tracker'!$A$5:$A$554,$K72)))</f>
        <v/>
      </c>
      <c r="C72" s="11" t="str">
        <f aca="false">IF($K72="","",IF(INDEX('Prospect Tracker'!$B$5:$B$554,$K72)="","",INDEX('Prospect Tracker'!$B$5:$B$554,$K72)))</f>
        <v/>
      </c>
      <c r="D72" s="11" t="str">
        <f aca="false">IF($K72="","",IF(INDEX('Prospect Tracker'!$M$5:$M$554,$K72)="","",INDEX('Prospect Tracker'!$M$5:$M$554,$K72)))</f>
        <v/>
      </c>
      <c r="E72" s="11" t="str">
        <f aca="false">IF($K72="","",IF(INDEX('Prospect Tracker'!$R$5:$R$554,$K72)="","",INDEX('Prospect Tracker'!$R$5:$R$554,$K72)))</f>
        <v/>
      </c>
      <c r="F72" s="11" t="str">
        <f aca="false">IF($K72="","",IF(INDEX('Prospect Tracker'!$J$5:$J$554,$K72)="","",INDEX('Prospect Tracker'!$J$5:$J$554,$K72)))</f>
        <v/>
      </c>
      <c r="G72" s="11" t="str">
        <f aca="false">IF($K72="","",IF(INDEX('Prospect Tracker'!$H$5:$H$554,$K72)="","",INDEX('Prospect Tracker'!$H$5:$H$554,$K72)))</f>
        <v/>
      </c>
      <c r="H72" s="12" t="str">
        <f aca="false">IF($K72="","",IF(INDEX('Prospect Tracker'!$K$5:$K$554,$K72)="","",INDEX('Prospect Tracker'!$K$5:$K$554,$K72)))</f>
        <v/>
      </c>
      <c r="I72" s="11" t="str">
        <f aca="false">IF($K72="","",IF(INDEX('Prospect Tracker'!$T$5:$T$554,$K72)="","",INDEX('Prospect Tracker'!$T$5:$T$554,$K72)))</f>
        <v/>
      </c>
      <c r="J72" s="11" t="str">
        <f aca="false">IF($K72="","",IF(INDEX('Prospect Tracker'!$L$5:$L$554,$K72)="","",INDEX('Prospect Tracker'!$L$5:$L$554,$K72)))</f>
        <v/>
      </c>
      <c r="K72" s="1" t="n">
        <f aca="false">IFERROR(MATCH(SMALL('Prospect Tracker'!$X$5:$X$554,ROW()-4),'Prospect Tracker'!$X$5:$X$554,0),"")</f>
        <v>68</v>
      </c>
    </row>
    <row r="73" customFormat="false" ht="15" hidden="false" customHeight="true" outlineLevel="0" collapsed="false">
      <c r="A73" s="6" t="str">
        <f aca="false">IF($K73="","",IF(INDEX('Prospect Tracker'!$W$5:$W$554,$K73)="","",INDEX('Prospect Tracker'!$W$5:$W$554,$K73)))</f>
        <v/>
      </c>
      <c r="B73" s="6" t="str">
        <f aca="false">IF($K73="","",IF(INDEX('Prospect Tracker'!$A$5:$A$554,$K73)="","",INDEX('Prospect Tracker'!$A$5:$A$554,$K73)))</f>
        <v/>
      </c>
      <c r="C73" s="6" t="str">
        <f aca="false">IF($K73="","",IF(INDEX('Prospect Tracker'!$B$5:$B$554,$K73)="","",INDEX('Prospect Tracker'!$B$5:$B$554,$K73)))</f>
        <v/>
      </c>
      <c r="D73" s="6" t="str">
        <f aca="false">IF($K73="","",IF(INDEX('Prospect Tracker'!$M$5:$M$554,$K73)="","",INDEX('Prospect Tracker'!$M$5:$M$554,$K73)))</f>
        <v/>
      </c>
      <c r="E73" s="6" t="str">
        <f aca="false">IF($K73="","",IF(INDEX('Prospect Tracker'!$R$5:$R$554,$K73)="","",INDEX('Prospect Tracker'!$R$5:$R$554,$K73)))</f>
        <v/>
      </c>
      <c r="F73" s="6" t="str">
        <f aca="false">IF($K73="","",IF(INDEX('Prospect Tracker'!$J$5:$J$554,$K73)="","",INDEX('Prospect Tracker'!$J$5:$J$554,$K73)))</f>
        <v/>
      </c>
      <c r="G73" s="6" t="str">
        <f aca="false">IF($K73="","",IF(INDEX('Prospect Tracker'!$H$5:$H$554,$K73)="","",INDEX('Prospect Tracker'!$H$5:$H$554,$K73)))</f>
        <v/>
      </c>
      <c r="H73" s="7" t="str">
        <f aca="false">IF($K73="","",IF(INDEX('Prospect Tracker'!$K$5:$K$554,$K73)="","",INDEX('Prospect Tracker'!$K$5:$K$554,$K73)))</f>
        <v/>
      </c>
      <c r="I73" s="6" t="str">
        <f aca="false">IF($K73="","",IF(INDEX('Prospect Tracker'!$T$5:$T$554,$K73)="","",INDEX('Prospect Tracker'!$T$5:$T$554,$K73)))</f>
        <v/>
      </c>
      <c r="J73" s="6" t="str">
        <f aca="false">IF($K73="","",IF(INDEX('Prospect Tracker'!$L$5:$L$554,$K73)="","",INDEX('Prospect Tracker'!$L$5:$L$554,$K73)))</f>
        <v/>
      </c>
      <c r="K73" s="1" t="n">
        <f aca="false">IFERROR(MATCH(SMALL('Prospect Tracker'!$X$5:$X$554,ROW()-4),'Prospect Tracker'!$X$5:$X$554,0),"")</f>
        <v>69</v>
      </c>
    </row>
    <row r="74" customFormat="false" ht="15" hidden="false" customHeight="true" outlineLevel="0" collapsed="false">
      <c r="A74" s="11" t="str">
        <f aca="false">IF($K74="","",IF(INDEX('Prospect Tracker'!$W$5:$W$554,$K74)="","",INDEX('Prospect Tracker'!$W$5:$W$554,$K74)))</f>
        <v/>
      </c>
      <c r="B74" s="11" t="str">
        <f aca="false">IF($K74="","",IF(INDEX('Prospect Tracker'!$A$5:$A$554,$K74)="","",INDEX('Prospect Tracker'!$A$5:$A$554,$K74)))</f>
        <v/>
      </c>
      <c r="C74" s="11" t="str">
        <f aca="false">IF($K74="","",IF(INDEX('Prospect Tracker'!$B$5:$B$554,$K74)="","",INDEX('Prospect Tracker'!$B$5:$B$554,$K74)))</f>
        <v/>
      </c>
      <c r="D74" s="11" t="str">
        <f aca="false">IF($K74="","",IF(INDEX('Prospect Tracker'!$M$5:$M$554,$K74)="","",INDEX('Prospect Tracker'!$M$5:$M$554,$K74)))</f>
        <v/>
      </c>
      <c r="E74" s="11" t="str">
        <f aca="false">IF($K74="","",IF(INDEX('Prospect Tracker'!$R$5:$R$554,$K74)="","",INDEX('Prospect Tracker'!$R$5:$R$554,$K74)))</f>
        <v/>
      </c>
      <c r="F74" s="11" t="str">
        <f aca="false">IF($K74="","",IF(INDEX('Prospect Tracker'!$J$5:$J$554,$K74)="","",INDEX('Prospect Tracker'!$J$5:$J$554,$K74)))</f>
        <v/>
      </c>
      <c r="G74" s="11" t="str">
        <f aca="false">IF($K74="","",IF(INDEX('Prospect Tracker'!$H$5:$H$554,$K74)="","",INDEX('Prospect Tracker'!$H$5:$H$554,$K74)))</f>
        <v/>
      </c>
      <c r="H74" s="12" t="str">
        <f aca="false">IF($K74="","",IF(INDEX('Prospect Tracker'!$K$5:$K$554,$K74)="","",INDEX('Prospect Tracker'!$K$5:$K$554,$K74)))</f>
        <v/>
      </c>
      <c r="I74" s="11" t="str">
        <f aca="false">IF($K74="","",IF(INDEX('Prospect Tracker'!$T$5:$T$554,$K74)="","",INDEX('Prospect Tracker'!$T$5:$T$554,$K74)))</f>
        <v/>
      </c>
      <c r="J74" s="11" t="str">
        <f aca="false">IF($K74="","",IF(INDEX('Prospect Tracker'!$L$5:$L$554,$K74)="","",INDEX('Prospect Tracker'!$L$5:$L$554,$K74)))</f>
        <v/>
      </c>
      <c r="K74" s="1" t="n">
        <f aca="false">IFERROR(MATCH(SMALL('Prospect Tracker'!$X$5:$X$554,ROW()-4),'Prospect Tracker'!$X$5:$X$554,0),"")</f>
        <v>70</v>
      </c>
    </row>
    <row r="75" customFormat="false" ht="15" hidden="false" customHeight="true" outlineLevel="0" collapsed="false">
      <c r="A75" s="6" t="str">
        <f aca="false">IF($K75="","",IF(INDEX('Prospect Tracker'!$W$5:$W$554,$K75)="","",INDEX('Prospect Tracker'!$W$5:$W$554,$K75)))</f>
        <v/>
      </c>
      <c r="B75" s="6" t="str">
        <f aca="false">IF($K75="","",IF(INDEX('Prospect Tracker'!$A$5:$A$554,$K75)="","",INDEX('Prospect Tracker'!$A$5:$A$554,$K75)))</f>
        <v/>
      </c>
      <c r="C75" s="6" t="str">
        <f aca="false">IF($K75="","",IF(INDEX('Prospect Tracker'!$B$5:$B$554,$K75)="","",INDEX('Prospect Tracker'!$B$5:$B$554,$K75)))</f>
        <v/>
      </c>
      <c r="D75" s="6" t="str">
        <f aca="false">IF($K75="","",IF(INDEX('Prospect Tracker'!$M$5:$M$554,$K75)="","",INDEX('Prospect Tracker'!$M$5:$M$554,$K75)))</f>
        <v/>
      </c>
      <c r="E75" s="6" t="str">
        <f aca="false">IF($K75="","",IF(INDEX('Prospect Tracker'!$R$5:$R$554,$K75)="","",INDEX('Prospect Tracker'!$R$5:$R$554,$K75)))</f>
        <v/>
      </c>
      <c r="F75" s="6" t="str">
        <f aca="false">IF($K75="","",IF(INDEX('Prospect Tracker'!$J$5:$J$554,$K75)="","",INDEX('Prospect Tracker'!$J$5:$J$554,$K75)))</f>
        <v/>
      </c>
      <c r="G75" s="6" t="str">
        <f aca="false">IF($K75="","",IF(INDEX('Prospect Tracker'!$H$5:$H$554,$K75)="","",INDEX('Prospect Tracker'!$H$5:$H$554,$K75)))</f>
        <v/>
      </c>
      <c r="H75" s="7" t="str">
        <f aca="false">IF($K75="","",IF(INDEX('Prospect Tracker'!$K$5:$K$554,$K75)="","",INDEX('Prospect Tracker'!$K$5:$K$554,$K75)))</f>
        <v/>
      </c>
      <c r="I75" s="6" t="str">
        <f aca="false">IF($K75="","",IF(INDEX('Prospect Tracker'!$T$5:$T$554,$K75)="","",INDEX('Prospect Tracker'!$T$5:$T$554,$K75)))</f>
        <v/>
      </c>
      <c r="J75" s="6" t="str">
        <f aca="false">IF($K75="","",IF(INDEX('Prospect Tracker'!$L$5:$L$554,$K75)="","",INDEX('Prospect Tracker'!$L$5:$L$554,$K75)))</f>
        <v/>
      </c>
      <c r="K75" s="1" t="n">
        <f aca="false">IFERROR(MATCH(SMALL('Prospect Tracker'!$X$5:$X$554,ROW()-4),'Prospect Tracker'!$X$5:$X$554,0),"")</f>
        <v>71</v>
      </c>
    </row>
    <row r="76" customFormat="false" ht="15" hidden="false" customHeight="true" outlineLevel="0" collapsed="false">
      <c r="A76" s="11" t="str">
        <f aca="false">IF($K76="","",IF(INDEX('Prospect Tracker'!$W$5:$W$554,$K76)="","",INDEX('Prospect Tracker'!$W$5:$W$554,$K76)))</f>
        <v/>
      </c>
      <c r="B76" s="11" t="str">
        <f aca="false">IF($K76="","",IF(INDEX('Prospect Tracker'!$A$5:$A$554,$K76)="","",INDEX('Prospect Tracker'!$A$5:$A$554,$K76)))</f>
        <v/>
      </c>
      <c r="C76" s="11" t="str">
        <f aca="false">IF($K76="","",IF(INDEX('Prospect Tracker'!$B$5:$B$554,$K76)="","",INDEX('Prospect Tracker'!$B$5:$B$554,$K76)))</f>
        <v/>
      </c>
      <c r="D76" s="11" t="str">
        <f aca="false">IF($K76="","",IF(INDEX('Prospect Tracker'!$M$5:$M$554,$K76)="","",INDEX('Prospect Tracker'!$M$5:$M$554,$K76)))</f>
        <v/>
      </c>
      <c r="E76" s="11" t="str">
        <f aca="false">IF($K76="","",IF(INDEX('Prospect Tracker'!$R$5:$R$554,$K76)="","",INDEX('Prospect Tracker'!$R$5:$R$554,$K76)))</f>
        <v/>
      </c>
      <c r="F76" s="11" t="str">
        <f aca="false">IF($K76="","",IF(INDEX('Prospect Tracker'!$J$5:$J$554,$K76)="","",INDEX('Prospect Tracker'!$J$5:$J$554,$K76)))</f>
        <v/>
      </c>
      <c r="G76" s="11" t="str">
        <f aca="false">IF($K76="","",IF(INDEX('Prospect Tracker'!$H$5:$H$554,$K76)="","",INDEX('Prospect Tracker'!$H$5:$H$554,$K76)))</f>
        <v/>
      </c>
      <c r="H76" s="12" t="str">
        <f aca="false">IF($K76="","",IF(INDEX('Prospect Tracker'!$K$5:$K$554,$K76)="","",INDEX('Prospect Tracker'!$K$5:$K$554,$K76)))</f>
        <v/>
      </c>
      <c r="I76" s="11" t="str">
        <f aca="false">IF($K76="","",IF(INDEX('Prospect Tracker'!$T$5:$T$554,$K76)="","",INDEX('Prospect Tracker'!$T$5:$T$554,$K76)))</f>
        <v/>
      </c>
      <c r="J76" s="11" t="str">
        <f aca="false">IF($K76="","",IF(INDEX('Prospect Tracker'!$L$5:$L$554,$K76)="","",INDEX('Prospect Tracker'!$L$5:$L$554,$K76)))</f>
        <v/>
      </c>
      <c r="K76" s="1" t="n">
        <f aca="false">IFERROR(MATCH(SMALL('Prospect Tracker'!$X$5:$X$554,ROW()-4),'Prospect Tracker'!$X$5:$X$554,0),"")</f>
        <v>72</v>
      </c>
    </row>
    <row r="77" customFormat="false" ht="15" hidden="false" customHeight="true" outlineLevel="0" collapsed="false">
      <c r="A77" s="6" t="str">
        <f aca="false">IF($K77="","",IF(INDEX('Prospect Tracker'!$W$5:$W$554,$K77)="","",INDEX('Prospect Tracker'!$W$5:$W$554,$K77)))</f>
        <v/>
      </c>
      <c r="B77" s="6" t="str">
        <f aca="false">IF($K77="","",IF(INDEX('Prospect Tracker'!$A$5:$A$554,$K77)="","",INDEX('Prospect Tracker'!$A$5:$A$554,$K77)))</f>
        <v/>
      </c>
      <c r="C77" s="6" t="str">
        <f aca="false">IF($K77="","",IF(INDEX('Prospect Tracker'!$B$5:$B$554,$K77)="","",INDEX('Prospect Tracker'!$B$5:$B$554,$K77)))</f>
        <v/>
      </c>
      <c r="D77" s="6" t="str">
        <f aca="false">IF($K77="","",IF(INDEX('Prospect Tracker'!$M$5:$M$554,$K77)="","",INDEX('Prospect Tracker'!$M$5:$M$554,$K77)))</f>
        <v/>
      </c>
      <c r="E77" s="6" t="str">
        <f aca="false">IF($K77="","",IF(INDEX('Prospect Tracker'!$R$5:$R$554,$K77)="","",INDEX('Prospect Tracker'!$R$5:$R$554,$K77)))</f>
        <v/>
      </c>
      <c r="F77" s="6" t="str">
        <f aca="false">IF($K77="","",IF(INDEX('Prospect Tracker'!$J$5:$J$554,$K77)="","",INDEX('Prospect Tracker'!$J$5:$J$554,$K77)))</f>
        <v/>
      </c>
      <c r="G77" s="6" t="str">
        <f aca="false">IF($K77="","",IF(INDEX('Prospect Tracker'!$H$5:$H$554,$K77)="","",INDEX('Prospect Tracker'!$H$5:$H$554,$K77)))</f>
        <v/>
      </c>
      <c r="H77" s="7" t="str">
        <f aca="false">IF($K77="","",IF(INDEX('Prospect Tracker'!$K$5:$K$554,$K77)="","",INDEX('Prospect Tracker'!$K$5:$K$554,$K77)))</f>
        <v/>
      </c>
      <c r="I77" s="6" t="str">
        <f aca="false">IF($K77="","",IF(INDEX('Prospect Tracker'!$T$5:$T$554,$K77)="","",INDEX('Prospect Tracker'!$T$5:$T$554,$K77)))</f>
        <v/>
      </c>
      <c r="J77" s="6" t="str">
        <f aca="false">IF($K77="","",IF(INDEX('Prospect Tracker'!$L$5:$L$554,$K77)="","",INDEX('Prospect Tracker'!$L$5:$L$554,$K77)))</f>
        <v/>
      </c>
      <c r="K77" s="1" t="n">
        <f aca="false">IFERROR(MATCH(SMALL('Prospect Tracker'!$X$5:$X$554,ROW()-4),'Prospect Tracker'!$X$5:$X$554,0),"")</f>
        <v>73</v>
      </c>
    </row>
    <row r="78" customFormat="false" ht="15" hidden="false" customHeight="true" outlineLevel="0" collapsed="false">
      <c r="A78" s="11" t="str">
        <f aca="false">IF($K78="","",IF(INDEX('Prospect Tracker'!$W$5:$W$554,$K78)="","",INDEX('Prospect Tracker'!$W$5:$W$554,$K78)))</f>
        <v/>
      </c>
      <c r="B78" s="11" t="str">
        <f aca="false">IF($K78="","",IF(INDEX('Prospect Tracker'!$A$5:$A$554,$K78)="","",INDEX('Prospect Tracker'!$A$5:$A$554,$K78)))</f>
        <v/>
      </c>
      <c r="C78" s="11" t="str">
        <f aca="false">IF($K78="","",IF(INDEX('Prospect Tracker'!$B$5:$B$554,$K78)="","",INDEX('Prospect Tracker'!$B$5:$B$554,$K78)))</f>
        <v/>
      </c>
      <c r="D78" s="11" t="str">
        <f aca="false">IF($K78="","",IF(INDEX('Prospect Tracker'!$M$5:$M$554,$K78)="","",INDEX('Prospect Tracker'!$M$5:$M$554,$K78)))</f>
        <v/>
      </c>
      <c r="E78" s="11" t="str">
        <f aca="false">IF($K78="","",IF(INDEX('Prospect Tracker'!$R$5:$R$554,$K78)="","",INDEX('Prospect Tracker'!$R$5:$R$554,$K78)))</f>
        <v/>
      </c>
      <c r="F78" s="11" t="str">
        <f aca="false">IF($K78="","",IF(INDEX('Prospect Tracker'!$J$5:$J$554,$K78)="","",INDEX('Prospect Tracker'!$J$5:$J$554,$K78)))</f>
        <v/>
      </c>
      <c r="G78" s="11" t="str">
        <f aca="false">IF($K78="","",IF(INDEX('Prospect Tracker'!$H$5:$H$554,$K78)="","",INDEX('Prospect Tracker'!$H$5:$H$554,$K78)))</f>
        <v/>
      </c>
      <c r="H78" s="12" t="str">
        <f aca="false">IF($K78="","",IF(INDEX('Prospect Tracker'!$K$5:$K$554,$K78)="","",INDEX('Prospect Tracker'!$K$5:$K$554,$K78)))</f>
        <v/>
      </c>
      <c r="I78" s="11" t="str">
        <f aca="false">IF($K78="","",IF(INDEX('Prospect Tracker'!$T$5:$T$554,$K78)="","",INDEX('Prospect Tracker'!$T$5:$T$554,$K78)))</f>
        <v/>
      </c>
      <c r="J78" s="11" t="str">
        <f aca="false">IF($K78="","",IF(INDEX('Prospect Tracker'!$L$5:$L$554,$K78)="","",INDEX('Prospect Tracker'!$L$5:$L$554,$K78)))</f>
        <v/>
      </c>
      <c r="K78" s="1" t="n">
        <f aca="false">IFERROR(MATCH(SMALL('Prospect Tracker'!$X$5:$X$554,ROW()-4),'Prospect Tracker'!$X$5:$X$554,0),"")</f>
        <v>74</v>
      </c>
    </row>
    <row r="79" customFormat="false" ht="15" hidden="false" customHeight="true" outlineLevel="0" collapsed="false">
      <c r="A79" s="6" t="str">
        <f aca="false">IF($K79="","",IF(INDEX('Prospect Tracker'!$W$5:$W$554,$K79)="","",INDEX('Prospect Tracker'!$W$5:$W$554,$K79)))</f>
        <v/>
      </c>
      <c r="B79" s="6" t="str">
        <f aca="false">IF($K79="","",IF(INDEX('Prospect Tracker'!$A$5:$A$554,$K79)="","",INDEX('Prospect Tracker'!$A$5:$A$554,$K79)))</f>
        <v/>
      </c>
      <c r="C79" s="6" t="str">
        <f aca="false">IF($K79="","",IF(INDEX('Prospect Tracker'!$B$5:$B$554,$K79)="","",INDEX('Prospect Tracker'!$B$5:$B$554,$K79)))</f>
        <v/>
      </c>
      <c r="D79" s="6" t="str">
        <f aca="false">IF($K79="","",IF(INDEX('Prospect Tracker'!$M$5:$M$554,$K79)="","",INDEX('Prospect Tracker'!$M$5:$M$554,$K79)))</f>
        <v/>
      </c>
      <c r="E79" s="6" t="str">
        <f aca="false">IF($K79="","",IF(INDEX('Prospect Tracker'!$R$5:$R$554,$K79)="","",INDEX('Prospect Tracker'!$R$5:$R$554,$K79)))</f>
        <v/>
      </c>
      <c r="F79" s="6" t="str">
        <f aca="false">IF($K79="","",IF(INDEX('Prospect Tracker'!$J$5:$J$554,$K79)="","",INDEX('Prospect Tracker'!$J$5:$J$554,$K79)))</f>
        <v/>
      </c>
      <c r="G79" s="6" t="str">
        <f aca="false">IF($K79="","",IF(INDEX('Prospect Tracker'!$H$5:$H$554,$K79)="","",INDEX('Prospect Tracker'!$H$5:$H$554,$K79)))</f>
        <v/>
      </c>
      <c r="H79" s="7" t="str">
        <f aca="false">IF($K79="","",IF(INDEX('Prospect Tracker'!$K$5:$K$554,$K79)="","",INDEX('Prospect Tracker'!$K$5:$K$554,$K79)))</f>
        <v/>
      </c>
      <c r="I79" s="6" t="str">
        <f aca="false">IF($K79="","",IF(INDEX('Prospect Tracker'!$T$5:$T$554,$K79)="","",INDEX('Prospect Tracker'!$T$5:$T$554,$K79)))</f>
        <v/>
      </c>
      <c r="J79" s="6" t="str">
        <f aca="false">IF($K79="","",IF(INDEX('Prospect Tracker'!$L$5:$L$554,$K79)="","",INDEX('Prospect Tracker'!$L$5:$L$554,$K79)))</f>
        <v/>
      </c>
      <c r="K79" s="1" t="n">
        <f aca="false">IFERROR(MATCH(SMALL('Prospect Tracker'!$X$5:$X$554,ROW()-4),'Prospect Tracker'!$X$5:$X$554,0),"")</f>
        <v>75</v>
      </c>
    </row>
    <row r="80" customFormat="false" ht="15" hidden="false" customHeight="true" outlineLevel="0" collapsed="false">
      <c r="A80" s="11" t="str">
        <f aca="false">IF($K80="","",IF(INDEX('Prospect Tracker'!$W$5:$W$554,$K80)="","",INDEX('Prospect Tracker'!$W$5:$W$554,$K80)))</f>
        <v/>
      </c>
      <c r="B80" s="11" t="str">
        <f aca="false">IF($K80="","",IF(INDEX('Prospect Tracker'!$A$5:$A$554,$K80)="","",INDEX('Prospect Tracker'!$A$5:$A$554,$K80)))</f>
        <v/>
      </c>
      <c r="C80" s="11" t="str">
        <f aca="false">IF($K80="","",IF(INDEX('Prospect Tracker'!$B$5:$B$554,$K80)="","",INDEX('Prospect Tracker'!$B$5:$B$554,$K80)))</f>
        <v/>
      </c>
      <c r="D80" s="11" t="str">
        <f aca="false">IF($K80="","",IF(INDEX('Prospect Tracker'!$M$5:$M$554,$K80)="","",INDEX('Prospect Tracker'!$M$5:$M$554,$K80)))</f>
        <v/>
      </c>
      <c r="E80" s="11" t="str">
        <f aca="false">IF($K80="","",IF(INDEX('Prospect Tracker'!$R$5:$R$554,$K80)="","",INDEX('Prospect Tracker'!$R$5:$R$554,$K80)))</f>
        <v/>
      </c>
      <c r="F80" s="11" t="str">
        <f aca="false">IF($K80="","",IF(INDEX('Prospect Tracker'!$J$5:$J$554,$K80)="","",INDEX('Prospect Tracker'!$J$5:$J$554,$K80)))</f>
        <v/>
      </c>
      <c r="G80" s="11" t="str">
        <f aca="false">IF($K80="","",IF(INDEX('Prospect Tracker'!$H$5:$H$554,$K80)="","",INDEX('Prospect Tracker'!$H$5:$H$554,$K80)))</f>
        <v/>
      </c>
      <c r="H80" s="12" t="str">
        <f aca="false">IF($K80="","",IF(INDEX('Prospect Tracker'!$K$5:$K$554,$K80)="","",INDEX('Prospect Tracker'!$K$5:$K$554,$K80)))</f>
        <v/>
      </c>
      <c r="I80" s="11" t="str">
        <f aca="false">IF($K80="","",IF(INDEX('Prospect Tracker'!$T$5:$T$554,$K80)="","",INDEX('Prospect Tracker'!$T$5:$T$554,$K80)))</f>
        <v/>
      </c>
      <c r="J80" s="11" t="str">
        <f aca="false">IF($K80="","",IF(INDEX('Prospect Tracker'!$L$5:$L$554,$K80)="","",INDEX('Prospect Tracker'!$L$5:$L$554,$K80)))</f>
        <v/>
      </c>
      <c r="K80" s="1" t="n">
        <f aca="false">IFERROR(MATCH(SMALL('Prospect Tracker'!$X$5:$X$554,ROW()-4),'Prospect Tracker'!$X$5:$X$554,0),"")</f>
        <v>76</v>
      </c>
    </row>
    <row r="81" customFormat="false" ht="15" hidden="false" customHeight="true" outlineLevel="0" collapsed="false">
      <c r="A81" s="6" t="str">
        <f aca="false">IF($K81="","",IF(INDEX('Prospect Tracker'!$W$5:$W$554,$K81)="","",INDEX('Prospect Tracker'!$W$5:$W$554,$K81)))</f>
        <v/>
      </c>
      <c r="B81" s="6" t="str">
        <f aca="false">IF($K81="","",IF(INDEX('Prospect Tracker'!$A$5:$A$554,$K81)="","",INDEX('Prospect Tracker'!$A$5:$A$554,$K81)))</f>
        <v/>
      </c>
      <c r="C81" s="6" t="str">
        <f aca="false">IF($K81="","",IF(INDEX('Prospect Tracker'!$B$5:$B$554,$K81)="","",INDEX('Prospect Tracker'!$B$5:$B$554,$K81)))</f>
        <v/>
      </c>
      <c r="D81" s="6" t="str">
        <f aca="false">IF($K81="","",IF(INDEX('Prospect Tracker'!$M$5:$M$554,$K81)="","",INDEX('Prospect Tracker'!$M$5:$M$554,$K81)))</f>
        <v/>
      </c>
      <c r="E81" s="6" t="str">
        <f aca="false">IF($K81="","",IF(INDEX('Prospect Tracker'!$R$5:$R$554,$K81)="","",INDEX('Prospect Tracker'!$R$5:$R$554,$K81)))</f>
        <v/>
      </c>
      <c r="F81" s="6" t="str">
        <f aca="false">IF($K81="","",IF(INDEX('Prospect Tracker'!$J$5:$J$554,$K81)="","",INDEX('Prospect Tracker'!$J$5:$J$554,$K81)))</f>
        <v/>
      </c>
      <c r="G81" s="6" t="str">
        <f aca="false">IF($K81="","",IF(INDEX('Prospect Tracker'!$H$5:$H$554,$K81)="","",INDEX('Prospect Tracker'!$H$5:$H$554,$K81)))</f>
        <v/>
      </c>
      <c r="H81" s="7" t="str">
        <f aca="false">IF($K81="","",IF(INDEX('Prospect Tracker'!$K$5:$K$554,$K81)="","",INDEX('Prospect Tracker'!$K$5:$K$554,$K81)))</f>
        <v/>
      </c>
      <c r="I81" s="6" t="str">
        <f aca="false">IF($K81="","",IF(INDEX('Prospect Tracker'!$T$5:$T$554,$K81)="","",INDEX('Prospect Tracker'!$T$5:$T$554,$K81)))</f>
        <v/>
      </c>
      <c r="J81" s="6" t="str">
        <f aca="false">IF($K81="","",IF(INDEX('Prospect Tracker'!$L$5:$L$554,$K81)="","",INDEX('Prospect Tracker'!$L$5:$L$554,$K81)))</f>
        <v/>
      </c>
      <c r="K81" s="1" t="n">
        <f aca="false">IFERROR(MATCH(SMALL('Prospect Tracker'!$X$5:$X$554,ROW()-4),'Prospect Tracker'!$X$5:$X$554,0),"")</f>
        <v>77</v>
      </c>
    </row>
    <row r="82" customFormat="false" ht="15" hidden="false" customHeight="true" outlineLevel="0" collapsed="false">
      <c r="A82" s="11" t="str">
        <f aca="false">IF($K82="","",IF(INDEX('Prospect Tracker'!$W$5:$W$554,$K82)="","",INDEX('Prospect Tracker'!$W$5:$W$554,$K82)))</f>
        <v/>
      </c>
      <c r="B82" s="11" t="str">
        <f aca="false">IF($K82="","",IF(INDEX('Prospect Tracker'!$A$5:$A$554,$K82)="","",INDEX('Prospect Tracker'!$A$5:$A$554,$K82)))</f>
        <v/>
      </c>
      <c r="C82" s="11" t="str">
        <f aca="false">IF($K82="","",IF(INDEX('Prospect Tracker'!$B$5:$B$554,$K82)="","",INDEX('Prospect Tracker'!$B$5:$B$554,$K82)))</f>
        <v/>
      </c>
      <c r="D82" s="11" t="str">
        <f aca="false">IF($K82="","",IF(INDEX('Prospect Tracker'!$M$5:$M$554,$K82)="","",INDEX('Prospect Tracker'!$M$5:$M$554,$K82)))</f>
        <v/>
      </c>
      <c r="E82" s="11" t="str">
        <f aca="false">IF($K82="","",IF(INDEX('Prospect Tracker'!$R$5:$R$554,$K82)="","",INDEX('Prospect Tracker'!$R$5:$R$554,$K82)))</f>
        <v/>
      </c>
      <c r="F82" s="11" t="str">
        <f aca="false">IF($K82="","",IF(INDEX('Prospect Tracker'!$J$5:$J$554,$K82)="","",INDEX('Prospect Tracker'!$J$5:$J$554,$K82)))</f>
        <v/>
      </c>
      <c r="G82" s="11" t="str">
        <f aca="false">IF($K82="","",IF(INDEX('Prospect Tracker'!$H$5:$H$554,$K82)="","",INDEX('Prospect Tracker'!$H$5:$H$554,$K82)))</f>
        <v/>
      </c>
      <c r="H82" s="12" t="str">
        <f aca="false">IF($K82="","",IF(INDEX('Prospect Tracker'!$K$5:$K$554,$K82)="","",INDEX('Prospect Tracker'!$K$5:$K$554,$K82)))</f>
        <v/>
      </c>
      <c r="I82" s="11" t="str">
        <f aca="false">IF($K82="","",IF(INDEX('Prospect Tracker'!$T$5:$T$554,$K82)="","",INDEX('Prospect Tracker'!$T$5:$T$554,$K82)))</f>
        <v/>
      </c>
      <c r="J82" s="11" t="str">
        <f aca="false">IF($K82="","",IF(INDEX('Prospect Tracker'!$L$5:$L$554,$K82)="","",INDEX('Prospect Tracker'!$L$5:$L$554,$K82)))</f>
        <v/>
      </c>
      <c r="K82" s="1" t="n">
        <f aca="false">IFERROR(MATCH(SMALL('Prospect Tracker'!$X$5:$X$554,ROW()-4),'Prospect Tracker'!$X$5:$X$554,0),"")</f>
        <v>78</v>
      </c>
    </row>
    <row r="83" customFormat="false" ht="15" hidden="false" customHeight="true" outlineLevel="0" collapsed="false">
      <c r="A83" s="6" t="str">
        <f aca="false">IF($K83="","",IF(INDEX('Prospect Tracker'!$W$5:$W$554,$K83)="","",INDEX('Prospect Tracker'!$W$5:$W$554,$K83)))</f>
        <v/>
      </c>
      <c r="B83" s="6" t="str">
        <f aca="false">IF($K83="","",IF(INDEX('Prospect Tracker'!$A$5:$A$554,$K83)="","",INDEX('Prospect Tracker'!$A$5:$A$554,$K83)))</f>
        <v/>
      </c>
      <c r="C83" s="6" t="str">
        <f aca="false">IF($K83="","",IF(INDEX('Prospect Tracker'!$B$5:$B$554,$K83)="","",INDEX('Prospect Tracker'!$B$5:$B$554,$K83)))</f>
        <v/>
      </c>
      <c r="D83" s="6" t="str">
        <f aca="false">IF($K83="","",IF(INDEX('Prospect Tracker'!$M$5:$M$554,$K83)="","",INDEX('Prospect Tracker'!$M$5:$M$554,$K83)))</f>
        <v/>
      </c>
      <c r="E83" s="6" t="str">
        <f aca="false">IF($K83="","",IF(INDEX('Prospect Tracker'!$R$5:$R$554,$K83)="","",INDEX('Prospect Tracker'!$R$5:$R$554,$K83)))</f>
        <v/>
      </c>
      <c r="F83" s="6" t="str">
        <f aca="false">IF($K83="","",IF(INDEX('Prospect Tracker'!$J$5:$J$554,$K83)="","",INDEX('Prospect Tracker'!$J$5:$J$554,$K83)))</f>
        <v/>
      </c>
      <c r="G83" s="6" t="str">
        <f aca="false">IF($K83="","",IF(INDEX('Prospect Tracker'!$H$5:$H$554,$K83)="","",INDEX('Prospect Tracker'!$H$5:$H$554,$K83)))</f>
        <v/>
      </c>
      <c r="H83" s="7" t="str">
        <f aca="false">IF($K83="","",IF(INDEX('Prospect Tracker'!$K$5:$K$554,$K83)="","",INDEX('Prospect Tracker'!$K$5:$K$554,$K83)))</f>
        <v/>
      </c>
      <c r="I83" s="6" t="str">
        <f aca="false">IF($K83="","",IF(INDEX('Prospect Tracker'!$T$5:$T$554,$K83)="","",INDEX('Prospect Tracker'!$T$5:$T$554,$K83)))</f>
        <v/>
      </c>
      <c r="J83" s="6" t="str">
        <f aca="false">IF($K83="","",IF(INDEX('Prospect Tracker'!$L$5:$L$554,$K83)="","",INDEX('Prospect Tracker'!$L$5:$L$554,$K83)))</f>
        <v/>
      </c>
      <c r="K83" s="1" t="n">
        <f aca="false">IFERROR(MATCH(SMALL('Prospect Tracker'!$X$5:$X$554,ROW()-4),'Prospect Tracker'!$X$5:$X$554,0),"")</f>
        <v>79</v>
      </c>
    </row>
    <row r="84" customFormat="false" ht="15" hidden="false" customHeight="true" outlineLevel="0" collapsed="false">
      <c r="A84" s="11" t="str">
        <f aca="false">IF($K84="","",IF(INDEX('Prospect Tracker'!$W$5:$W$554,$K84)="","",INDEX('Prospect Tracker'!$W$5:$W$554,$K84)))</f>
        <v/>
      </c>
      <c r="B84" s="11" t="str">
        <f aca="false">IF($K84="","",IF(INDEX('Prospect Tracker'!$A$5:$A$554,$K84)="","",INDEX('Prospect Tracker'!$A$5:$A$554,$K84)))</f>
        <v/>
      </c>
      <c r="C84" s="11" t="str">
        <f aca="false">IF($K84="","",IF(INDEX('Prospect Tracker'!$B$5:$B$554,$K84)="","",INDEX('Prospect Tracker'!$B$5:$B$554,$K84)))</f>
        <v/>
      </c>
      <c r="D84" s="11" t="str">
        <f aca="false">IF($K84="","",IF(INDEX('Prospect Tracker'!$M$5:$M$554,$K84)="","",INDEX('Prospect Tracker'!$M$5:$M$554,$K84)))</f>
        <v/>
      </c>
      <c r="E84" s="11" t="str">
        <f aca="false">IF($K84="","",IF(INDEX('Prospect Tracker'!$R$5:$R$554,$K84)="","",INDEX('Prospect Tracker'!$R$5:$R$554,$K84)))</f>
        <v/>
      </c>
      <c r="F84" s="11" t="str">
        <f aca="false">IF($K84="","",IF(INDEX('Prospect Tracker'!$J$5:$J$554,$K84)="","",INDEX('Prospect Tracker'!$J$5:$J$554,$K84)))</f>
        <v/>
      </c>
      <c r="G84" s="11" t="str">
        <f aca="false">IF($K84="","",IF(INDEX('Prospect Tracker'!$H$5:$H$554,$K84)="","",INDEX('Prospect Tracker'!$H$5:$H$554,$K84)))</f>
        <v/>
      </c>
      <c r="H84" s="12" t="str">
        <f aca="false">IF($K84="","",IF(INDEX('Prospect Tracker'!$K$5:$K$554,$K84)="","",INDEX('Prospect Tracker'!$K$5:$K$554,$K84)))</f>
        <v/>
      </c>
      <c r="I84" s="11" t="str">
        <f aca="false">IF($K84="","",IF(INDEX('Prospect Tracker'!$T$5:$T$554,$K84)="","",INDEX('Prospect Tracker'!$T$5:$T$554,$K84)))</f>
        <v/>
      </c>
      <c r="J84" s="11" t="str">
        <f aca="false">IF($K84="","",IF(INDEX('Prospect Tracker'!$L$5:$L$554,$K84)="","",INDEX('Prospect Tracker'!$L$5:$L$554,$K84)))</f>
        <v/>
      </c>
      <c r="K84" s="1" t="n">
        <f aca="false">IFERROR(MATCH(SMALL('Prospect Tracker'!$X$5:$X$554,ROW()-4),'Prospect Tracker'!$X$5:$X$554,0),"")</f>
        <v>80</v>
      </c>
    </row>
    <row r="85" customFormat="false" ht="15" hidden="false" customHeight="true" outlineLevel="0" collapsed="false">
      <c r="A85" s="6" t="str">
        <f aca="false">IF($K85="","",IF(INDEX('Prospect Tracker'!$W$5:$W$554,$K85)="","",INDEX('Prospect Tracker'!$W$5:$W$554,$K85)))</f>
        <v/>
      </c>
      <c r="B85" s="6" t="str">
        <f aca="false">IF($K85="","",IF(INDEX('Prospect Tracker'!$A$5:$A$554,$K85)="","",INDEX('Prospect Tracker'!$A$5:$A$554,$K85)))</f>
        <v/>
      </c>
      <c r="C85" s="6" t="str">
        <f aca="false">IF($K85="","",IF(INDEX('Prospect Tracker'!$B$5:$B$554,$K85)="","",INDEX('Prospect Tracker'!$B$5:$B$554,$K85)))</f>
        <v/>
      </c>
      <c r="D85" s="6" t="str">
        <f aca="false">IF($K85="","",IF(INDEX('Prospect Tracker'!$M$5:$M$554,$K85)="","",INDEX('Prospect Tracker'!$M$5:$M$554,$K85)))</f>
        <v/>
      </c>
      <c r="E85" s="6" t="str">
        <f aca="false">IF($K85="","",IF(INDEX('Prospect Tracker'!$R$5:$R$554,$K85)="","",INDEX('Prospect Tracker'!$R$5:$R$554,$K85)))</f>
        <v/>
      </c>
      <c r="F85" s="6" t="str">
        <f aca="false">IF($K85="","",IF(INDEX('Prospect Tracker'!$J$5:$J$554,$K85)="","",INDEX('Prospect Tracker'!$J$5:$J$554,$K85)))</f>
        <v/>
      </c>
      <c r="G85" s="6" t="str">
        <f aca="false">IF($K85="","",IF(INDEX('Prospect Tracker'!$H$5:$H$554,$K85)="","",INDEX('Prospect Tracker'!$H$5:$H$554,$K85)))</f>
        <v/>
      </c>
      <c r="H85" s="7" t="str">
        <f aca="false">IF($K85="","",IF(INDEX('Prospect Tracker'!$K$5:$K$554,$K85)="","",INDEX('Prospect Tracker'!$K$5:$K$554,$K85)))</f>
        <v/>
      </c>
      <c r="I85" s="6" t="str">
        <f aca="false">IF($K85="","",IF(INDEX('Prospect Tracker'!$T$5:$T$554,$K85)="","",INDEX('Prospect Tracker'!$T$5:$T$554,$K85)))</f>
        <v/>
      </c>
      <c r="J85" s="6" t="str">
        <f aca="false">IF($K85="","",IF(INDEX('Prospect Tracker'!$L$5:$L$554,$K85)="","",INDEX('Prospect Tracker'!$L$5:$L$554,$K85)))</f>
        <v/>
      </c>
      <c r="K85" s="1" t="n">
        <f aca="false">IFERROR(MATCH(SMALL('Prospect Tracker'!$X$5:$X$554,ROW()-4),'Prospect Tracker'!$X$5:$X$554,0),"")</f>
        <v>81</v>
      </c>
    </row>
    <row r="86" customFormat="false" ht="15" hidden="false" customHeight="true" outlineLevel="0" collapsed="false">
      <c r="A86" s="11" t="str">
        <f aca="false">IF($K86="","",IF(INDEX('Prospect Tracker'!$W$5:$W$554,$K86)="","",INDEX('Prospect Tracker'!$W$5:$W$554,$K86)))</f>
        <v/>
      </c>
      <c r="B86" s="11" t="str">
        <f aca="false">IF($K86="","",IF(INDEX('Prospect Tracker'!$A$5:$A$554,$K86)="","",INDEX('Prospect Tracker'!$A$5:$A$554,$K86)))</f>
        <v/>
      </c>
      <c r="C86" s="11" t="str">
        <f aca="false">IF($K86="","",IF(INDEX('Prospect Tracker'!$B$5:$B$554,$K86)="","",INDEX('Prospect Tracker'!$B$5:$B$554,$K86)))</f>
        <v/>
      </c>
      <c r="D86" s="11" t="str">
        <f aca="false">IF($K86="","",IF(INDEX('Prospect Tracker'!$M$5:$M$554,$K86)="","",INDEX('Prospect Tracker'!$M$5:$M$554,$K86)))</f>
        <v/>
      </c>
      <c r="E86" s="11" t="str">
        <f aca="false">IF($K86="","",IF(INDEX('Prospect Tracker'!$R$5:$R$554,$K86)="","",INDEX('Prospect Tracker'!$R$5:$R$554,$K86)))</f>
        <v/>
      </c>
      <c r="F86" s="11" t="str">
        <f aca="false">IF($K86="","",IF(INDEX('Prospect Tracker'!$J$5:$J$554,$K86)="","",INDEX('Prospect Tracker'!$J$5:$J$554,$K86)))</f>
        <v/>
      </c>
      <c r="G86" s="11" t="str">
        <f aca="false">IF($K86="","",IF(INDEX('Prospect Tracker'!$H$5:$H$554,$K86)="","",INDEX('Prospect Tracker'!$H$5:$H$554,$K86)))</f>
        <v/>
      </c>
      <c r="H86" s="12" t="str">
        <f aca="false">IF($K86="","",IF(INDEX('Prospect Tracker'!$K$5:$K$554,$K86)="","",INDEX('Prospect Tracker'!$K$5:$K$554,$K86)))</f>
        <v/>
      </c>
      <c r="I86" s="11" t="str">
        <f aca="false">IF($K86="","",IF(INDEX('Prospect Tracker'!$T$5:$T$554,$K86)="","",INDEX('Prospect Tracker'!$T$5:$T$554,$K86)))</f>
        <v/>
      </c>
      <c r="J86" s="11" t="str">
        <f aca="false">IF($K86="","",IF(INDEX('Prospect Tracker'!$L$5:$L$554,$K86)="","",INDEX('Prospect Tracker'!$L$5:$L$554,$K86)))</f>
        <v/>
      </c>
      <c r="K86" s="1" t="n">
        <f aca="false">IFERROR(MATCH(SMALL('Prospect Tracker'!$X$5:$X$554,ROW()-4),'Prospect Tracker'!$X$5:$X$554,0),"")</f>
        <v>82</v>
      </c>
    </row>
    <row r="87" customFormat="false" ht="15" hidden="false" customHeight="true" outlineLevel="0" collapsed="false">
      <c r="A87" s="6" t="str">
        <f aca="false">IF($K87="","",IF(INDEX('Prospect Tracker'!$W$5:$W$554,$K87)="","",INDEX('Prospect Tracker'!$W$5:$W$554,$K87)))</f>
        <v/>
      </c>
      <c r="B87" s="6" t="str">
        <f aca="false">IF($K87="","",IF(INDEX('Prospect Tracker'!$A$5:$A$554,$K87)="","",INDEX('Prospect Tracker'!$A$5:$A$554,$K87)))</f>
        <v/>
      </c>
      <c r="C87" s="6" t="str">
        <f aca="false">IF($K87="","",IF(INDEX('Prospect Tracker'!$B$5:$B$554,$K87)="","",INDEX('Prospect Tracker'!$B$5:$B$554,$K87)))</f>
        <v/>
      </c>
      <c r="D87" s="6" t="str">
        <f aca="false">IF($K87="","",IF(INDEX('Prospect Tracker'!$M$5:$M$554,$K87)="","",INDEX('Prospect Tracker'!$M$5:$M$554,$K87)))</f>
        <v/>
      </c>
      <c r="E87" s="6" t="str">
        <f aca="false">IF($K87="","",IF(INDEX('Prospect Tracker'!$R$5:$R$554,$K87)="","",INDEX('Prospect Tracker'!$R$5:$R$554,$K87)))</f>
        <v/>
      </c>
      <c r="F87" s="6" t="str">
        <f aca="false">IF($K87="","",IF(INDEX('Prospect Tracker'!$J$5:$J$554,$K87)="","",INDEX('Prospect Tracker'!$J$5:$J$554,$K87)))</f>
        <v/>
      </c>
      <c r="G87" s="6" t="str">
        <f aca="false">IF($K87="","",IF(INDEX('Prospect Tracker'!$H$5:$H$554,$K87)="","",INDEX('Prospect Tracker'!$H$5:$H$554,$K87)))</f>
        <v/>
      </c>
      <c r="H87" s="7" t="str">
        <f aca="false">IF($K87="","",IF(INDEX('Prospect Tracker'!$K$5:$K$554,$K87)="","",INDEX('Prospect Tracker'!$K$5:$K$554,$K87)))</f>
        <v/>
      </c>
      <c r="I87" s="6" t="str">
        <f aca="false">IF($K87="","",IF(INDEX('Prospect Tracker'!$T$5:$T$554,$K87)="","",INDEX('Prospect Tracker'!$T$5:$T$554,$K87)))</f>
        <v/>
      </c>
      <c r="J87" s="6" t="str">
        <f aca="false">IF($K87="","",IF(INDEX('Prospect Tracker'!$L$5:$L$554,$K87)="","",INDEX('Prospect Tracker'!$L$5:$L$554,$K87)))</f>
        <v/>
      </c>
      <c r="K87" s="1" t="n">
        <f aca="false">IFERROR(MATCH(SMALL('Prospect Tracker'!$X$5:$X$554,ROW()-4),'Prospect Tracker'!$X$5:$X$554,0),"")</f>
        <v>83</v>
      </c>
    </row>
    <row r="88" customFormat="false" ht="15" hidden="false" customHeight="true" outlineLevel="0" collapsed="false">
      <c r="A88" s="11" t="str">
        <f aca="false">IF($K88="","",IF(INDEX('Prospect Tracker'!$W$5:$W$554,$K88)="","",INDEX('Prospect Tracker'!$W$5:$W$554,$K88)))</f>
        <v/>
      </c>
      <c r="B88" s="11" t="str">
        <f aca="false">IF($K88="","",IF(INDEX('Prospect Tracker'!$A$5:$A$554,$K88)="","",INDEX('Prospect Tracker'!$A$5:$A$554,$K88)))</f>
        <v/>
      </c>
      <c r="C88" s="11" t="str">
        <f aca="false">IF($K88="","",IF(INDEX('Prospect Tracker'!$B$5:$B$554,$K88)="","",INDEX('Prospect Tracker'!$B$5:$B$554,$K88)))</f>
        <v/>
      </c>
      <c r="D88" s="11" t="str">
        <f aca="false">IF($K88="","",IF(INDEX('Prospect Tracker'!$M$5:$M$554,$K88)="","",INDEX('Prospect Tracker'!$M$5:$M$554,$K88)))</f>
        <v/>
      </c>
      <c r="E88" s="11" t="str">
        <f aca="false">IF($K88="","",IF(INDEX('Prospect Tracker'!$R$5:$R$554,$K88)="","",INDEX('Prospect Tracker'!$R$5:$R$554,$K88)))</f>
        <v/>
      </c>
      <c r="F88" s="11" t="str">
        <f aca="false">IF($K88="","",IF(INDEX('Prospect Tracker'!$J$5:$J$554,$K88)="","",INDEX('Prospect Tracker'!$J$5:$J$554,$K88)))</f>
        <v/>
      </c>
      <c r="G88" s="11" t="str">
        <f aca="false">IF($K88="","",IF(INDEX('Prospect Tracker'!$H$5:$H$554,$K88)="","",INDEX('Prospect Tracker'!$H$5:$H$554,$K88)))</f>
        <v/>
      </c>
      <c r="H88" s="12" t="str">
        <f aca="false">IF($K88="","",IF(INDEX('Prospect Tracker'!$K$5:$K$554,$K88)="","",INDEX('Prospect Tracker'!$K$5:$K$554,$K88)))</f>
        <v/>
      </c>
      <c r="I88" s="11" t="str">
        <f aca="false">IF($K88="","",IF(INDEX('Prospect Tracker'!$T$5:$T$554,$K88)="","",INDEX('Prospect Tracker'!$T$5:$T$554,$K88)))</f>
        <v/>
      </c>
      <c r="J88" s="11" t="str">
        <f aca="false">IF($K88="","",IF(INDEX('Prospect Tracker'!$L$5:$L$554,$K88)="","",INDEX('Prospect Tracker'!$L$5:$L$554,$K88)))</f>
        <v/>
      </c>
      <c r="K88" s="1" t="n">
        <f aca="false">IFERROR(MATCH(SMALL('Prospect Tracker'!$X$5:$X$554,ROW()-4),'Prospect Tracker'!$X$5:$X$554,0),"")</f>
        <v>84</v>
      </c>
    </row>
    <row r="89" customFormat="false" ht="15" hidden="false" customHeight="true" outlineLevel="0" collapsed="false">
      <c r="A89" s="6" t="str">
        <f aca="false">IF($K89="","",IF(INDEX('Prospect Tracker'!$W$5:$W$554,$K89)="","",INDEX('Prospect Tracker'!$W$5:$W$554,$K89)))</f>
        <v/>
      </c>
      <c r="B89" s="6" t="str">
        <f aca="false">IF($K89="","",IF(INDEX('Prospect Tracker'!$A$5:$A$554,$K89)="","",INDEX('Prospect Tracker'!$A$5:$A$554,$K89)))</f>
        <v/>
      </c>
      <c r="C89" s="6" t="str">
        <f aca="false">IF($K89="","",IF(INDEX('Prospect Tracker'!$B$5:$B$554,$K89)="","",INDEX('Prospect Tracker'!$B$5:$B$554,$K89)))</f>
        <v/>
      </c>
      <c r="D89" s="6" t="str">
        <f aca="false">IF($K89="","",IF(INDEX('Prospect Tracker'!$M$5:$M$554,$K89)="","",INDEX('Prospect Tracker'!$M$5:$M$554,$K89)))</f>
        <v/>
      </c>
      <c r="E89" s="6" t="str">
        <f aca="false">IF($K89="","",IF(INDEX('Prospect Tracker'!$R$5:$R$554,$K89)="","",INDEX('Prospect Tracker'!$R$5:$R$554,$K89)))</f>
        <v/>
      </c>
      <c r="F89" s="6" t="str">
        <f aca="false">IF($K89="","",IF(INDEX('Prospect Tracker'!$J$5:$J$554,$K89)="","",INDEX('Prospect Tracker'!$J$5:$J$554,$K89)))</f>
        <v/>
      </c>
      <c r="G89" s="6" t="str">
        <f aca="false">IF($K89="","",IF(INDEX('Prospect Tracker'!$H$5:$H$554,$K89)="","",INDEX('Prospect Tracker'!$H$5:$H$554,$K89)))</f>
        <v/>
      </c>
      <c r="H89" s="7" t="str">
        <f aca="false">IF($K89="","",IF(INDEX('Prospect Tracker'!$K$5:$K$554,$K89)="","",INDEX('Prospect Tracker'!$K$5:$K$554,$K89)))</f>
        <v/>
      </c>
      <c r="I89" s="6" t="str">
        <f aca="false">IF($K89="","",IF(INDEX('Prospect Tracker'!$T$5:$T$554,$K89)="","",INDEX('Prospect Tracker'!$T$5:$T$554,$K89)))</f>
        <v/>
      </c>
      <c r="J89" s="6" t="str">
        <f aca="false">IF($K89="","",IF(INDEX('Prospect Tracker'!$L$5:$L$554,$K89)="","",INDEX('Prospect Tracker'!$L$5:$L$554,$K89)))</f>
        <v/>
      </c>
      <c r="K89" s="1" t="n">
        <f aca="false">IFERROR(MATCH(SMALL('Prospect Tracker'!$X$5:$X$554,ROW()-4),'Prospect Tracker'!$X$5:$X$554,0),"")</f>
        <v>85</v>
      </c>
    </row>
    <row r="90" customFormat="false" ht="15" hidden="false" customHeight="true" outlineLevel="0" collapsed="false">
      <c r="A90" s="11" t="str">
        <f aca="false">IF($K90="","",IF(INDEX('Prospect Tracker'!$W$5:$W$554,$K90)="","",INDEX('Prospect Tracker'!$W$5:$W$554,$K90)))</f>
        <v/>
      </c>
      <c r="B90" s="11" t="str">
        <f aca="false">IF($K90="","",IF(INDEX('Prospect Tracker'!$A$5:$A$554,$K90)="","",INDEX('Prospect Tracker'!$A$5:$A$554,$K90)))</f>
        <v/>
      </c>
      <c r="C90" s="11" t="str">
        <f aca="false">IF($K90="","",IF(INDEX('Prospect Tracker'!$B$5:$B$554,$K90)="","",INDEX('Prospect Tracker'!$B$5:$B$554,$K90)))</f>
        <v/>
      </c>
      <c r="D90" s="11" t="str">
        <f aca="false">IF($K90="","",IF(INDEX('Prospect Tracker'!$M$5:$M$554,$K90)="","",INDEX('Prospect Tracker'!$M$5:$M$554,$K90)))</f>
        <v/>
      </c>
      <c r="E90" s="11" t="str">
        <f aca="false">IF($K90="","",IF(INDEX('Prospect Tracker'!$R$5:$R$554,$K90)="","",INDEX('Prospect Tracker'!$R$5:$R$554,$K90)))</f>
        <v/>
      </c>
      <c r="F90" s="11" t="str">
        <f aca="false">IF($K90="","",IF(INDEX('Prospect Tracker'!$J$5:$J$554,$K90)="","",INDEX('Prospect Tracker'!$J$5:$J$554,$K90)))</f>
        <v/>
      </c>
      <c r="G90" s="11" t="str">
        <f aca="false">IF($K90="","",IF(INDEX('Prospect Tracker'!$H$5:$H$554,$K90)="","",INDEX('Prospect Tracker'!$H$5:$H$554,$K90)))</f>
        <v/>
      </c>
      <c r="H90" s="12" t="str">
        <f aca="false">IF($K90="","",IF(INDEX('Prospect Tracker'!$K$5:$K$554,$K90)="","",INDEX('Prospect Tracker'!$K$5:$K$554,$K90)))</f>
        <v/>
      </c>
      <c r="I90" s="11" t="str">
        <f aca="false">IF($K90="","",IF(INDEX('Prospect Tracker'!$T$5:$T$554,$K90)="","",INDEX('Prospect Tracker'!$T$5:$T$554,$K90)))</f>
        <v/>
      </c>
      <c r="J90" s="11" t="str">
        <f aca="false">IF($K90="","",IF(INDEX('Prospect Tracker'!$L$5:$L$554,$K90)="","",INDEX('Prospect Tracker'!$L$5:$L$554,$K90)))</f>
        <v/>
      </c>
      <c r="K90" s="1" t="n">
        <f aca="false">IFERROR(MATCH(SMALL('Prospect Tracker'!$X$5:$X$554,ROW()-4),'Prospect Tracker'!$X$5:$X$554,0),"")</f>
        <v>86</v>
      </c>
    </row>
    <row r="91" customFormat="false" ht="15" hidden="false" customHeight="true" outlineLevel="0" collapsed="false">
      <c r="A91" s="6" t="str">
        <f aca="false">IF($K91="","",IF(INDEX('Prospect Tracker'!$W$5:$W$554,$K91)="","",INDEX('Prospect Tracker'!$W$5:$W$554,$K91)))</f>
        <v/>
      </c>
      <c r="B91" s="6" t="str">
        <f aca="false">IF($K91="","",IF(INDEX('Prospect Tracker'!$A$5:$A$554,$K91)="","",INDEX('Prospect Tracker'!$A$5:$A$554,$K91)))</f>
        <v/>
      </c>
      <c r="C91" s="6" t="str">
        <f aca="false">IF($K91="","",IF(INDEX('Prospect Tracker'!$B$5:$B$554,$K91)="","",INDEX('Prospect Tracker'!$B$5:$B$554,$K91)))</f>
        <v/>
      </c>
      <c r="D91" s="6" t="str">
        <f aca="false">IF($K91="","",IF(INDEX('Prospect Tracker'!$M$5:$M$554,$K91)="","",INDEX('Prospect Tracker'!$M$5:$M$554,$K91)))</f>
        <v/>
      </c>
      <c r="E91" s="6" t="str">
        <f aca="false">IF($K91="","",IF(INDEX('Prospect Tracker'!$R$5:$R$554,$K91)="","",INDEX('Prospect Tracker'!$R$5:$R$554,$K91)))</f>
        <v/>
      </c>
      <c r="F91" s="6" t="str">
        <f aca="false">IF($K91="","",IF(INDEX('Prospect Tracker'!$J$5:$J$554,$K91)="","",INDEX('Prospect Tracker'!$J$5:$J$554,$K91)))</f>
        <v/>
      </c>
      <c r="G91" s="6" t="str">
        <f aca="false">IF($K91="","",IF(INDEX('Prospect Tracker'!$H$5:$H$554,$K91)="","",INDEX('Prospect Tracker'!$H$5:$H$554,$K91)))</f>
        <v/>
      </c>
      <c r="H91" s="7" t="str">
        <f aca="false">IF($K91="","",IF(INDEX('Prospect Tracker'!$K$5:$K$554,$K91)="","",INDEX('Prospect Tracker'!$K$5:$K$554,$K91)))</f>
        <v/>
      </c>
      <c r="I91" s="6" t="str">
        <f aca="false">IF($K91="","",IF(INDEX('Prospect Tracker'!$T$5:$T$554,$K91)="","",INDEX('Prospect Tracker'!$T$5:$T$554,$K91)))</f>
        <v/>
      </c>
      <c r="J91" s="6" t="str">
        <f aca="false">IF($K91="","",IF(INDEX('Prospect Tracker'!$L$5:$L$554,$K91)="","",INDEX('Prospect Tracker'!$L$5:$L$554,$K91)))</f>
        <v/>
      </c>
      <c r="K91" s="1" t="n">
        <f aca="false">IFERROR(MATCH(SMALL('Prospect Tracker'!$X$5:$X$554,ROW()-4),'Prospect Tracker'!$X$5:$X$554,0),"")</f>
        <v>87</v>
      </c>
    </row>
    <row r="92" customFormat="false" ht="15" hidden="false" customHeight="true" outlineLevel="0" collapsed="false">
      <c r="A92" s="11" t="str">
        <f aca="false">IF($K92="","",IF(INDEX('Prospect Tracker'!$W$5:$W$554,$K92)="","",INDEX('Prospect Tracker'!$W$5:$W$554,$K92)))</f>
        <v/>
      </c>
      <c r="B92" s="11" t="str">
        <f aca="false">IF($K92="","",IF(INDEX('Prospect Tracker'!$A$5:$A$554,$K92)="","",INDEX('Prospect Tracker'!$A$5:$A$554,$K92)))</f>
        <v/>
      </c>
      <c r="C92" s="11" t="str">
        <f aca="false">IF($K92="","",IF(INDEX('Prospect Tracker'!$B$5:$B$554,$K92)="","",INDEX('Prospect Tracker'!$B$5:$B$554,$K92)))</f>
        <v/>
      </c>
      <c r="D92" s="11" t="str">
        <f aca="false">IF($K92="","",IF(INDEX('Prospect Tracker'!$M$5:$M$554,$K92)="","",INDEX('Prospect Tracker'!$M$5:$M$554,$K92)))</f>
        <v/>
      </c>
      <c r="E92" s="11" t="str">
        <f aca="false">IF($K92="","",IF(INDEX('Prospect Tracker'!$R$5:$R$554,$K92)="","",INDEX('Prospect Tracker'!$R$5:$R$554,$K92)))</f>
        <v/>
      </c>
      <c r="F92" s="11" t="str">
        <f aca="false">IF($K92="","",IF(INDEX('Prospect Tracker'!$J$5:$J$554,$K92)="","",INDEX('Prospect Tracker'!$J$5:$J$554,$K92)))</f>
        <v/>
      </c>
      <c r="G92" s="11" t="str">
        <f aca="false">IF($K92="","",IF(INDEX('Prospect Tracker'!$H$5:$H$554,$K92)="","",INDEX('Prospect Tracker'!$H$5:$H$554,$K92)))</f>
        <v/>
      </c>
      <c r="H92" s="12" t="str">
        <f aca="false">IF($K92="","",IF(INDEX('Prospect Tracker'!$K$5:$K$554,$K92)="","",INDEX('Prospect Tracker'!$K$5:$K$554,$K92)))</f>
        <v/>
      </c>
      <c r="I92" s="11" t="str">
        <f aca="false">IF($K92="","",IF(INDEX('Prospect Tracker'!$T$5:$T$554,$K92)="","",INDEX('Prospect Tracker'!$T$5:$T$554,$K92)))</f>
        <v/>
      </c>
      <c r="J92" s="11" t="str">
        <f aca="false">IF($K92="","",IF(INDEX('Prospect Tracker'!$L$5:$L$554,$K92)="","",INDEX('Prospect Tracker'!$L$5:$L$554,$K92)))</f>
        <v/>
      </c>
      <c r="K92" s="1" t="n">
        <f aca="false">IFERROR(MATCH(SMALL('Prospect Tracker'!$X$5:$X$554,ROW()-4),'Prospect Tracker'!$X$5:$X$554,0),"")</f>
        <v>88</v>
      </c>
    </row>
    <row r="93" customFormat="false" ht="15" hidden="false" customHeight="true" outlineLevel="0" collapsed="false">
      <c r="A93" s="6" t="str">
        <f aca="false">IF($K93="","",IF(INDEX('Prospect Tracker'!$W$5:$W$554,$K93)="","",INDEX('Prospect Tracker'!$W$5:$W$554,$K93)))</f>
        <v/>
      </c>
      <c r="B93" s="6" t="str">
        <f aca="false">IF($K93="","",IF(INDEX('Prospect Tracker'!$A$5:$A$554,$K93)="","",INDEX('Prospect Tracker'!$A$5:$A$554,$K93)))</f>
        <v/>
      </c>
      <c r="C93" s="6" t="str">
        <f aca="false">IF($K93="","",IF(INDEX('Prospect Tracker'!$B$5:$B$554,$K93)="","",INDEX('Prospect Tracker'!$B$5:$B$554,$K93)))</f>
        <v/>
      </c>
      <c r="D93" s="6" t="str">
        <f aca="false">IF($K93="","",IF(INDEX('Prospect Tracker'!$M$5:$M$554,$K93)="","",INDEX('Prospect Tracker'!$M$5:$M$554,$K93)))</f>
        <v/>
      </c>
      <c r="E93" s="6" t="str">
        <f aca="false">IF($K93="","",IF(INDEX('Prospect Tracker'!$R$5:$R$554,$K93)="","",INDEX('Prospect Tracker'!$R$5:$R$554,$K93)))</f>
        <v/>
      </c>
      <c r="F93" s="6" t="str">
        <f aca="false">IF($K93="","",IF(INDEX('Prospect Tracker'!$J$5:$J$554,$K93)="","",INDEX('Prospect Tracker'!$J$5:$J$554,$K93)))</f>
        <v/>
      </c>
      <c r="G93" s="6" t="str">
        <f aca="false">IF($K93="","",IF(INDEX('Prospect Tracker'!$H$5:$H$554,$K93)="","",INDEX('Prospect Tracker'!$H$5:$H$554,$K93)))</f>
        <v/>
      </c>
      <c r="H93" s="7" t="str">
        <f aca="false">IF($K93="","",IF(INDEX('Prospect Tracker'!$K$5:$K$554,$K93)="","",INDEX('Prospect Tracker'!$K$5:$K$554,$K93)))</f>
        <v/>
      </c>
      <c r="I93" s="6" t="str">
        <f aca="false">IF($K93="","",IF(INDEX('Prospect Tracker'!$T$5:$T$554,$K93)="","",INDEX('Prospect Tracker'!$T$5:$T$554,$K93)))</f>
        <v/>
      </c>
      <c r="J93" s="6" t="str">
        <f aca="false">IF($K93="","",IF(INDEX('Prospect Tracker'!$L$5:$L$554,$K93)="","",INDEX('Prospect Tracker'!$L$5:$L$554,$K93)))</f>
        <v/>
      </c>
      <c r="K93" s="1" t="n">
        <f aca="false">IFERROR(MATCH(SMALL('Prospect Tracker'!$X$5:$X$554,ROW()-4),'Prospect Tracker'!$X$5:$X$554,0),"")</f>
        <v>89</v>
      </c>
    </row>
    <row r="94" customFormat="false" ht="15" hidden="false" customHeight="true" outlineLevel="0" collapsed="false">
      <c r="A94" s="11" t="str">
        <f aca="false">IF($K94="","",IF(INDEX('Prospect Tracker'!$W$5:$W$554,$K94)="","",INDEX('Prospect Tracker'!$W$5:$W$554,$K94)))</f>
        <v/>
      </c>
      <c r="B94" s="11" t="str">
        <f aca="false">IF($K94="","",IF(INDEX('Prospect Tracker'!$A$5:$A$554,$K94)="","",INDEX('Prospect Tracker'!$A$5:$A$554,$K94)))</f>
        <v/>
      </c>
      <c r="C94" s="11" t="str">
        <f aca="false">IF($K94="","",IF(INDEX('Prospect Tracker'!$B$5:$B$554,$K94)="","",INDEX('Prospect Tracker'!$B$5:$B$554,$K94)))</f>
        <v/>
      </c>
      <c r="D94" s="11" t="str">
        <f aca="false">IF($K94="","",IF(INDEX('Prospect Tracker'!$M$5:$M$554,$K94)="","",INDEX('Prospect Tracker'!$M$5:$M$554,$K94)))</f>
        <v/>
      </c>
      <c r="E94" s="11" t="str">
        <f aca="false">IF($K94="","",IF(INDEX('Prospect Tracker'!$R$5:$R$554,$K94)="","",INDEX('Prospect Tracker'!$R$5:$R$554,$K94)))</f>
        <v/>
      </c>
      <c r="F94" s="11" t="str">
        <f aca="false">IF($K94="","",IF(INDEX('Prospect Tracker'!$J$5:$J$554,$K94)="","",INDEX('Prospect Tracker'!$J$5:$J$554,$K94)))</f>
        <v/>
      </c>
      <c r="G94" s="11" t="str">
        <f aca="false">IF($K94="","",IF(INDEX('Prospect Tracker'!$H$5:$H$554,$K94)="","",INDEX('Prospect Tracker'!$H$5:$H$554,$K94)))</f>
        <v/>
      </c>
      <c r="H94" s="12" t="str">
        <f aca="false">IF($K94="","",IF(INDEX('Prospect Tracker'!$K$5:$K$554,$K94)="","",INDEX('Prospect Tracker'!$K$5:$K$554,$K94)))</f>
        <v/>
      </c>
      <c r="I94" s="11" t="str">
        <f aca="false">IF($K94="","",IF(INDEX('Prospect Tracker'!$T$5:$T$554,$K94)="","",INDEX('Prospect Tracker'!$T$5:$T$554,$K94)))</f>
        <v/>
      </c>
      <c r="J94" s="11" t="str">
        <f aca="false">IF($K94="","",IF(INDEX('Prospect Tracker'!$L$5:$L$554,$K94)="","",INDEX('Prospect Tracker'!$L$5:$L$554,$K94)))</f>
        <v/>
      </c>
      <c r="K94" s="1" t="n">
        <f aca="false">IFERROR(MATCH(SMALL('Prospect Tracker'!$X$5:$X$554,ROW()-4),'Prospect Tracker'!$X$5:$X$554,0),"")</f>
        <v>90</v>
      </c>
    </row>
    <row r="95" customFormat="false" ht="15" hidden="false" customHeight="true" outlineLevel="0" collapsed="false">
      <c r="A95" s="6" t="str">
        <f aca="false">IF($K95="","",IF(INDEX('Prospect Tracker'!$W$5:$W$554,$K95)="","",INDEX('Prospect Tracker'!$W$5:$W$554,$K95)))</f>
        <v/>
      </c>
      <c r="B95" s="6" t="str">
        <f aca="false">IF($K95="","",IF(INDEX('Prospect Tracker'!$A$5:$A$554,$K95)="","",INDEX('Prospect Tracker'!$A$5:$A$554,$K95)))</f>
        <v/>
      </c>
      <c r="C95" s="6" t="str">
        <f aca="false">IF($K95="","",IF(INDEX('Prospect Tracker'!$B$5:$B$554,$K95)="","",INDEX('Prospect Tracker'!$B$5:$B$554,$K95)))</f>
        <v/>
      </c>
      <c r="D95" s="6" t="str">
        <f aca="false">IF($K95="","",IF(INDEX('Prospect Tracker'!$M$5:$M$554,$K95)="","",INDEX('Prospect Tracker'!$M$5:$M$554,$K95)))</f>
        <v/>
      </c>
      <c r="E95" s="6" t="str">
        <f aca="false">IF($K95="","",IF(INDEX('Prospect Tracker'!$R$5:$R$554,$K95)="","",INDEX('Prospect Tracker'!$R$5:$R$554,$K95)))</f>
        <v/>
      </c>
      <c r="F95" s="6" t="str">
        <f aca="false">IF($K95="","",IF(INDEX('Prospect Tracker'!$J$5:$J$554,$K95)="","",INDEX('Prospect Tracker'!$J$5:$J$554,$K95)))</f>
        <v/>
      </c>
      <c r="G95" s="6" t="str">
        <f aca="false">IF($K95="","",IF(INDEX('Prospect Tracker'!$H$5:$H$554,$K95)="","",INDEX('Prospect Tracker'!$H$5:$H$554,$K95)))</f>
        <v/>
      </c>
      <c r="H95" s="7" t="str">
        <f aca="false">IF($K95="","",IF(INDEX('Prospect Tracker'!$K$5:$K$554,$K95)="","",INDEX('Prospect Tracker'!$K$5:$K$554,$K95)))</f>
        <v/>
      </c>
      <c r="I95" s="6" t="str">
        <f aca="false">IF($K95="","",IF(INDEX('Prospect Tracker'!$T$5:$T$554,$K95)="","",INDEX('Prospect Tracker'!$T$5:$T$554,$K95)))</f>
        <v/>
      </c>
      <c r="J95" s="6" t="str">
        <f aca="false">IF($K95="","",IF(INDEX('Prospect Tracker'!$L$5:$L$554,$K95)="","",INDEX('Prospect Tracker'!$L$5:$L$554,$K95)))</f>
        <v/>
      </c>
      <c r="K95" s="1" t="n">
        <f aca="false">IFERROR(MATCH(SMALL('Prospect Tracker'!$X$5:$X$554,ROW()-4),'Prospect Tracker'!$X$5:$X$554,0),"")</f>
        <v>91</v>
      </c>
    </row>
    <row r="96" customFormat="false" ht="15" hidden="false" customHeight="true" outlineLevel="0" collapsed="false">
      <c r="A96" s="11" t="str">
        <f aca="false">IF($K96="","",IF(INDEX('Prospect Tracker'!$W$5:$W$554,$K96)="","",INDEX('Prospect Tracker'!$W$5:$W$554,$K96)))</f>
        <v/>
      </c>
      <c r="B96" s="11" t="str">
        <f aca="false">IF($K96="","",IF(INDEX('Prospect Tracker'!$A$5:$A$554,$K96)="","",INDEX('Prospect Tracker'!$A$5:$A$554,$K96)))</f>
        <v/>
      </c>
      <c r="C96" s="11" t="str">
        <f aca="false">IF($K96="","",IF(INDEX('Prospect Tracker'!$B$5:$B$554,$K96)="","",INDEX('Prospect Tracker'!$B$5:$B$554,$K96)))</f>
        <v/>
      </c>
      <c r="D96" s="11" t="str">
        <f aca="false">IF($K96="","",IF(INDEX('Prospect Tracker'!$M$5:$M$554,$K96)="","",INDEX('Prospect Tracker'!$M$5:$M$554,$K96)))</f>
        <v/>
      </c>
      <c r="E96" s="11" t="str">
        <f aca="false">IF($K96="","",IF(INDEX('Prospect Tracker'!$R$5:$R$554,$K96)="","",INDEX('Prospect Tracker'!$R$5:$R$554,$K96)))</f>
        <v/>
      </c>
      <c r="F96" s="11" t="str">
        <f aca="false">IF($K96="","",IF(INDEX('Prospect Tracker'!$J$5:$J$554,$K96)="","",INDEX('Prospect Tracker'!$J$5:$J$554,$K96)))</f>
        <v/>
      </c>
      <c r="G96" s="11" t="str">
        <f aca="false">IF($K96="","",IF(INDEX('Prospect Tracker'!$H$5:$H$554,$K96)="","",INDEX('Prospect Tracker'!$H$5:$H$554,$K96)))</f>
        <v/>
      </c>
      <c r="H96" s="12" t="str">
        <f aca="false">IF($K96="","",IF(INDEX('Prospect Tracker'!$K$5:$K$554,$K96)="","",INDEX('Prospect Tracker'!$K$5:$K$554,$K96)))</f>
        <v/>
      </c>
      <c r="I96" s="11" t="str">
        <f aca="false">IF($K96="","",IF(INDEX('Prospect Tracker'!$T$5:$T$554,$K96)="","",INDEX('Prospect Tracker'!$T$5:$T$554,$K96)))</f>
        <v/>
      </c>
      <c r="J96" s="11" t="str">
        <f aca="false">IF($K96="","",IF(INDEX('Prospect Tracker'!$L$5:$L$554,$K96)="","",INDEX('Prospect Tracker'!$L$5:$L$554,$K96)))</f>
        <v/>
      </c>
      <c r="K96" s="1" t="n">
        <f aca="false">IFERROR(MATCH(SMALL('Prospect Tracker'!$X$5:$X$554,ROW()-4),'Prospect Tracker'!$X$5:$X$554,0),"")</f>
        <v>92</v>
      </c>
    </row>
    <row r="97" customFormat="false" ht="15" hidden="false" customHeight="true" outlineLevel="0" collapsed="false">
      <c r="A97" s="6" t="str">
        <f aca="false">IF($K97="","",IF(INDEX('Prospect Tracker'!$W$5:$W$554,$K97)="","",INDEX('Prospect Tracker'!$W$5:$W$554,$K97)))</f>
        <v/>
      </c>
      <c r="B97" s="6" t="str">
        <f aca="false">IF($K97="","",IF(INDEX('Prospect Tracker'!$A$5:$A$554,$K97)="","",INDEX('Prospect Tracker'!$A$5:$A$554,$K97)))</f>
        <v/>
      </c>
      <c r="C97" s="6" t="str">
        <f aca="false">IF($K97="","",IF(INDEX('Prospect Tracker'!$B$5:$B$554,$K97)="","",INDEX('Prospect Tracker'!$B$5:$B$554,$K97)))</f>
        <v/>
      </c>
      <c r="D97" s="6" t="str">
        <f aca="false">IF($K97="","",IF(INDEX('Prospect Tracker'!$M$5:$M$554,$K97)="","",INDEX('Prospect Tracker'!$M$5:$M$554,$K97)))</f>
        <v/>
      </c>
      <c r="E97" s="6" t="str">
        <f aca="false">IF($K97="","",IF(INDEX('Prospect Tracker'!$R$5:$R$554,$K97)="","",INDEX('Prospect Tracker'!$R$5:$R$554,$K97)))</f>
        <v/>
      </c>
      <c r="F97" s="6" t="str">
        <f aca="false">IF($K97="","",IF(INDEX('Prospect Tracker'!$J$5:$J$554,$K97)="","",INDEX('Prospect Tracker'!$J$5:$J$554,$K97)))</f>
        <v/>
      </c>
      <c r="G97" s="6" t="str">
        <f aca="false">IF($K97="","",IF(INDEX('Prospect Tracker'!$H$5:$H$554,$K97)="","",INDEX('Prospect Tracker'!$H$5:$H$554,$K97)))</f>
        <v/>
      </c>
      <c r="H97" s="7" t="str">
        <f aca="false">IF($K97="","",IF(INDEX('Prospect Tracker'!$K$5:$K$554,$K97)="","",INDEX('Prospect Tracker'!$K$5:$K$554,$K97)))</f>
        <v/>
      </c>
      <c r="I97" s="6" t="str">
        <f aca="false">IF($K97="","",IF(INDEX('Prospect Tracker'!$T$5:$T$554,$K97)="","",INDEX('Prospect Tracker'!$T$5:$T$554,$K97)))</f>
        <v/>
      </c>
      <c r="J97" s="6" t="str">
        <f aca="false">IF($K97="","",IF(INDEX('Prospect Tracker'!$L$5:$L$554,$K97)="","",INDEX('Prospect Tracker'!$L$5:$L$554,$K97)))</f>
        <v/>
      </c>
      <c r="K97" s="1" t="n">
        <f aca="false">IFERROR(MATCH(SMALL('Prospect Tracker'!$X$5:$X$554,ROW()-4),'Prospect Tracker'!$X$5:$X$554,0),"")</f>
        <v>93</v>
      </c>
    </row>
    <row r="98" customFormat="false" ht="15" hidden="false" customHeight="true" outlineLevel="0" collapsed="false">
      <c r="A98" s="11" t="str">
        <f aca="false">IF($K98="","",IF(INDEX('Prospect Tracker'!$W$5:$W$554,$K98)="","",INDEX('Prospect Tracker'!$W$5:$W$554,$K98)))</f>
        <v/>
      </c>
      <c r="B98" s="11" t="str">
        <f aca="false">IF($K98="","",IF(INDEX('Prospect Tracker'!$A$5:$A$554,$K98)="","",INDEX('Prospect Tracker'!$A$5:$A$554,$K98)))</f>
        <v/>
      </c>
      <c r="C98" s="11" t="str">
        <f aca="false">IF($K98="","",IF(INDEX('Prospect Tracker'!$B$5:$B$554,$K98)="","",INDEX('Prospect Tracker'!$B$5:$B$554,$K98)))</f>
        <v/>
      </c>
      <c r="D98" s="11" t="str">
        <f aca="false">IF($K98="","",IF(INDEX('Prospect Tracker'!$M$5:$M$554,$K98)="","",INDEX('Prospect Tracker'!$M$5:$M$554,$K98)))</f>
        <v/>
      </c>
      <c r="E98" s="11" t="str">
        <f aca="false">IF($K98="","",IF(INDEX('Prospect Tracker'!$R$5:$R$554,$K98)="","",INDEX('Prospect Tracker'!$R$5:$R$554,$K98)))</f>
        <v/>
      </c>
      <c r="F98" s="11" t="str">
        <f aca="false">IF($K98="","",IF(INDEX('Prospect Tracker'!$J$5:$J$554,$K98)="","",INDEX('Prospect Tracker'!$J$5:$J$554,$K98)))</f>
        <v/>
      </c>
      <c r="G98" s="11" t="str">
        <f aca="false">IF($K98="","",IF(INDEX('Prospect Tracker'!$H$5:$H$554,$K98)="","",INDEX('Prospect Tracker'!$H$5:$H$554,$K98)))</f>
        <v/>
      </c>
      <c r="H98" s="12" t="str">
        <f aca="false">IF($K98="","",IF(INDEX('Prospect Tracker'!$K$5:$K$554,$K98)="","",INDEX('Prospect Tracker'!$K$5:$K$554,$K98)))</f>
        <v/>
      </c>
      <c r="I98" s="11" t="str">
        <f aca="false">IF($K98="","",IF(INDEX('Prospect Tracker'!$T$5:$T$554,$K98)="","",INDEX('Prospect Tracker'!$T$5:$T$554,$K98)))</f>
        <v/>
      </c>
      <c r="J98" s="11" t="str">
        <f aca="false">IF($K98="","",IF(INDEX('Prospect Tracker'!$L$5:$L$554,$K98)="","",INDEX('Prospect Tracker'!$L$5:$L$554,$K98)))</f>
        <v/>
      </c>
      <c r="K98" s="1" t="n">
        <f aca="false">IFERROR(MATCH(SMALL('Prospect Tracker'!$X$5:$X$554,ROW()-4),'Prospect Tracker'!$X$5:$X$554,0),"")</f>
        <v>94</v>
      </c>
    </row>
    <row r="99" customFormat="false" ht="15" hidden="false" customHeight="true" outlineLevel="0" collapsed="false">
      <c r="A99" s="6" t="str">
        <f aca="false">IF($K99="","",IF(INDEX('Prospect Tracker'!$W$5:$W$554,$K99)="","",INDEX('Prospect Tracker'!$W$5:$W$554,$K99)))</f>
        <v/>
      </c>
      <c r="B99" s="6" t="str">
        <f aca="false">IF($K99="","",IF(INDEX('Prospect Tracker'!$A$5:$A$554,$K99)="","",INDEX('Prospect Tracker'!$A$5:$A$554,$K99)))</f>
        <v/>
      </c>
      <c r="C99" s="6" t="str">
        <f aca="false">IF($K99="","",IF(INDEX('Prospect Tracker'!$B$5:$B$554,$K99)="","",INDEX('Prospect Tracker'!$B$5:$B$554,$K99)))</f>
        <v/>
      </c>
      <c r="D99" s="6" t="str">
        <f aca="false">IF($K99="","",IF(INDEX('Prospect Tracker'!$M$5:$M$554,$K99)="","",INDEX('Prospect Tracker'!$M$5:$M$554,$K99)))</f>
        <v/>
      </c>
      <c r="E99" s="6" t="str">
        <f aca="false">IF($K99="","",IF(INDEX('Prospect Tracker'!$R$5:$R$554,$K99)="","",INDEX('Prospect Tracker'!$R$5:$R$554,$K99)))</f>
        <v/>
      </c>
      <c r="F99" s="6" t="str">
        <f aca="false">IF($K99="","",IF(INDEX('Prospect Tracker'!$J$5:$J$554,$K99)="","",INDEX('Prospect Tracker'!$J$5:$J$554,$K99)))</f>
        <v/>
      </c>
      <c r="G99" s="6" t="str">
        <f aca="false">IF($K99="","",IF(INDEX('Prospect Tracker'!$H$5:$H$554,$K99)="","",INDEX('Prospect Tracker'!$H$5:$H$554,$K99)))</f>
        <v/>
      </c>
      <c r="H99" s="7" t="str">
        <f aca="false">IF($K99="","",IF(INDEX('Prospect Tracker'!$K$5:$K$554,$K99)="","",INDEX('Prospect Tracker'!$K$5:$K$554,$K99)))</f>
        <v/>
      </c>
      <c r="I99" s="6" t="str">
        <f aca="false">IF($K99="","",IF(INDEX('Prospect Tracker'!$T$5:$T$554,$K99)="","",INDEX('Prospect Tracker'!$T$5:$T$554,$K99)))</f>
        <v/>
      </c>
      <c r="J99" s="6" t="str">
        <f aca="false">IF($K99="","",IF(INDEX('Prospect Tracker'!$L$5:$L$554,$K99)="","",INDEX('Prospect Tracker'!$L$5:$L$554,$K99)))</f>
        <v/>
      </c>
      <c r="K99" s="1" t="n">
        <f aca="false">IFERROR(MATCH(SMALL('Prospect Tracker'!$X$5:$X$554,ROW()-4),'Prospect Tracker'!$X$5:$X$554,0),"")</f>
        <v>95</v>
      </c>
    </row>
    <row r="100" customFormat="false" ht="15" hidden="false" customHeight="true" outlineLevel="0" collapsed="false">
      <c r="A100" s="11" t="str">
        <f aca="false">IF($K100="","",IF(INDEX('Prospect Tracker'!$W$5:$W$554,$K100)="","",INDEX('Prospect Tracker'!$W$5:$W$554,$K100)))</f>
        <v/>
      </c>
      <c r="B100" s="11" t="str">
        <f aca="false">IF($K100="","",IF(INDEX('Prospect Tracker'!$A$5:$A$554,$K100)="","",INDEX('Prospect Tracker'!$A$5:$A$554,$K100)))</f>
        <v/>
      </c>
      <c r="C100" s="11" t="str">
        <f aca="false">IF($K100="","",IF(INDEX('Prospect Tracker'!$B$5:$B$554,$K100)="","",INDEX('Prospect Tracker'!$B$5:$B$554,$K100)))</f>
        <v/>
      </c>
      <c r="D100" s="11" t="str">
        <f aca="false">IF($K100="","",IF(INDEX('Prospect Tracker'!$M$5:$M$554,$K100)="","",INDEX('Prospect Tracker'!$M$5:$M$554,$K100)))</f>
        <v/>
      </c>
      <c r="E100" s="11" t="str">
        <f aca="false">IF($K100="","",IF(INDEX('Prospect Tracker'!$R$5:$R$554,$K100)="","",INDEX('Prospect Tracker'!$R$5:$R$554,$K100)))</f>
        <v/>
      </c>
      <c r="F100" s="11" t="str">
        <f aca="false">IF($K100="","",IF(INDEX('Prospect Tracker'!$J$5:$J$554,$K100)="","",INDEX('Prospect Tracker'!$J$5:$J$554,$K100)))</f>
        <v/>
      </c>
      <c r="G100" s="11" t="str">
        <f aca="false">IF($K100="","",IF(INDEX('Prospect Tracker'!$H$5:$H$554,$K100)="","",INDEX('Prospect Tracker'!$H$5:$H$554,$K100)))</f>
        <v/>
      </c>
      <c r="H100" s="12" t="str">
        <f aca="false">IF($K100="","",IF(INDEX('Prospect Tracker'!$K$5:$K$554,$K100)="","",INDEX('Prospect Tracker'!$K$5:$K$554,$K100)))</f>
        <v/>
      </c>
      <c r="I100" s="11" t="str">
        <f aca="false">IF($K100="","",IF(INDEX('Prospect Tracker'!$T$5:$T$554,$K100)="","",INDEX('Prospect Tracker'!$T$5:$T$554,$K100)))</f>
        <v/>
      </c>
      <c r="J100" s="11" t="str">
        <f aca="false">IF($K100="","",IF(INDEX('Prospect Tracker'!$L$5:$L$554,$K100)="","",INDEX('Prospect Tracker'!$L$5:$L$554,$K100)))</f>
        <v/>
      </c>
      <c r="K100" s="1" t="n">
        <f aca="false">IFERROR(MATCH(SMALL('Prospect Tracker'!$X$5:$X$554,ROW()-4),'Prospect Tracker'!$X$5:$X$554,0),"")</f>
        <v>96</v>
      </c>
    </row>
    <row r="101" customFormat="false" ht="15" hidden="false" customHeight="true" outlineLevel="0" collapsed="false">
      <c r="A101" s="6" t="str">
        <f aca="false">IF($K101="","",IF(INDEX('Prospect Tracker'!$W$5:$W$554,$K101)="","",INDEX('Prospect Tracker'!$W$5:$W$554,$K101)))</f>
        <v/>
      </c>
      <c r="B101" s="6" t="str">
        <f aca="false">IF($K101="","",IF(INDEX('Prospect Tracker'!$A$5:$A$554,$K101)="","",INDEX('Prospect Tracker'!$A$5:$A$554,$K101)))</f>
        <v/>
      </c>
      <c r="C101" s="6" t="str">
        <f aca="false">IF($K101="","",IF(INDEX('Prospect Tracker'!$B$5:$B$554,$K101)="","",INDEX('Prospect Tracker'!$B$5:$B$554,$K101)))</f>
        <v/>
      </c>
      <c r="D101" s="6" t="str">
        <f aca="false">IF($K101="","",IF(INDEX('Prospect Tracker'!$M$5:$M$554,$K101)="","",INDEX('Prospect Tracker'!$M$5:$M$554,$K101)))</f>
        <v/>
      </c>
      <c r="E101" s="6" t="str">
        <f aca="false">IF($K101="","",IF(INDEX('Prospect Tracker'!$R$5:$R$554,$K101)="","",INDEX('Prospect Tracker'!$R$5:$R$554,$K101)))</f>
        <v/>
      </c>
      <c r="F101" s="6" t="str">
        <f aca="false">IF($K101="","",IF(INDEX('Prospect Tracker'!$J$5:$J$554,$K101)="","",INDEX('Prospect Tracker'!$J$5:$J$554,$K101)))</f>
        <v/>
      </c>
      <c r="G101" s="6" t="str">
        <f aca="false">IF($K101="","",IF(INDEX('Prospect Tracker'!$H$5:$H$554,$K101)="","",INDEX('Prospect Tracker'!$H$5:$H$554,$K101)))</f>
        <v/>
      </c>
      <c r="H101" s="7" t="str">
        <f aca="false">IF($K101="","",IF(INDEX('Prospect Tracker'!$K$5:$K$554,$K101)="","",INDEX('Prospect Tracker'!$K$5:$K$554,$K101)))</f>
        <v/>
      </c>
      <c r="I101" s="6" t="str">
        <f aca="false">IF($K101="","",IF(INDEX('Prospect Tracker'!$T$5:$T$554,$K101)="","",INDEX('Prospect Tracker'!$T$5:$T$554,$K101)))</f>
        <v/>
      </c>
      <c r="J101" s="6" t="str">
        <f aca="false">IF($K101="","",IF(INDEX('Prospect Tracker'!$L$5:$L$554,$K101)="","",INDEX('Prospect Tracker'!$L$5:$L$554,$K101)))</f>
        <v/>
      </c>
      <c r="K101" s="1" t="n">
        <f aca="false">IFERROR(MATCH(SMALL('Prospect Tracker'!$X$5:$X$554,ROW()-4),'Prospect Tracker'!$X$5:$X$554,0),"")</f>
        <v>97</v>
      </c>
    </row>
    <row r="102" customFormat="false" ht="15" hidden="false" customHeight="true" outlineLevel="0" collapsed="false">
      <c r="A102" s="11" t="str">
        <f aca="false">IF($K102="","",IF(INDEX('Prospect Tracker'!$W$5:$W$554,$K102)="","",INDEX('Prospect Tracker'!$W$5:$W$554,$K102)))</f>
        <v/>
      </c>
      <c r="B102" s="11" t="str">
        <f aca="false">IF($K102="","",IF(INDEX('Prospect Tracker'!$A$5:$A$554,$K102)="","",INDEX('Prospect Tracker'!$A$5:$A$554,$K102)))</f>
        <v/>
      </c>
      <c r="C102" s="11" t="str">
        <f aca="false">IF($K102="","",IF(INDEX('Prospect Tracker'!$B$5:$B$554,$K102)="","",INDEX('Prospect Tracker'!$B$5:$B$554,$K102)))</f>
        <v/>
      </c>
      <c r="D102" s="11" t="str">
        <f aca="false">IF($K102="","",IF(INDEX('Prospect Tracker'!$M$5:$M$554,$K102)="","",INDEX('Prospect Tracker'!$M$5:$M$554,$K102)))</f>
        <v/>
      </c>
      <c r="E102" s="11" t="str">
        <f aca="false">IF($K102="","",IF(INDEX('Prospect Tracker'!$R$5:$R$554,$K102)="","",INDEX('Prospect Tracker'!$R$5:$R$554,$K102)))</f>
        <v/>
      </c>
      <c r="F102" s="11" t="str">
        <f aca="false">IF($K102="","",IF(INDEX('Prospect Tracker'!$J$5:$J$554,$K102)="","",INDEX('Prospect Tracker'!$J$5:$J$554,$K102)))</f>
        <v/>
      </c>
      <c r="G102" s="11" t="str">
        <f aca="false">IF($K102="","",IF(INDEX('Prospect Tracker'!$H$5:$H$554,$K102)="","",INDEX('Prospect Tracker'!$H$5:$H$554,$K102)))</f>
        <v/>
      </c>
      <c r="H102" s="12" t="str">
        <f aca="false">IF($K102="","",IF(INDEX('Prospect Tracker'!$K$5:$K$554,$K102)="","",INDEX('Prospect Tracker'!$K$5:$K$554,$K102)))</f>
        <v/>
      </c>
      <c r="I102" s="11" t="str">
        <f aca="false">IF($K102="","",IF(INDEX('Prospect Tracker'!$T$5:$T$554,$K102)="","",INDEX('Prospect Tracker'!$T$5:$T$554,$K102)))</f>
        <v/>
      </c>
      <c r="J102" s="11" t="str">
        <f aca="false">IF($K102="","",IF(INDEX('Prospect Tracker'!$L$5:$L$554,$K102)="","",INDEX('Prospect Tracker'!$L$5:$L$554,$K102)))</f>
        <v/>
      </c>
      <c r="K102" s="1" t="n">
        <f aca="false">IFERROR(MATCH(SMALL('Prospect Tracker'!$X$5:$X$554,ROW()-4),'Prospect Tracker'!$X$5:$X$554,0),"")</f>
        <v>98</v>
      </c>
    </row>
    <row r="103" customFormat="false" ht="15" hidden="false" customHeight="true" outlineLevel="0" collapsed="false">
      <c r="A103" s="6" t="str">
        <f aca="false">IF($K103="","",IF(INDEX('Prospect Tracker'!$W$5:$W$554,$K103)="","",INDEX('Prospect Tracker'!$W$5:$W$554,$K103)))</f>
        <v/>
      </c>
      <c r="B103" s="6" t="str">
        <f aca="false">IF($K103="","",IF(INDEX('Prospect Tracker'!$A$5:$A$554,$K103)="","",INDEX('Prospect Tracker'!$A$5:$A$554,$K103)))</f>
        <v/>
      </c>
      <c r="C103" s="6" t="str">
        <f aca="false">IF($K103="","",IF(INDEX('Prospect Tracker'!$B$5:$B$554,$K103)="","",INDEX('Prospect Tracker'!$B$5:$B$554,$K103)))</f>
        <v/>
      </c>
      <c r="D103" s="6" t="str">
        <f aca="false">IF($K103="","",IF(INDEX('Prospect Tracker'!$M$5:$M$554,$K103)="","",INDEX('Prospect Tracker'!$M$5:$M$554,$K103)))</f>
        <v/>
      </c>
      <c r="E103" s="6" t="str">
        <f aca="false">IF($K103="","",IF(INDEX('Prospect Tracker'!$R$5:$R$554,$K103)="","",INDEX('Prospect Tracker'!$R$5:$R$554,$K103)))</f>
        <v/>
      </c>
      <c r="F103" s="6" t="str">
        <f aca="false">IF($K103="","",IF(INDEX('Prospect Tracker'!$J$5:$J$554,$K103)="","",INDEX('Prospect Tracker'!$J$5:$J$554,$K103)))</f>
        <v/>
      </c>
      <c r="G103" s="6" t="str">
        <f aca="false">IF($K103="","",IF(INDEX('Prospect Tracker'!$H$5:$H$554,$K103)="","",INDEX('Prospect Tracker'!$H$5:$H$554,$K103)))</f>
        <v/>
      </c>
      <c r="H103" s="7" t="str">
        <f aca="false">IF($K103="","",IF(INDEX('Prospect Tracker'!$K$5:$K$554,$K103)="","",INDEX('Prospect Tracker'!$K$5:$K$554,$K103)))</f>
        <v/>
      </c>
      <c r="I103" s="6" t="str">
        <f aca="false">IF($K103="","",IF(INDEX('Prospect Tracker'!$T$5:$T$554,$K103)="","",INDEX('Prospect Tracker'!$T$5:$T$554,$K103)))</f>
        <v/>
      </c>
      <c r="J103" s="6" t="str">
        <f aca="false">IF($K103="","",IF(INDEX('Prospect Tracker'!$L$5:$L$554,$K103)="","",INDEX('Prospect Tracker'!$L$5:$L$554,$K103)))</f>
        <v/>
      </c>
      <c r="K103" s="1" t="n">
        <f aca="false">IFERROR(MATCH(SMALL('Prospect Tracker'!$X$5:$X$554,ROW()-4),'Prospect Tracker'!$X$5:$X$554,0),"")</f>
        <v>99</v>
      </c>
    </row>
    <row r="104" customFormat="false" ht="15" hidden="false" customHeight="true" outlineLevel="0" collapsed="false">
      <c r="A104" s="11" t="str">
        <f aca="false">IF($K104="","",IF(INDEX('Prospect Tracker'!$W$5:$W$554,$K104)="","",INDEX('Prospect Tracker'!$W$5:$W$554,$K104)))</f>
        <v/>
      </c>
      <c r="B104" s="11" t="str">
        <f aca="false">IF($K104="","",IF(INDEX('Prospect Tracker'!$A$5:$A$554,$K104)="","",INDEX('Prospect Tracker'!$A$5:$A$554,$K104)))</f>
        <v/>
      </c>
      <c r="C104" s="11" t="str">
        <f aca="false">IF($K104="","",IF(INDEX('Prospect Tracker'!$B$5:$B$554,$K104)="","",INDEX('Prospect Tracker'!$B$5:$B$554,$K104)))</f>
        <v/>
      </c>
      <c r="D104" s="11" t="str">
        <f aca="false">IF($K104="","",IF(INDEX('Prospect Tracker'!$M$5:$M$554,$K104)="","",INDEX('Prospect Tracker'!$M$5:$M$554,$K104)))</f>
        <v/>
      </c>
      <c r="E104" s="11" t="str">
        <f aca="false">IF($K104="","",IF(INDEX('Prospect Tracker'!$R$5:$R$554,$K104)="","",INDEX('Prospect Tracker'!$R$5:$R$554,$K104)))</f>
        <v/>
      </c>
      <c r="F104" s="11" t="str">
        <f aca="false">IF($K104="","",IF(INDEX('Prospect Tracker'!$J$5:$J$554,$K104)="","",INDEX('Prospect Tracker'!$J$5:$J$554,$K104)))</f>
        <v/>
      </c>
      <c r="G104" s="11" t="str">
        <f aca="false">IF($K104="","",IF(INDEX('Prospect Tracker'!$H$5:$H$554,$K104)="","",INDEX('Prospect Tracker'!$H$5:$H$554,$K104)))</f>
        <v/>
      </c>
      <c r="H104" s="12" t="str">
        <f aca="false">IF($K104="","",IF(INDEX('Prospect Tracker'!$K$5:$K$554,$K104)="","",INDEX('Prospect Tracker'!$K$5:$K$554,$K104)))</f>
        <v/>
      </c>
      <c r="I104" s="11" t="str">
        <f aca="false">IF($K104="","",IF(INDEX('Prospect Tracker'!$T$5:$T$554,$K104)="","",INDEX('Prospect Tracker'!$T$5:$T$554,$K104)))</f>
        <v/>
      </c>
      <c r="J104" s="11" t="str">
        <f aca="false">IF($K104="","",IF(INDEX('Prospect Tracker'!$L$5:$L$554,$K104)="","",INDEX('Prospect Tracker'!$L$5:$L$554,$K104)))</f>
        <v/>
      </c>
      <c r="K104" s="1" t="n">
        <f aca="false">IFERROR(MATCH(SMALL('Prospect Tracker'!$X$5:$X$554,ROW()-4),'Prospect Tracker'!$X$5:$X$554,0),"")</f>
        <v>100</v>
      </c>
    </row>
    <row r="105" customFormat="false" ht="15" hidden="false" customHeight="true" outlineLevel="0" collapsed="false">
      <c r="A105" s="6" t="str">
        <f aca="false">IF($K105="","",IF(INDEX('Prospect Tracker'!$W$5:$W$554,$K105)="","",INDEX('Prospect Tracker'!$W$5:$W$554,$K105)))</f>
        <v/>
      </c>
      <c r="B105" s="6" t="str">
        <f aca="false">IF($K105="","",IF(INDEX('Prospect Tracker'!$A$5:$A$554,$K105)="","",INDEX('Prospect Tracker'!$A$5:$A$554,$K105)))</f>
        <v/>
      </c>
      <c r="C105" s="6" t="str">
        <f aca="false">IF($K105="","",IF(INDEX('Prospect Tracker'!$B$5:$B$554,$K105)="","",INDEX('Prospect Tracker'!$B$5:$B$554,$K105)))</f>
        <v/>
      </c>
      <c r="D105" s="6" t="str">
        <f aca="false">IF($K105="","",IF(INDEX('Prospect Tracker'!$M$5:$M$554,$K105)="","",INDEX('Prospect Tracker'!$M$5:$M$554,$K105)))</f>
        <v/>
      </c>
      <c r="E105" s="6" t="str">
        <f aca="false">IF($K105="","",IF(INDEX('Prospect Tracker'!$R$5:$R$554,$K105)="","",INDEX('Prospect Tracker'!$R$5:$R$554,$K105)))</f>
        <v/>
      </c>
      <c r="F105" s="6" t="str">
        <f aca="false">IF($K105="","",IF(INDEX('Prospect Tracker'!$J$5:$J$554,$K105)="","",INDEX('Prospect Tracker'!$J$5:$J$554,$K105)))</f>
        <v/>
      </c>
      <c r="G105" s="6" t="str">
        <f aca="false">IF($K105="","",IF(INDEX('Prospect Tracker'!$H$5:$H$554,$K105)="","",INDEX('Prospect Tracker'!$H$5:$H$554,$K105)))</f>
        <v/>
      </c>
      <c r="H105" s="7" t="str">
        <f aca="false">IF($K105="","",IF(INDEX('Prospect Tracker'!$K$5:$K$554,$K105)="","",INDEX('Prospect Tracker'!$K$5:$K$554,$K105)))</f>
        <v/>
      </c>
      <c r="I105" s="6" t="str">
        <f aca="false">IF($K105="","",IF(INDEX('Prospect Tracker'!$T$5:$T$554,$K105)="","",INDEX('Prospect Tracker'!$T$5:$T$554,$K105)))</f>
        <v/>
      </c>
      <c r="J105" s="6" t="str">
        <f aca="false">IF($K105="","",IF(INDEX('Prospect Tracker'!$L$5:$L$554,$K105)="","",INDEX('Prospect Tracker'!$L$5:$L$554,$K105)))</f>
        <v/>
      </c>
      <c r="K105" s="1" t="n">
        <f aca="false">IFERROR(MATCH(SMALL('Prospect Tracker'!$X$5:$X$554,ROW()-4),'Prospect Tracker'!$X$5:$X$554,0),"")</f>
        <v>101</v>
      </c>
    </row>
    <row r="106" customFormat="false" ht="15" hidden="false" customHeight="true" outlineLevel="0" collapsed="false">
      <c r="A106" s="11" t="str">
        <f aca="false">IF($K106="","",IF(INDEX('Prospect Tracker'!$W$5:$W$554,$K106)="","",INDEX('Prospect Tracker'!$W$5:$W$554,$K106)))</f>
        <v/>
      </c>
      <c r="B106" s="11" t="str">
        <f aca="false">IF($K106="","",IF(INDEX('Prospect Tracker'!$A$5:$A$554,$K106)="","",INDEX('Prospect Tracker'!$A$5:$A$554,$K106)))</f>
        <v/>
      </c>
      <c r="C106" s="11" t="str">
        <f aca="false">IF($K106="","",IF(INDEX('Prospect Tracker'!$B$5:$B$554,$K106)="","",INDEX('Prospect Tracker'!$B$5:$B$554,$K106)))</f>
        <v/>
      </c>
      <c r="D106" s="11" t="str">
        <f aca="false">IF($K106="","",IF(INDEX('Prospect Tracker'!$M$5:$M$554,$K106)="","",INDEX('Prospect Tracker'!$M$5:$M$554,$K106)))</f>
        <v/>
      </c>
      <c r="E106" s="11" t="str">
        <f aca="false">IF($K106="","",IF(INDEX('Prospect Tracker'!$R$5:$R$554,$K106)="","",INDEX('Prospect Tracker'!$R$5:$R$554,$K106)))</f>
        <v/>
      </c>
      <c r="F106" s="11" t="str">
        <f aca="false">IF($K106="","",IF(INDEX('Prospect Tracker'!$J$5:$J$554,$K106)="","",INDEX('Prospect Tracker'!$J$5:$J$554,$K106)))</f>
        <v/>
      </c>
      <c r="G106" s="11" t="str">
        <f aca="false">IF($K106="","",IF(INDEX('Prospect Tracker'!$H$5:$H$554,$K106)="","",INDEX('Prospect Tracker'!$H$5:$H$554,$K106)))</f>
        <v/>
      </c>
      <c r="H106" s="12" t="str">
        <f aca="false">IF($K106="","",IF(INDEX('Prospect Tracker'!$K$5:$K$554,$K106)="","",INDEX('Prospect Tracker'!$K$5:$K$554,$K106)))</f>
        <v/>
      </c>
      <c r="I106" s="11" t="str">
        <f aca="false">IF($K106="","",IF(INDEX('Prospect Tracker'!$T$5:$T$554,$K106)="","",INDEX('Prospect Tracker'!$T$5:$T$554,$K106)))</f>
        <v/>
      </c>
      <c r="J106" s="11" t="str">
        <f aca="false">IF($K106="","",IF(INDEX('Prospect Tracker'!$L$5:$L$554,$K106)="","",INDEX('Prospect Tracker'!$L$5:$L$554,$K106)))</f>
        <v/>
      </c>
      <c r="K106" s="1" t="n">
        <f aca="false">IFERROR(MATCH(SMALL('Prospect Tracker'!$X$5:$X$554,ROW()-4),'Prospect Tracker'!$X$5:$X$554,0),"")</f>
        <v>102</v>
      </c>
    </row>
    <row r="107" customFormat="false" ht="15" hidden="false" customHeight="true" outlineLevel="0" collapsed="false">
      <c r="A107" s="6" t="str">
        <f aca="false">IF($K107="","",IF(INDEX('Prospect Tracker'!$W$5:$W$554,$K107)="","",INDEX('Prospect Tracker'!$W$5:$W$554,$K107)))</f>
        <v/>
      </c>
      <c r="B107" s="6" t="str">
        <f aca="false">IF($K107="","",IF(INDEX('Prospect Tracker'!$A$5:$A$554,$K107)="","",INDEX('Prospect Tracker'!$A$5:$A$554,$K107)))</f>
        <v/>
      </c>
      <c r="C107" s="6" t="str">
        <f aca="false">IF($K107="","",IF(INDEX('Prospect Tracker'!$B$5:$B$554,$K107)="","",INDEX('Prospect Tracker'!$B$5:$B$554,$K107)))</f>
        <v/>
      </c>
      <c r="D107" s="6" t="str">
        <f aca="false">IF($K107="","",IF(INDEX('Prospect Tracker'!$M$5:$M$554,$K107)="","",INDEX('Prospect Tracker'!$M$5:$M$554,$K107)))</f>
        <v/>
      </c>
      <c r="E107" s="6" t="str">
        <f aca="false">IF($K107="","",IF(INDEX('Prospect Tracker'!$R$5:$R$554,$K107)="","",INDEX('Prospect Tracker'!$R$5:$R$554,$K107)))</f>
        <v/>
      </c>
      <c r="F107" s="6" t="str">
        <f aca="false">IF($K107="","",IF(INDEX('Prospect Tracker'!$J$5:$J$554,$K107)="","",INDEX('Prospect Tracker'!$J$5:$J$554,$K107)))</f>
        <v/>
      </c>
      <c r="G107" s="6" t="str">
        <f aca="false">IF($K107="","",IF(INDEX('Prospect Tracker'!$H$5:$H$554,$K107)="","",INDEX('Prospect Tracker'!$H$5:$H$554,$K107)))</f>
        <v/>
      </c>
      <c r="H107" s="7" t="str">
        <f aca="false">IF($K107="","",IF(INDEX('Prospect Tracker'!$K$5:$K$554,$K107)="","",INDEX('Prospect Tracker'!$K$5:$K$554,$K107)))</f>
        <v/>
      </c>
      <c r="I107" s="6" t="str">
        <f aca="false">IF($K107="","",IF(INDEX('Prospect Tracker'!$T$5:$T$554,$K107)="","",INDEX('Prospect Tracker'!$T$5:$T$554,$K107)))</f>
        <v/>
      </c>
      <c r="J107" s="6" t="str">
        <f aca="false">IF($K107="","",IF(INDEX('Prospect Tracker'!$L$5:$L$554,$K107)="","",INDEX('Prospect Tracker'!$L$5:$L$554,$K107)))</f>
        <v/>
      </c>
      <c r="K107" s="1" t="n">
        <f aca="false">IFERROR(MATCH(SMALL('Prospect Tracker'!$X$5:$X$554,ROW()-4),'Prospect Tracker'!$X$5:$X$554,0),"")</f>
        <v>103</v>
      </c>
    </row>
    <row r="108" customFormat="false" ht="15" hidden="false" customHeight="true" outlineLevel="0" collapsed="false">
      <c r="A108" s="11" t="str">
        <f aca="false">IF($K108="","",IF(INDEX('Prospect Tracker'!$W$5:$W$554,$K108)="","",INDEX('Prospect Tracker'!$W$5:$W$554,$K108)))</f>
        <v/>
      </c>
      <c r="B108" s="11" t="str">
        <f aca="false">IF($K108="","",IF(INDEX('Prospect Tracker'!$A$5:$A$554,$K108)="","",INDEX('Prospect Tracker'!$A$5:$A$554,$K108)))</f>
        <v/>
      </c>
      <c r="C108" s="11" t="str">
        <f aca="false">IF($K108="","",IF(INDEX('Prospect Tracker'!$B$5:$B$554,$K108)="","",INDEX('Prospect Tracker'!$B$5:$B$554,$K108)))</f>
        <v/>
      </c>
      <c r="D108" s="11" t="str">
        <f aca="false">IF($K108="","",IF(INDEX('Prospect Tracker'!$M$5:$M$554,$K108)="","",INDEX('Prospect Tracker'!$M$5:$M$554,$K108)))</f>
        <v/>
      </c>
      <c r="E108" s="11" t="str">
        <f aca="false">IF($K108="","",IF(INDEX('Prospect Tracker'!$R$5:$R$554,$K108)="","",INDEX('Prospect Tracker'!$R$5:$R$554,$K108)))</f>
        <v/>
      </c>
      <c r="F108" s="11" t="str">
        <f aca="false">IF($K108="","",IF(INDEX('Prospect Tracker'!$J$5:$J$554,$K108)="","",INDEX('Prospect Tracker'!$J$5:$J$554,$K108)))</f>
        <v/>
      </c>
      <c r="G108" s="11" t="str">
        <f aca="false">IF($K108="","",IF(INDEX('Prospect Tracker'!$H$5:$H$554,$K108)="","",INDEX('Prospect Tracker'!$H$5:$H$554,$K108)))</f>
        <v/>
      </c>
      <c r="H108" s="12" t="str">
        <f aca="false">IF($K108="","",IF(INDEX('Prospect Tracker'!$K$5:$K$554,$K108)="","",INDEX('Prospect Tracker'!$K$5:$K$554,$K108)))</f>
        <v/>
      </c>
      <c r="I108" s="11" t="str">
        <f aca="false">IF($K108="","",IF(INDEX('Prospect Tracker'!$T$5:$T$554,$K108)="","",INDEX('Prospect Tracker'!$T$5:$T$554,$K108)))</f>
        <v/>
      </c>
      <c r="J108" s="11" t="str">
        <f aca="false">IF($K108="","",IF(INDEX('Prospect Tracker'!$L$5:$L$554,$K108)="","",INDEX('Prospect Tracker'!$L$5:$L$554,$K108)))</f>
        <v/>
      </c>
      <c r="K108" s="1" t="n">
        <f aca="false">IFERROR(MATCH(SMALL('Prospect Tracker'!$X$5:$X$554,ROW()-4),'Prospect Tracker'!$X$5:$X$554,0),"")</f>
        <v>104</v>
      </c>
    </row>
    <row r="109" customFormat="false" ht="15" hidden="false" customHeight="true" outlineLevel="0" collapsed="false">
      <c r="A109" s="6" t="str">
        <f aca="false">IF($K109="","",IF(INDEX('Prospect Tracker'!$W$5:$W$554,$K109)="","",INDEX('Prospect Tracker'!$W$5:$W$554,$K109)))</f>
        <v/>
      </c>
      <c r="B109" s="6" t="str">
        <f aca="false">IF($K109="","",IF(INDEX('Prospect Tracker'!$A$5:$A$554,$K109)="","",INDEX('Prospect Tracker'!$A$5:$A$554,$K109)))</f>
        <v/>
      </c>
      <c r="C109" s="6" t="str">
        <f aca="false">IF($K109="","",IF(INDEX('Prospect Tracker'!$B$5:$B$554,$K109)="","",INDEX('Prospect Tracker'!$B$5:$B$554,$K109)))</f>
        <v/>
      </c>
      <c r="D109" s="6" t="str">
        <f aca="false">IF($K109="","",IF(INDEX('Prospect Tracker'!$M$5:$M$554,$K109)="","",INDEX('Prospect Tracker'!$M$5:$M$554,$K109)))</f>
        <v/>
      </c>
      <c r="E109" s="6" t="str">
        <f aca="false">IF($K109="","",IF(INDEX('Prospect Tracker'!$R$5:$R$554,$K109)="","",INDEX('Prospect Tracker'!$R$5:$R$554,$K109)))</f>
        <v/>
      </c>
      <c r="F109" s="6" t="str">
        <f aca="false">IF($K109="","",IF(INDEX('Prospect Tracker'!$J$5:$J$554,$K109)="","",INDEX('Prospect Tracker'!$J$5:$J$554,$K109)))</f>
        <v/>
      </c>
      <c r="G109" s="6" t="str">
        <f aca="false">IF($K109="","",IF(INDEX('Prospect Tracker'!$H$5:$H$554,$K109)="","",INDEX('Prospect Tracker'!$H$5:$H$554,$K109)))</f>
        <v/>
      </c>
      <c r="H109" s="7" t="str">
        <f aca="false">IF($K109="","",IF(INDEX('Prospect Tracker'!$K$5:$K$554,$K109)="","",INDEX('Prospect Tracker'!$K$5:$K$554,$K109)))</f>
        <v/>
      </c>
      <c r="I109" s="6" t="str">
        <f aca="false">IF($K109="","",IF(INDEX('Prospect Tracker'!$T$5:$T$554,$K109)="","",INDEX('Prospect Tracker'!$T$5:$T$554,$K109)))</f>
        <v/>
      </c>
      <c r="J109" s="6" t="str">
        <f aca="false">IF($K109="","",IF(INDEX('Prospect Tracker'!$L$5:$L$554,$K109)="","",INDEX('Prospect Tracker'!$L$5:$L$554,$K109)))</f>
        <v/>
      </c>
      <c r="K109" s="1" t="n">
        <f aca="false">IFERROR(MATCH(SMALL('Prospect Tracker'!$X$5:$X$554,ROW()-4),'Prospect Tracker'!$X$5:$X$554,0),"")</f>
        <v>105</v>
      </c>
    </row>
    <row r="110" customFormat="false" ht="15" hidden="false" customHeight="true" outlineLevel="0" collapsed="false">
      <c r="A110" s="11" t="str">
        <f aca="false">IF($K110="","",IF(INDEX('Prospect Tracker'!$W$5:$W$554,$K110)="","",INDEX('Prospect Tracker'!$W$5:$W$554,$K110)))</f>
        <v/>
      </c>
      <c r="B110" s="11" t="str">
        <f aca="false">IF($K110="","",IF(INDEX('Prospect Tracker'!$A$5:$A$554,$K110)="","",INDEX('Prospect Tracker'!$A$5:$A$554,$K110)))</f>
        <v/>
      </c>
      <c r="C110" s="11" t="str">
        <f aca="false">IF($K110="","",IF(INDEX('Prospect Tracker'!$B$5:$B$554,$K110)="","",INDEX('Prospect Tracker'!$B$5:$B$554,$K110)))</f>
        <v/>
      </c>
      <c r="D110" s="11" t="str">
        <f aca="false">IF($K110="","",IF(INDEX('Prospect Tracker'!$M$5:$M$554,$K110)="","",INDEX('Prospect Tracker'!$M$5:$M$554,$K110)))</f>
        <v/>
      </c>
      <c r="E110" s="11" t="str">
        <f aca="false">IF($K110="","",IF(INDEX('Prospect Tracker'!$R$5:$R$554,$K110)="","",INDEX('Prospect Tracker'!$R$5:$R$554,$K110)))</f>
        <v/>
      </c>
      <c r="F110" s="11" t="str">
        <f aca="false">IF($K110="","",IF(INDEX('Prospect Tracker'!$J$5:$J$554,$K110)="","",INDEX('Prospect Tracker'!$J$5:$J$554,$K110)))</f>
        <v/>
      </c>
      <c r="G110" s="11" t="str">
        <f aca="false">IF($K110="","",IF(INDEX('Prospect Tracker'!$H$5:$H$554,$K110)="","",INDEX('Prospect Tracker'!$H$5:$H$554,$K110)))</f>
        <v/>
      </c>
      <c r="H110" s="12" t="str">
        <f aca="false">IF($K110="","",IF(INDEX('Prospect Tracker'!$K$5:$K$554,$K110)="","",INDEX('Prospect Tracker'!$K$5:$K$554,$K110)))</f>
        <v/>
      </c>
      <c r="I110" s="11" t="str">
        <f aca="false">IF($K110="","",IF(INDEX('Prospect Tracker'!$T$5:$T$554,$K110)="","",INDEX('Prospect Tracker'!$T$5:$T$554,$K110)))</f>
        <v/>
      </c>
      <c r="J110" s="11" t="str">
        <f aca="false">IF($K110="","",IF(INDEX('Prospect Tracker'!$L$5:$L$554,$K110)="","",INDEX('Prospect Tracker'!$L$5:$L$554,$K110)))</f>
        <v/>
      </c>
      <c r="K110" s="1" t="n">
        <f aca="false">IFERROR(MATCH(SMALL('Prospect Tracker'!$X$5:$X$554,ROW()-4),'Prospect Tracker'!$X$5:$X$554,0),"")</f>
        <v>106</v>
      </c>
    </row>
    <row r="111" customFormat="false" ht="15" hidden="false" customHeight="true" outlineLevel="0" collapsed="false">
      <c r="A111" s="6" t="str">
        <f aca="false">IF($K111="","",IF(INDEX('Prospect Tracker'!$W$5:$W$554,$K111)="","",INDEX('Prospect Tracker'!$W$5:$W$554,$K111)))</f>
        <v/>
      </c>
      <c r="B111" s="6" t="str">
        <f aca="false">IF($K111="","",IF(INDEX('Prospect Tracker'!$A$5:$A$554,$K111)="","",INDEX('Prospect Tracker'!$A$5:$A$554,$K111)))</f>
        <v/>
      </c>
      <c r="C111" s="6" t="str">
        <f aca="false">IF($K111="","",IF(INDEX('Prospect Tracker'!$B$5:$B$554,$K111)="","",INDEX('Prospect Tracker'!$B$5:$B$554,$K111)))</f>
        <v/>
      </c>
      <c r="D111" s="6" t="str">
        <f aca="false">IF($K111="","",IF(INDEX('Prospect Tracker'!$M$5:$M$554,$K111)="","",INDEX('Prospect Tracker'!$M$5:$M$554,$K111)))</f>
        <v/>
      </c>
      <c r="E111" s="6" t="str">
        <f aca="false">IF($K111="","",IF(INDEX('Prospect Tracker'!$R$5:$R$554,$K111)="","",INDEX('Prospect Tracker'!$R$5:$R$554,$K111)))</f>
        <v/>
      </c>
      <c r="F111" s="6" t="str">
        <f aca="false">IF($K111="","",IF(INDEX('Prospect Tracker'!$J$5:$J$554,$K111)="","",INDEX('Prospect Tracker'!$J$5:$J$554,$K111)))</f>
        <v/>
      </c>
      <c r="G111" s="6" t="str">
        <f aca="false">IF($K111="","",IF(INDEX('Prospect Tracker'!$H$5:$H$554,$K111)="","",INDEX('Prospect Tracker'!$H$5:$H$554,$K111)))</f>
        <v/>
      </c>
      <c r="H111" s="7" t="str">
        <f aca="false">IF($K111="","",IF(INDEX('Prospect Tracker'!$K$5:$K$554,$K111)="","",INDEX('Prospect Tracker'!$K$5:$K$554,$K111)))</f>
        <v/>
      </c>
      <c r="I111" s="6" t="str">
        <f aca="false">IF($K111="","",IF(INDEX('Prospect Tracker'!$T$5:$T$554,$K111)="","",INDEX('Prospect Tracker'!$T$5:$T$554,$K111)))</f>
        <v/>
      </c>
      <c r="J111" s="6" t="str">
        <f aca="false">IF($K111="","",IF(INDEX('Prospect Tracker'!$L$5:$L$554,$K111)="","",INDEX('Prospect Tracker'!$L$5:$L$554,$K111)))</f>
        <v/>
      </c>
      <c r="K111" s="1" t="n">
        <f aca="false">IFERROR(MATCH(SMALL('Prospect Tracker'!$X$5:$X$554,ROW()-4),'Prospect Tracker'!$X$5:$X$554,0),"")</f>
        <v>107</v>
      </c>
    </row>
    <row r="112" customFormat="false" ht="15" hidden="false" customHeight="true" outlineLevel="0" collapsed="false">
      <c r="A112" s="11" t="str">
        <f aca="false">IF($K112="","",IF(INDEX('Prospect Tracker'!$W$5:$W$554,$K112)="","",INDEX('Prospect Tracker'!$W$5:$W$554,$K112)))</f>
        <v/>
      </c>
      <c r="B112" s="11" t="str">
        <f aca="false">IF($K112="","",IF(INDEX('Prospect Tracker'!$A$5:$A$554,$K112)="","",INDEX('Prospect Tracker'!$A$5:$A$554,$K112)))</f>
        <v/>
      </c>
      <c r="C112" s="11" t="str">
        <f aca="false">IF($K112="","",IF(INDEX('Prospect Tracker'!$B$5:$B$554,$K112)="","",INDEX('Prospect Tracker'!$B$5:$B$554,$K112)))</f>
        <v/>
      </c>
      <c r="D112" s="11" t="str">
        <f aca="false">IF($K112="","",IF(INDEX('Prospect Tracker'!$M$5:$M$554,$K112)="","",INDEX('Prospect Tracker'!$M$5:$M$554,$K112)))</f>
        <v/>
      </c>
      <c r="E112" s="11" t="str">
        <f aca="false">IF($K112="","",IF(INDEX('Prospect Tracker'!$R$5:$R$554,$K112)="","",INDEX('Prospect Tracker'!$R$5:$R$554,$K112)))</f>
        <v/>
      </c>
      <c r="F112" s="11" t="str">
        <f aca="false">IF($K112="","",IF(INDEX('Prospect Tracker'!$J$5:$J$554,$K112)="","",INDEX('Prospect Tracker'!$J$5:$J$554,$K112)))</f>
        <v/>
      </c>
      <c r="G112" s="11" t="str">
        <f aca="false">IF($K112="","",IF(INDEX('Prospect Tracker'!$H$5:$H$554,$K112)="","",INDEX('Prospect Tracker'!$H$5:$H$554,$K112)))</f>
        <v/>
      </c>
      <c r="H112" s="12" t="str">
        <f aca="false">IF($K112="","",IF(INDEX('Prospect Tracker'!$K$5:$K$554,$K112)="","",INDEX('Prospect Tracker'!$K$5:$K$554,$K112)))</f>
        <v/>
      </c>
      <c r="I112" s="11" t="str">
        <f aca="false">IF($K112="","",IF(INDEX('Prospect Tracker'!$T$5:$T$554,$K112)="","",INDEX('Prospect Tracker'!$T$5:$T$554,$K112)))</f>
        <v/>
      </c>
      <c r="J112" s="11" t="str">
        <f aca="false">IF($K112="","",IF(INDEX('Prospect Tracker'!$L$5:$L$554,$K112)="","",INDEX('Prospect Tracker'!$L$5:$L$554,$K112)))</f>
        <v/>
      </c>
      <c r="K112" s="1" t="n">
        <f aca="false">IFERROR(MATCH(SMALL('Prospect Tracker'!$X$5:$X$554,ROW()-4),'Prospect Tracker'!$X$5:$X$554,0),"")</f>
        <v>108</v>
      </c>
    </row>
    <row r="113" customFormat="false" ht="15" hidden="false" customHeight="true" outlineLevel="0" collapsed="false">
      <c r="A113" s="6" t="str">
        <f aca="false">IF($K113="","",IF(INDEX('Prospect Tracker'!$W$5:$W$554,$K113)="","",INDEX('Prospect Tracker'!$W$5:$W$554,$K113)))</f>
        <v/>
      </c>
      <c r="B113" s="6" t="str">
        <f aca="false">IF($K113="","",IF(INDEX('Prospect Tracker'!$A$5:$A$554,$K113)="","",INDEX('Prospect Tracker'!$A$5:$A$554,$K113)))</f>
        <v/>
      </c>
      <c r="C113" s="6" t="str">
        <f aca="false">IF($K113="","",IF(INDEX('Prospect Tracker'!$B$5:$B$554,$K113)="","",INDEX('Prospect Tracker'!$B$5:$B$554,$K113)))</f>
        <v/>
      </c>
      <c r="D113" s="6" t="str">
        <f aca="false">IF($K113="","",IF(INDEX('Prospect Tracker'!$M$5:$M$554,$K113)="","",INDEX('Prospect Tracker'!$M$5:$M$554,$K113)))</f>
        <v/>
      </c>
      <c r="E113" s="6" t="str">
        <f aca="false">IF($K113="","",IF(INDEX('Prospect Tracker'!$R$5:$R$554,$K113)="","",INDEX('Prospect Tracker'!$R$5:$R$554,$K113)))</f>
        <v/>
      </c>
      <c r="F113" s="6" t="str">
        <f aca="false">IF($K113="","",IF(INDEX('Prospect Tracker'!$J$5:$J$554,$K113)="","",INDEX('Prospect Tracker'!$J$5:$J$554,$K113)))</f>
        <v/>
      </c>
      <c r="G113" s="6" t="str">
        <f aca="false">IF($K113="","",IF(INDEX('Prospect Tracker'!$H$5:$H$554,$K113)="","",INDEX('Prospect Tracker'!$H$5:$H$554,$K113)))</f>
        <v/>
      </c>
      <c r="H113" s="7" t="str">
        <f aca="false">IF($K113="","",IF(INDEX('Prospect Tracker'!$K$5:$K$554,$K113)="","",INDEX('Prospect Tracker'!$K$5:$K$554,$K113)))</f>
        <v/>
      </c>
      <c r="I113" s="6" t="str">
        <f aca="false">IF($K113="","",IF(INDEX('Prospect Tracker'!$T$5:$T$554,$K113)="","",INDEX('Prospect Tracker'!$T$5:$T$554,$K113)))</f>
        <v/>
      </c>
      <c r="J113" s="6" t="str">
        <f aca="false">IF($K113="","",IF(INDEX('Prospect Tracker'!$L$5:$L$554,$K113)="","",INDEX('Prospect Tracker'!$L$5:$L$554,$K113)))</f>
        <v/>
      </c>
      <c r="K113" s="1" t="n">
        <f aca="false">IFERROR(MATCH(SMALL('Prospect Tracker'!$X$5:$X$554,ROW()-4),'Prospect Tracker'!$X$5:$X$554,0),"")</f>
        <v>109</v>
      </c>
    </row>
    <row r="114" customFormat="false" ht="15" hidden="false" customHeight="true" outlineLevel="0" collapsed="false">
      <c r="A114" s="11" t="str">
        <f aca="false">IF($K114="","",IF(INDEX('Prospect Tracker'!$W$5:$W$554,$K114)="","",INDEX('Prospect Tracker'!$W$5:$W$554,$K114)))</f>
        <v/>
      </c>
      <c r="B114" s="11" t="str">
        <f aca="false">IF($K114="","",IF(INDEX('Prospect Tracker'!$A$5:$A$554,$K114)="","",INDEX('Prospect Tracker'!$A$5:$A$554,$K114)))</f>
        <v/>
      </c>
      <c r="C114" s="11" t="str">
        <f aca="false">IF($K114="","",IF(INDEX('Prospect Tracker'!$B$5:$B$554,$K114)="","",INDEX('Prospect Tracker'!$B$5:$B$554,$K114)))</f>
        <v/>
      </c>
      <c r="D114" s="11" t="str">
        <f aca="false">IF($K114="","",IF(INDEX('Prospect Tracker'!$M$5:$M$554,$K114)="","",INDEX('Prospect Tracker'!$M$5:$M$554,$K114)))</f>
        <v/>
      </c>
      <c r="E114" s="11" t="str">
        <f aca="false">IF($K114="","",IF(INDEX('Prospect Tracker'!$R$5:$R$554,$K114)="","",INDEX('Prospect Tracker'!$R$5:$R$554,$K114)))</f>
        <v/>
      </c>
      <c r="F114" s="11" t="str">
        <f aca="false">IF($K114="","",IF(INDEX('Prospect Tracker'!$J$5:$J$554,$K114)="","",INDEX('Prospect Tracker'!$J$5:$J$554,$K114)))</f>
        <v/>
      </c>
      <c r="G114" s="11" t="str">
        <f aca="false">IF($K114="","",IF(INDEX('Prospect Tracker'!$H$5:$H$554,$K114)="","",INDEX('Prospect Tracker'!$H$5:$H$554,$K114)))</f>
        <v/>
      </c>
      <c r="H114" s="12" t="str">
        <f aca="false">IF($K114="","",IF(INDEX('Prospect Tracker'!$K$5:$K$554,$K114)="","",INDEX('Prospect Tracker'!$K$5:$K$554,$K114)))</f>
        <v/>
      </c>
      <c r="I114" s="11" t="str">
        <f aca="false">IF($K114="","",IF(INDEX('Prospect Tracker'!$T$5:$T$554,$K114)="","",INDEX('Prospect Tracker'!$T$5:$T$554,$K114)))</f>
        <v/>
      </c>
      <c r="J114" s="11" t="str">
        <f aca="false">IF($K114="","",IF(INDEX('Prospect Tracker'!$L$5:$L$554,$K114)="","",INDEX('Prospect Tracker'!$L$5:$L$554,$K114)))</f>
        <v/>
      </c>
      <c r="K114" s="1" t="n">
        <f aca="false">IFERROR(MATCH(SMALL('Prospect Tracker'!$X$5:$X$554,ROW()-4),'Prospect Tracker'!$X$5:$X$554,0),"")</f>
        <v>110</v>
      </c>
    </row>
    <row r="115" customFormat="false" ht="15" hidden="false" customHeight="true" outlineLevel="0" collapsed="false">
      <c r="A115" s="6" t="str">
        <f aca="false">IF($K115="","",IF(INDEX('Prospect Tracker'!$W$5:$W$554,$K115)="","",INDEX('Prospect Tracker'!$W$5:$W$554,$K115)))</f>
        <v/>
      </c>
      <c r="B115" s="6" t="str">
        <f aca="false">IF($K115="","",IF(INDEX('Prospect Tracker'!$A$5:$A$554,$K115)="","",INDEX('Prospect Tracker'!$A$5:$A$554,$K115)))</f>
        <v/>
      </c>
      <c r="C115" s="6" t="str">
        <f aca="false">IF($K115="","",IF(INDEX('Prospect Tracker'!$B$5:$B$554,$K115)="","",INDEX('Prospect Tracker'!$B$5:$B$554,$K115)))</f>
        <v/>
      </c>
      <c r="D115" s="6" t="str">
        <f aca="false">IF($K115="","",IF(INDEX('Prospect Tracker'!$M$5:$M$554,$K115)="","",INDEX('Prospect Tracker'!$M$5:$M$554,$K115)))</f>
        <v/>
      </c>
      <c r="E115" s="6" t="str">
        <f aca="false">IF($K115="","",IF(INDEX('Prospect Tracker'!$R$5:$R$554,$K115)="","",INDEX('Prospect Tracker'!$R$5:$R$554,$K115)))</f>
        <v/>
      </c>
      <c r="F115" s="6" t="str">
        <f aca="false">IF($K115="","",IF(INDEX('Prospect Tracker'!$J$5:$J$554,$K115)="","",INDEX('Prospect Tracker'!$J$5:$J$554,$K115)))</f>
        <v/>
      </c>
      <c r="G115" s="6" t="str">
        <f aca="false">IF($K115="","",IF(INDEX('Prospect Tracker'!$H$5:$H$554,$K115)="","",INDEX('Prospect Tracker'!$H$5:$H$554,$K115)))</f>
        <v/>
      </c>
      <c r="H115" s="7" t="str">
        <f aca="false">IF($K115="","",IF(INDEX('Prospect Tracker'!$K$5:$K$554,$K115)="","",INDEX('Prospect Tracker'!$K$5:$K$554,$K115)))</f>
        <v/>
      </c>
      <c r="I115" s="6" t="str">
        <f aca="false">IF($K115="","",IF(INDEX('Prospect Tracker'!$T$5:$T$554,$K115)="","",INDEX('Prospect Tracker'!$T$5:$T$554,$K115)))</f>
        <v/>
      </c>
      <c r="J115" s="6" t="str">
        <f aca="false">IF($K115="","",IF(INDEX('Prospect Tracker'!$L$5:$L$554,$K115)="","",INDEX('Prospect Tracker'!$L$5:$L$554,$K115)))</f>
        <v/>
      </c>
      <c r="K115" s="1" t="n">
        <f aca="false">IFERROR(MATCH(SMALL('Prospect Tracker'!$X$5:$X$554,ROW()-4),'Prospect Tracker'!$X$5:$X$554,0),"")</f>
        <v>111</v>
      </c>
    </row>
    <row r="116" customFormat="false" ht="15" hidden="false" customHeight="true" outlineLevel="0" collapsed="false">
      <c r="A116" s="11" t="str">
        <f aca="false">IF($K116="","",IF(INDEX('Prospect Tracker'!$W$5:$W$554,$K116)="","",INDEX('Prospect Tracker'!$W$5:$W$554,$K116)))</f>
        <v/>
      </c>
      <c r="B116" s="11" t="str">
        <f aca="false">IF($K116="","",IF(INDEX('Prospect Tracker'!$A$5:$A$554,$K116)="","",INDEX('Prospect Tracker'!$A$5:$A$554,$K116)))</f>
        <v/>
      </c>
      <c r="C116" s="11" t="str">
        <f aca="false">IF($K116="","",IF(INDEX('Prospect Tracker'!$B$5:$B$554,$K116)="","",INDEX('Prospect Tracker'!$B$5:$B$554,$K116)))</f>
        <v/>
      </c>
      <c r="D116" s="11" t="str">
        <f aca="false">IF($K116="","",IF(INDEX('Prospect Tracker'!$M$5:$M$554,$K116)="","",INDEX('Prospect Tracker'!$M$5:$M$554,$K116)))</f>
        <v/>
      </c>
      <c r="E116" s="11" t="str">
        <f aca="false">IF($K116="","",IF(INDEX('Prospect Tracker'!$R$5:$R$554,$K116)="","",INDEX('Prospect Tracker'!$R$5:$R$554,$K116)))</f>
        <v/>
      </c>
      <c r="F116" s="11" t="str">
        <f aca="false">IF($K116="","",IF(INDEX('Prospect Tracker'!$J$5:$J$554,$K116)="","",INDEX('Prospect Tracker'!$J$5:$J$554,$K116)))</f>
        <v/>
      </c>
      <c r="G116" s="11" t="str">
        <f aca="false">IF($K116="","",IF(INDEX('Prospect Tracker'!$H$5:$H$554,$K116)="","",INDEX('Prospect Tracker'!$H$5:$H$554,$K116)))</f>
        <v/>
      </c>
      <c r="H116" s="12" t="str">
        <f aca="false">IF($K116="","",IF(INDEX('Prospect Tracker'!$K$5:$K$554,$K116)="","",INDEX('Prospect Tracker'!$K$5:$K$554,$K116)))</f>
        <v/>
      </c>
      <c r="I116" s="11" t="str">
        <f aca="false">IF($K116="","",IF(INDEX('Prospect Tracker'!$T$5:$T$554,$K116)="","",INDEX('Prospect Tracker'!$T$5:$T$554,$K116)))</f>
        <v/>
      </c>
      <c r="J116" s="11" t="str">
        <f aca="false">IF($K116="","",IF(INDEX('Prospect Tracker'!$L$5:$L$554,$K116)="","",INDEX('Prospect Tracker'!$L$5:$L$554,$K116)))</f>
        <v/>
      </c>
      <c r="K116" s="1" t="n">
        <f aca="false">IFERROR(MATCH(SMALL('Prospect Tracker'!$X$5:$X$554,ROW()-4),'Prospect Tracker'!$X$5:$X$554,0),"")</f>
        <v>112</v>
      </c>
    </row>
    <row r="117" customFormat="false" ht="15" hidden="false" customHeight="true" outlineLevel="0" collapsed="false">
      <c r="A117" s="6" t="str">
        <f aca="false">IF($K117="","",IF(INDEX('Prospect Tracker'!$W$5:$W$554,$K117)="","",INDEX('Prospect Tracker'!$W$5:$W$554,$K117)))</f>
        <v/>
      </c>
      <c r="B117" s="6" t="str">
        <f aca="false">IF($K117="","",IF(INDEX('Prospect Tracker'!$A$5:$A$554,$K117)="","",INDEX('Prospect Tracker'!$A$5:$A$554,$K117)))</f>
        <v/>
      </c>
      <c r="C117" s="6" t="str">
        <f aca="false">IF($K117="","",IF(INDEX('Prospect Tracker'!$B$5:$B$554,$K117)="","",INDEX('Prospect Tracker'!$B$5:$B$554,$K117)))</f>
        <v/>
      </c>
      <c r="D117" s="6" t="str">
        <f aca="false">IF($K117="","",IF(INDEX('Prospect Tracker'!$M$5:$M$554,$K117)="","",INDEX('Prospect Tracker'!$M$5:$M$554,$K117)))</f>
        <v/>
      </c>
      <c r="E117" s="6" t="str">
        <f aca="false">IF($K117="","",IF(INDEX('Prospect Tracker'!$R$5:$R$554,$K117)="","",INDEX('Prospect Tracker'!$R$5:$R$554,$K117)))</f>
        <v/>
      </c>
      <c r="F117" s="6" t="str">
        <f aca="false">IF($K117="","",IF(INDEX('Prospect Tracker'!$J$5:$J$554,$K117)="","",INDEX('Prospect Tracker'!$J$5:$J$554,$K117)))</f>
        <v/>
      </c>
      <c r="G117" s="6" t="str">
        <f aca="false">IF($K117="","",IF(INDEX('Prospect Tracker'!$H$5:$H$554,$K117)="","",INDEX('Prospect Tracker'!$H$5:$H$554,$K117)))</f>
        <v/>
      </c>
      <c r="H117" s="7" t="str">
        <f aca="false">IF($K117="","",IF(INDEX('Prospect Tracker'!$K$5:$K$554,$K117)="","",INDEX('Prospect Tracker'!$K$5:$K$554,$K117)))</f>
        <v/>
      </c>
      <c r="I117" s="6" t="str">
        <f aca="false">IF($K117="","",IF(INDEX('Prospect Tracker'!$T$5:$T$554,$K117)="","",INDEX('Prospect Tracker'!$T$5:$T$554,$K117)))</f>
        <v/>
      </c>
      <c r="J117" s="6" t="str">
        <f aca="false">IF($K117="","",IF(INDEX('Prospect Tracker'!$L$5:$L$554,$K117)="","",INDEX('Prospect Tracker'!$L$5:$L$554,$K117)))</f>
        <v/>
      </c>
      <c r="K117" s="1" t="n">
        <f aca="false">IFERROR(MATCH(SMALL('Prospect Tracker'!$X$5:$X$554,ROW()-4),'Prospect Tracker'!$X$5:$X$554,0),"")</f>
        <v>113</v>
      </c>
    </row>
    <row r="118" customFormat="false" ht="15" hidden="false" customHeight="true" outlineLevel="0" collapsed="false">
      <c r="A118" s="11" t="str">
        <f aca="false">IF($K118="","",IF(INDEX('Prospect Tracker'!$W$5:$W$554,$K118)="","",INDEX('Prospect Tracker'!$W$5:$W$554,$K118)))</f>
        <v/>
      </c>
      <c r="B118" s="11" t="str">
        <f aca="false">IF($K118="","",IF(INDEX('Prospect Tracker'!$A$5:$A$554,$K118)="","",INDEX('Prospect Tracker'!$A$5:$A$554,$K118)))</f>
        <v/>
      </c>
      <c r="C118" s="11" t="str">
        <f aca="false">IF($K118="","",IF(INDEX('Prospect Tracker'!$B$5:$B$554,$K118)="","",INDEX('Prospect Tracker'!$B$5:$B$554,$K118)))</f>
        <v/>
      </c>
      <c r="D118" s="11" t="str">
        <f aca="false">IF($K118="","",IF(INDEX('Prospect Tracker'!$M$5:$M$554,$K118)="","",INDEX('Prospect Tracker'!$M$5:$M$554,$K118)))</f>
        <v/>
      </c>
      <c r="E118" s="11" t="str">
        <f aca="false">IF($K118="","",IF(INDEX('Prospect Tracker'!$R$5:$R$554,$K118)="","",INDEX('Prospect Tracker'!$R$5:$R$554,$K118)))</f>
        <v/>
      </c>
      <c r="F118" s="11" t="str">
        <f aca="false">IF($K118="","",IF(INDEX('Prospect Tracker'!$J$5:$J$554,$K118)="","",INDEX('Prospect Tracker'!$J$5:$J$554,$K118)))</f>
        <v/>
      </c>
      <c r="G118" s="11" t="str">
        <f aca="false">IF($K118="","",IF(INDEX('Prospect Tracker'!$H$5:$H$554,$K118)="","",INDEX('Prospect Tracker'!$H$5:$H$554,$K118)))</f>
        <v/>
      </c>
      <c r="H118" s="12" t="str">
        <f aca="false">IF($K118="","",IF(INDEX('Prospect Tracker'!$K$5:$K$554,$K118)="","",INDEX('Prospect Tracker'!$K$5:$K$554,$K118)))</f>
        <v/>
      </c>
      <c r="I118" s="11" t="str">
        <f aca="false">IF($K118="","",IF(INDEX('Prospect Tracker'!$T$5:$T$554,$K118)="","",INDEX('Prospect Tracker'!$T$5:$T$554,$K118)))</f>
        <v/>
      </c>
      <c r="J118" s="11" t="str">
        <f aca="false">IF($K118="","",IF(INDEX('Prospect Tracker'!$L$5:$L$554,$K118)="","",INDEX('Prospect Tracker'!$L$5:$L$554,$K118)))</f>
        <v/>
      </c>
      <c r="K118" s="1" t="n">
        <f aca="false">IFERROR(MATCH(SMALL('Prospect Tracker'!$X$5:$X$554,ROW()-4),'Prospect Tracker'!$X$5:$X$554,0),"")</f>
        <v>114</v>
      </c>
    </row>
    <row r="119" customFormat="false" ht="15" hidden="false" customHeight="true" outlineLevel="0" collapsed="false">
      <c r="A119" s="6" t="str">
        <f aca="false">IF($K119="","",IF(INDEX('Prospect Tracker'!$W$5:$W$554,$K119)="","",INDEX('Prospect Tracker'!$W$5:$W$554,$K119)))</f>
        <v/>
      </c>
      <c r="B119" s="6" t="str">
        <f aca="false">IF($K119="","",IF(INDEX('Prospect Tracker'!$A$5:$A$554,$K119)="","",INDEX('Prospect Tracker'!$A$5:$A$554,$K119)))</f>
        <v/>
      </c>
      <c r="C119" s="6" t="str">
        <f aca="false">IF($K119="","",IF(INDEX('Prospect Tracker'!$B$5:$B$554,$K119)="","",INDEX('Prospect Tracker'!$B$5:$B$554,$K119)))</f>
        <v/>
      </c>
      <c r="D119" s="6" t="str">
        <f aca="false">IF($K119="","",IF(INDEX('Prospect Tracker'!$M$5:$M$554,$K119)="","",INDEX('Prospect Tracker'!$M$5:$M$554,$K119)))</f>
        <v/>
      </c>
      <c r="E119" s="6" t="str">
        <f aca="false">IF($K119="","",IF(INDEX('Prospect Tracker'!$R$5:$R$554,$K119)="","",INDEX('Prospect Tracker'!$R$5:$R$554,$K119)))</f>
        <v/>
      </c>
      <c r="F119" s="6" t="str">
        <f aca="false">IF($K119="","",IF(INDEX('Prospect Tracker'!$J$5:$J$554,$K119)="","",INDEX('Prospect Tracker'!$J$5:$J$554,$K119)))</f>
        <v/>
      </c>
      <c r="G119" s="6" t="str">
        <f aca="false">IF($K119="","",IF(INDEX('Prospect Tracker'!$H$5:$H$554,$K119)="","",INDEX('Prospect Tracker'!$H$5:$H$554,$K119)))</f>
        <v/>
      </c>
      <c r="H119" s="7" t="str">
        <f aca="false">IF($K119="","",IF(INDEX('Prospect Tracker'!$K$5:$K$554,$K119)="","",INDEX('Prospect Tracker'!$K$5:$K$554,$K119)))</f>
        <v/>
      </c>
      <c r="I119" s="6" t="str">
        <f aca="false">IF($K119="","",IF(INDEX('Prospect Tracker'!$T$5:$T$554,$K119)="","",INDEX('Prospect Tracker'!$T$5:$T$554,$K119)))</f>
        <v/>
      </c>
      <c r="J119" s="6" t="str">
        <f aca="false">IF($K119="","",IF(INDEX('Prospect Tracker'!$L$5:$L$554,$K119)="","",INDEX('Prospect Tracker'!$L$5:$L$554,$K119)))</f>
        <v/>
      </c>
      <c r="K119" s="1" t="n">
        <f aca="false">IFERROR(MATCH(SMALL('Prospect Tracker'!$X$5:$X$554,ROW()-4),'Prospect Tracker'!$X$5:$X$554,0),"")</f>
        <v>115</v>
      </c>
    </row>
    <row r="120" customFormat="false" ht="15" hidden="false" customHeight="true" outlineLevel="0" collapsed="false">
      <c r="A120" s="11" t="str">
        <f aca="false">IF($K120="","",IF(INDEX('Prospect Tracker'!$W$5:$W$554,$K120)="","",INDEX('Prospect Tracker'!$W$5:$W$554,$K120)))</f>
        <v/>
      </c>
      <c r="B120" s="11" t="str">
        <f aca="false">IF($K120="","",IF(INDEX('Prospect Tracker'!$A$5:$A$554,$K120)="","",INDEX('Prospect Tracker'!$A$5:$A$554,$K120)))</f>
        <v/>
      </c>
      <c r="C120" s="11" t="str">
        <f aca="false">IF($K120="","",IF(INDEX('Prospect Tracker'!$B$5:$B$554,$K120)="","",INDEX('Prospect Tracker'!$B$5:$B$554,$K120)))</f>
        <v/>
      </c>
      <c r="D120" s="11" t="str">
        <f aca="false">IF($K120="","",IF(INDEX('Prospect Tracker'!$M$5:$M$554,$K120)="","",INDEX('Prospect Tracker'!$M$5:$M$554,$K120)))</f>
        <v/>
      </c>
      <c r="E120" s="11" t="str">
        <f aca="false">IF($K120="","",IF(INDEX('Prospect Tracker'!$R$5:$R$554,$K120)="","",INDEX('Prospect Tracker'!$R$5:$R$554,$K120)))</f>
        <v/>
      </c>
      <c r="F120" s="11" t="str">
        <f aca="false">IF($K120="","",IF(INDEX('Prospect Tracker'!$J$5:$J$554,$K120)="","",INDEX('Prospect Tracker'!$J$5:$J$554,$K120)))</f>
        <v/>
      </c>
      <c r="G120" s="11" t="str">
        <f aca="false">IF($K120="","",IF(INDEX('Prospect Tracker'!$H$5:$H$554,$K120)="","",INDEX('Prospect Tracker'!$H$5:$H$554,$K120)))</f>
        <v/>
      </c>
      <c r="H120" s="12" t="str">
        <f aca="false">IF($K120="","",IF(INDEX('Prospect Tracker'!$K$5:$K$554,$K120)="","",INDEX('Prospect Tracker'!$K$5:$K$554,$K120)))</f>
        <v/>
      </c>
      <c r="I120" s="11" t="str">
        <f aca="false">IF($K120="","",IF(INDEX('Prospect Tracker'!$T$5:$T$554,$K120)="","",INDEX('Prospect Tracker'!$T$5:$T$554,$K120)))</f>
        <v/>
      </c>
      <c r="J120" s="11" t="str">
        <f aca="false">IF($K120="","",IF(INDEX('Prospect Tracker'!$L$5:$L$554,$K120)="","",INDEX('Prospect Tracker'!$L$5:$L$554,$K120)))</f>
        <v/>
      </c>
      <c r="K120" s="1" t="n">
        <f aca="false">IFERROR(MATCH(SMALL('Prospect Tracker'!$X$5:$X$554,ROW()-4),'Prospect Tracker'!$X$5:$X$554,0),"")</f>
        <v>116</v>
      </c>
    </row>
    <row r="121" customFormat="false" ht="15" hidden="false" customHeight="true" outlineLevel="0" collapsed="false">
      <c r="A121" s="6" t="str">
        <f aca="false">IF($K121="","",IF(INDEX('Prospect Tracker'!$W$5:$W$554,$K121)="","",INDEX('Prospect Tracker'!$W$5:$W$554,$K121)))</f>
        <v/>
      </c>
      <c r="B121" s="6" t="str">
        <f aca="false">IF($K121="","",IF(INDEX('Prospect Tracker'!$A$5:$A$554,$K121)="","",INDEX('Prospect Tracker'!$A$5:$A$554,$K121)))</f>
        <v/>
      </c>
      <c r="C121" s="6" t="str">
        <f aca="false">IF($K121="","",IF(INDEX('Prospect Tracker'!$B$5:$B$554,$K121)="","",INDEX('Prospect Tracker'!$B$5:$B$554,$K121)))</f>
        <v/>
      </c>
      <c r="D121" s="6" t="str">
        <f aca="false">IF($K121="","",IF(INDEX('Prospect Tracker'!$M$5:$M$554,$K121)="","",INDEX('Prospect Tracker'!$M$5:$M$554,$K121)))</f>
        <v/>
      </c>
      <c r="E121" s="6" t="str">
        <f aca="false">IF($K121="","",IF(INDEX('Prospect Tracker'!$R$5:$R$554,$K121)="","",INDEX('Prospect Tracker'!$R$5:$R$554,$K121)))</f>
        <v/>
      </c>
      <c r="F121" s="6" t="str">
        <f aca="false">IF($K121="","",IF(INDEX('Prospect Tracker'!$J$5:$J$554,$K121)="","",INDEX('Prospect Tracker'!$J$5:$J$554,$K121)))</f>
        <v/>
      </c>
      <c r="G121" s="6" t="str">
        <f aca="false">IF($K121="","",IF(INDEX('Prospect Tracker'!$H$5:$H$554,$K121)="","",INDEX('Prospect Tracker'!$H$5:$H$554,$K121)))</f>
        <v/>
      </c>
      <c r="H121" s="7" t="str">
        <f aca="false">IF($K121="","",IF(INDEX('Prospect Tracker'!$K$5:$K$554,$K121)="","",INDEX('Prospect Tracker'!$K$5:$K$554,$K121)))</f>
        <v/>
      </c>
      <c r="I121" s="6" t="str">
        <f aca="false">IF($K121="","",IF(INDEX('Prospect Tracker'!$T$5:$T$554,$K121)="","",INDEX('Prospect Tracker'!$T$5:$T$554,$K121)))</f>
        <v/>
      </c>
      <c r="J121" s="6" t="str">
        <f aca="false">IF($K121="","",IF(INDEX('Prospect Tracker'!$L$5:$L$554,$K121)="","",INDEX('Prospect Tracker'!$L$5:$L$554,$K121)))</f>
        <v/>
      </c>
      <c r="K121" s="1" t="n">
        <f aca="false">IFERROR(MATCH(SMALL('Prospect Tracker'!$X$5:$X$554,ROW()-4),'Prospect Tracker'!$X$5:$X$554,0),"")</f>
        <v>117</v>
      </c>
    </row>
    <row r="122" customFormat="false" ht="15" hidden="false" customHeight="true" outlineLevel="0" collapsed="false">
      <c r="A122" s="11" t="str">
        <f aca="false">IF($K122="","",IF(INDEX('Prospect Tracker'!$W$5:$W$554,$K122)="","",INDEX('Prospect Tracker'!$W$5:$W$554,$K122)))</f>
        <v/>
      </c>
      <c r="B122" s="11" t="str">
        <f aca="false">IF($K122="","",IF(INDEX('Prospect Tracker'!$A$5:$A$554,$K122)="","",INDEX('Prospect Tracker'!$A$5:$A$554,$K122)))</f>
        <v/>
      </c>
      <c r="C122" s="11" t="str">
        <f aca="false">IF($K122="","",IF(INDEX('Prospect Tracker'!$B$5:$B$554,$K122)="","",INDEX('Prospect Tracker'!$B$5:$B$554,$K122)))</f>
        <v/>
      </c>
      <c r="D122" s="11" t="str">
        <f aca="false">IF($K122="","",IF(INDEX('Prospect Tracker'!$M$5:$M$554,$K122)="","",INDEX('Prospect Tracker'!$M$5:$M$554,$K122)))</f>
        <v/>
      </c>
      <c r="E122" s="11" t="str">
        <f aca="false">IF($K122="","",IF(INDEX('Prospect Tracker'!$R$5:$R$554,$K122)="","",INDEX('Prospect Tracker'!$R$5:$R$554,$K122)))</f>
        <v/>
      </c>
      <c r="F122" s="11" t="str">
        <f aca="false">IF($K122="","",IF(INDEX('Prospect Tracker'!$J$5:$J$554,$K122)="","",INDEX('Prospect Tracker'!$J$5:$J$554,$K122)))</f>
        <v/>
      </c>
      <c r="G122" s="11" t="str">
        <f aca="false">IF($K122="","",IF(INDEX('Prospect Tracker'!$H$5:$H$554,$K122)="","",INDEX('Prospect Tracker'!$H$5:$H$554,$K122)))</f>
        <v/>
      </c>
      <c r="H122" s="12" t="str">
        <f aca="false">IF($K122="","",IF(INDEX('Prospect Tracker'!$K$5:$K$554,$K122)="","",INDEX('Prospect Tracker'!$K$5:$K$554,$K122)))</f>
        <v/>
      </c>
      <c r="I122" s="11" t="str">
        <f aca="false">IF($K122="","",IF(INDEX('Prospect Tracker'!$T$5:$T$554,$K122)="","",INDEX('Prospect Tracker'!$T$5:$T$554,$K122)))</f>
        <v/>
      </c>
      <c r="J122" s="11" t="str">
        <f aca="false">IF($K122="","",IF(INDEX('Prospect Tracker'!$L$5:$L$554,$K122)="","",INDEX('Prospect Tracker'!$L$5:$L$554,$K122)))</f>
        <v/>
      </c>
      <c r="K122" s="1" t="n">
        <f aca="false">IFERROR(MATCH(SMALL('Prospect Tracker'!$X$5:$X$554,ROW()-4),'Prospect Tracker'!$X$5:$X$554,0),"")</f>
        <v>118</v>
      </c>
    </row>
    <row r="123" customFormat="false" ht="15" hidden="false" customHeight="true" outlineLevel="0" collapsed="false">
      <c r="A123" s="6" t="str">
        <f aca="false">IF($K123="","",IF(INDEX('Prospect Tracker'!$W$5:$W$554,$K123)="","",INDEX('Prospect Tracker'!$W$5:$W$554,$K123)))</f>
        <v/>
      </c>
      <c r="B123" s="6" t="str">
        <f aca="false">IF($K123="","",IF(INDEX('Prospect Tracker'!$A$5:$A$554,$K123)="","",INDEX('Prospect Tracker'!$A$5:$A$554,$K123)))</f>
        <v/>
      </c>
      <c r="C123" s="6" t="str">
        <f aca="false">IF($K123="","",IF(INDEX('Prospect Tracker'!$B$5:$B$554,$K123)="","",INDEX('Prospect Tracker'!$B$5:$B$554,$K123)))</f>
        <v/>
      </c>
      <c r="D123" s="6" t="str">
        <f aca="false">IF($K123="","",IF(INDEX('Prospect Tracker'!$M$5:$M$554,$K123)="","",INDEX('Prospect Tracker'!$M$5:$M$554,$K123)))</f>
        <v/>
      </c>
      <c r="E123" s="6" t="str">
        <f aca="false">IF($K123="","",IF(INDEX('Prospect Tracker'!$R$5:$R$554,$K123)="","",INDEX('Prospect Tracker'!$R$5:$R$554,$K123)))</f>
        <v/>
      </c>
      <c r="F123" s="6" t="str">
        <f aca="false">IF($K123="","",IF(INDEX('Prospect Tracker'!$J$5:$J$554,$K123)="","",INDEX('Prospect Tracker'!$J$5:$J$554,$K123)))</f>
        <v/>
      </c>
      <c r="G123" s="6" t="str">
        <f aca="false">IF($K123="","",IF(INDEX('Prospect Tracker'!$H$5:$H$554,$K123)="","",INDEX('Prospect Tracker'!$H$5:$H$554,$K123)))</f>
        <v/>
      </c>
      <c r="H123" s="7" t="str">
        <f aca="false">IF($K123="","",IF(INDEX('Prospect Tracker'!$K$5:$K$554,$K123)="","",INDEX('Prospect Tracker'!$K$5:$K$554,$K123)))</f>
        <v/>
      </c>
      <c r="I123" s="6" t="str">
        <f aca="false">IF($K123="","",IF(INDEX('Prospect Tracker'!$T$5:$T$554,$K123)="","",INDEX('Prospect Tracker'!$T$5:$T$554,$K123)))</f>
        <v/>
      </c>
      <c r="J123" s="6" t="str">
        <f aca="false">IF($K123="","",IF(INDEX('Prospect Tracker'!$L$5:$L$554,$K123)="","",INDEX('Prospect Tracker'!$L$5:$L$554,$K123)))</f>
        <v/>
      </c>
      <c r="K123" s="1" t="n">
        <f aca="false">IFERROR(MATCH(SMALL('Prospect Tracker'!$X$5:$X$554,ROW()-4),'Prospect Tracker'!$X$5:$X$554,0),"")</f>
        <v>119</v>
      </c>
    </row>
    <row r="124" customFormat="false" ht="15" hidden="false" customHeight="true" outlineLevel="0" collapsed="false">
      <c r="A124" s="11" t="str">
        <f aca="false">IF($K124="","",IF(INDEX('Prospect Tracker'!$W$5:$W$554,$K124)="","",INDEX('Prospect Tracker'!$W$5:$W$554,$K124)))</f>
        <v/>
      </c>
      <c r="B124" s="11" t="str">
        <f aca="false">IF($K124="","",IF(INDEX('Prospect Tracker'!$A$5:$A$554,$K124)="","",INDEX('Prospect Tracker'!$A$5:$A$554,$K124)))</f>
        <v/>
      </c>
      <c r="C124" s="11" t="str">
        <f aca="false">IF($K124="","",IF(INDEX('Prospect Tracker'!$B$5:$B$554,$K124)="","",INDEX('Prospect Tracker'!$B$5:$B$554,$K124)))</f>
        <v/>
      </c>
      <c r="D124" s="11" t="str">
        <f aca="false">IF($K124="","",IF(INDEX('Prospect Tracker'!$M$5:$M$554,$K124)="","",INDEX('Prospect Tracker'!$M$5:$M$554,$K124)))</f>
        <v/>
      </c>
      <c r="E124" s="11" t="str">
        <f aca="false">IF($K124="","",IF(INDEX('Prospect Tracker'!$R$5:$R$554,$K124)="","",INDEX('Prospect Tracker'!$R$5:$R$554,$K124)))</f>
        <v/>
      </c>
      <c r="F124" s="11" t="str">
        <f aca="false">IF($K124="","",IF(INDEX('Prospect Tracker'!$J$5:$J$554,$K124)="","",INDEX('Prospect Tracker'!$J$5:$J$554,$K124)))</f>
        <v/>
      </c>
      <c r="G124" s="11" t="str">
        <f aca="false">IF($K124="","",IF(INDEX('Prospect Tracker'!$H$5:$H$554,$K124)="","",INDEX('Prospect Tracker'!$H$5:$H$554,$K124)))</f>
        <v/>
      </c>
      <c r="H124" s="12" t="str">
        <f aca="false">IF($K124="","",IF(INDEX('Prospect Tracker'!$K$5:$K$554,$K124)="","",INDEX('Prospect Tracker'!$K$5:$K$554,$K124)))</f>
        <v/>
      </c>
      <c r="I124" s="11" t="str">
        <f aca="false">IF($K124="","",IF(INDEX('Prospect Tracker'!$T$5:$T$554,$K124)="","",INDEX('Prospect Tracker'!$T$5:$T$554,$K124)))</f>
        <v/>
      </c>
      <c r="J124" s="11" t="str">
        <f aca="false">IF($K124="","",IF(INDEX('Prospect Tracker'!$L$5:$L$554,$K124)="","",INDEX('Prospect Tracker'!$L$5:$L$554,$K124)))</f>
        <v/>
      </c>
      <c r="K124" s="1" t="n">
        <f aca="false">IFERROR(MATCH(SMALL('Prospect Tracker'!$X$5:$X$554,ROW()-4),'Prospect Tracker'!$X$5:$X$554,0),"")</f>
        <v>120</v>
      </c>
    </row>
    <row r="125" customFormat="false" ht="15" hidden="false" customHeight="true" outlineLevel="0" collapsed="false">
      <c r="A125" s="6" t="str">
        <f aca="false">IF($K125="","",IF(INDEX('Prospect Tracker'!$W$5:$W$554,$K125)="","",INDEX('Prospect Tracker'!$W$5:$W$554,$K125)))</f>
        <v/>
      </c>
      <c r="B125" s="6" t="str">
        <f aca="false">IF($K125="","",IF(INDEX('Prospect Tracker'!$A$5:$A$554,$K125)="","",INDEX('Prospect Tracker'!$A$5:$A$554,$K125)))</f>
        <v/>
      </c>
      <c r="C125" s="6" t="str">
        <f aca="false">IF($K125="","",IF(INDEX('Prospect Tracker'!$B$5:$B$554,$K125)="","",INDEX('Prospect Tracker'!$B$5:$B$554,$K125)))</f>
        <v/>
      </c>
      <c r="D125" s="6" t="str">
        <f aca="false">IF($K125="","",IF(INDEX('Prospect Tracker'!$M$5:$M$554,$K125)="","",INDEX('Prospect Tracker'!$M$5:$M$554,$K125)))</f>
        <v/>
      </c>
      <c r="E125" s="6" t="str">
        <f aca="false">IF($K125="","",IF(INDEX('Prospect Tracker'!$R$5:$R$554,$K125)="","",INDEX('Prospect Tracker'!$R$5:$R$554,$K125)))</f>
        <v/>
      </c>
      <c r="F125" s="6" t="str">
        <f aca="false">IF($K125="","",IF(INDEX('Prospect Tracker'!$J$5:$J$554,$K125)="","",INDEX('Prospect Tracker'!$J$5:$J$554,$K125)))</f>
        <v/>
      </c>
      <c r="G125" s="6" t="str">
        <f aca="false">IF($K125="","",IF(INDEX('Prospect Tracker'!$H$5:$H$554,$K125)="","",INDEX('Prospect Tracker'!$H$5:$H$554,$K125)))</f>
        <v/>
      </c>
      <c r="H125" s="7" t="str">
        <f aca="false">IF($K125="","",IF(INDEX('Prospect Tracker'!$K$5:$K$554,$K125)="","",INDEX('Prospect Tracker'!$K$5:$K$554,$K125)))</f>
        <v/>
      </c>
      <c r="I125" s="6" t="str">
        <f aca="false">IF($K125="","",IF(INDEX('Prospect Tracker'!$T$5:$T$554,$K125)="","",INDEX('Prospect Tracker'!$T$5:$T$554,$K125)))</f>
        <v/>
      </c>
      <c r="J125" s="6" t="str">
        <f aca="false">IF($K125="","",IF(INDEX('Prospect Tracker'!$L$5:$L$554,$K125)="","",INDEX('Prospect Tracker'!$L$5:$L$554,$K125)))</f>
        <v/>
      </c>
      <c r="K125" s="1" t="n">
        <f aca="false">IFERROR(MATCH(SMALL('Prospect Tracker'!$X$5:$X$554,ROW()-4),'Prospect Tracker'!$X$5:$X$554,0),"")</f>
        <v>121</v>
      </c>
    </row>
    <row r="126" customFormat="false" ht="15" hidden="false" customHeight="true" outlineLevel="0" collapsed="false">
      <c r="A126" s="11" t="str">
        <f aca="false">IF($K126="","",IF(INDEX('Prospect Tracker'!$W$5:$W$554,$K126)="","",INDEX('Prospect Tracker'!$W$5:$W$554,$K126)))</f>
        <v/>
      </c>
      <c r="B126" s="11" t="str">
        <f aca="false">IF($K126="","",IF(INDEX('Prospect Tracker'!$A$5:$A$554,$K126)="","",INDEX('Prospect Tracker'!$A$5:$A$554,$K126)))</f>
        <v/>
      </c>
      <c r="C126" s="11" t="str">
        <f aca="false">IF($K126="","",IF(INDEX('Prospect Tracker'!$B$5:$B$554,$K126)="","",INDEX('Prospect Tracker'!$B$5:$B$554,$K126)))</f>
        <v/>
      </c>
      <c r="D126" s="11" t="str">
        <f aca="false">IF($K126="","",IF(INDEX('Prospect Tracker'!$M$5:$M$554,$K126)="","",INDEX('Prospect Tracker'!$M$5:$M$554,$K126)))</f>
        <v/>
      </c>
      <c r="E126" s="11" t="str">
        <f aca="false">IF($K126="","",IF(INDEX('Prospect Tracker'!$R$5:$R$554,$K126)="","",INDEX('Prospect Tracker'!$R$5:$R$554,$K126)))</f>
        <v/>
      </c>
      <c r="F126" s="11" t="str">
        <f aca="false">IF($K126="","",IF(INDEX('Prospect Tracker'!$J$5:$J$554,$K126)="","",INDEX('Prospect Tracker'!$J$5:$J$554,$K126)))</f>
        <v/>
      </c>
      <c r="G126" s="11" t="str">
        <f aca="false">IF($K126="","",IF(INDEX('Prospect Tracker'!$H$5:$H$554,$K126)="","",INDEX('Prospect Tracker'!$H$5:$H$554,$K126)))</f>
        <v/>
      </c>
      <c r="H126" s="12" t="str">
        <f aca="false">IF($K126="","",IF(INDEX('Prospect Tracker'!$K$5:$K$554,$K126)="","",INDEX('Prospect Tracker'!$K$5:$K$554,$K126)))</f>
        <v/>
      </c>
      <c r="I126" s="11" t="str">
        <f aca="false">IF($K126="","",IF(INDEX('Prospect Tracker'!$T$5:$T$554,$K126)="","",INDEX('Prospect Tracker'!$T$5:$T$554,$K126)))</f>
        <v/>
      </c>
      <c r="J126" s="11" t="str">
        <f aca="false">IF($K126="","",IF(INDEX('Prospect Tracker'!$L$5:$L$554,$K126)="","",INDEX('Prospect Tracker'!$L$5:$L$554,$K126)))</f>
        <v/>
      </c>
      <c r="K126" s="1" t="n">
        <f aca="false">IFERROR(MATCH(SMALL('Prospect Tracker'!$X$5:$X$554,ROW()-4),'Prospect Tracker'!$X$5:$X$554,0),"")</f>
        <v>122</v>
      </c>
    </row>
    <row r="127" customFormat="false" ht="15" hidden="false" customHeight="true" outlineLevel="0" collapsed="false">
      <c r="A127" s="6" t="str">
        <f aca="false">IF($K127="","",IF(INDEX('Prospect Tracker'!$W$5:$W$554,$K127)="","",INDEX('Prospect Tracker'!$W$5:$W$554,$K127)))</f>
        <v/>
      </c>
      <c r="B127" s="6" t="str">
        <f aca="false">IF($K127="","",IF(INDEX('Prospect Tracker'!$A$5:$A$554,$K127)="","",INDEX('Prospect Tracker'!$A$5:$A$554,$K127)))</f>
        <v/>
      </c>
      <c r="C127" s="6" t="str">
        <f aca="false">IF($K127="","",IF(INDEX('Prospect Tracker'!$B$5:$B$554,$K127)="","",INDEX('Prospect Tracker'!$B$5:$B$554,$K127)))</f>
        <v/>
      </c>
      <c r="D127" s="6" t="str">
        <f aca="false">IF($K127="","",IF(INDEX('Prospect Tracker'!$M$5:$M$554,$K127)="","",INDEX('Prospect Tracker'!$M$5:$M$554,$K127)))</f>
        <v/>
      </c>
      <c r="E127" s="6" t="str">
        <f aca="false">IF($K127="","",IF(INDEX('Prospect Tracker'!$R$5:$R$554,$K127)="","",INDEX('Prospect Tracker'!$R$5:$R$554,$K127)))</f>
        <v/>
      </c>
      <c r="F127" s="6" t="str">
        <f aca="false">IF($K127="","",IF(INDEX('Prospect Tracker'!$J$5:$J$554,$K127)="","",INDEX('Prospect Tracker'!$J$5:$J$554,$K127)))</f>
        <v/>
      </c>
      <c r="G127" s="6" t="str">
        <f aca="false">IF($K127="","",IF(INDEX('Prospect Tracker'!$H$5:$H$554,$K127)="","",INDEX('Prospect Tracker'!$H$5:$H$554,$K127)))</f>
        <v/>
      </c>
      <c r="H127" s="7" t="str">
        <f aca="false">IF($K127="","",IF(INDEX('Prospect Tracker'!$K$5:$K$554,$K127)="","",INDEX('Prospect Tracker'!$K$5:$K$554,$K127)))</f>
        <v/>
      </c>
      <c r="I127" s="6" t="str">
        <f aca="false">IF($K127="","",IF(INDEX('Prospect Tracker'!$T$5:$T$554,$K127)="","",INDEX('Prospect Tracker'!$T$5:$T$554,$K127)))</f>
        <v/>
      </c>
      <c r="J127" s="6" t="str">
        <f aca="false">IF($K127="","",IF(INDEX('Prospect Tracker'!$L$5:$L$554,$K127)="","",INDEX('Prospect Tracker'!$L$5:$L$554,$K127)))</f>
        <v/>
      </c>
      <c r="K127" s="1" t="n">
        <f aca="false">IFERROR(MATCH(SMALL('Prospect Tracker'!$X$5:$X$554,ROW()-4),'Prospect Tracker'!$X$5:$X$554,0),"")</f>
        <v>123</v>
      </c>
    </row>
    <row r="128" customFormat="false" ht="15" hidden="false" customHeight="true" outlineLevel="0" collapsed="false">
      <c r="A128" s="11" t="str">
        <f aca="false">IF($K128="","",IF(INDEX('Prospect Tracker'!$W$5:$W$554,$K128)="","",INDEX('Prospect Tracker'!$W$5:$W$554,$K128)))</f>
        <v/>
      </c>
      <c r="B128" s="11" t="str">
        <f aca="false">IF($K128="","",IF(INDEX('Prospect Tracker'!$A$5:$A$554,$K128)="","",INDEX('Prospect Tracker'!$A$5:$A$554,$K128)))</f>
        <v/>
      </c>
      <c r="C128" s="11" t="str">
        <f aca="false">IF($K128="","",IF(INDEX('Prospect Tracker'!$B$5:$B$554,$K128)="","",INDEX('Prospect Tracker'!$B$5:$B$554,$K128)))</f>
        <v/>
      </c>
      <c r="D128" s="11" t="str">
        <f aca="false">IF($K128="","",IF(INDEX('Prospect Tracker'!$M$5:$M$554,$K128)="","",INDEX('Prospect Tracker'!$M$5:$M$554,$K128)))</f>
        <v/>
      </c>
      <c r="E128" s="11" t="str">
        <f aca="false">IF($K128="","",IF(INDEX('Prospect Tracker'!$R$5:$R$554,$K128)="","",INDEX('Prospect Tracker'!$R$5:$R$554,$K128)))</f>
        <v/>
      </c>
      <c r="F128" s="11" t="str">
        <f aca="false">IF($K128="","",IF(INDEX('Prospect Tracker'!$J$5:$J$554,$K128)="","",INDEX('Prospect Tracker'!$J$5:$J$554,$K128)))</f>
        <v/>
      </c>
      <c r="G128" s="11" t="str">
        <f aca="false">IF($K128="","",IF(INDEX('Prospect Tracker'!$H$5:$H$554,$K128)="","",INDEX('Prospect Tracker'!$H$5:$H$554,$K128)))</f>
        <v/>
      </c>
      <c r="H128" s="12" t="str">
        <f aca="false">IF($K128="","",IF(INDEX('Prospect Tracker'!$K$5:$K$554,$K128)="","",INDEX('Prospect Tracker'!$K$5:$K$554,$K128)))</f>
        <v/>
      </c>
      <c r="I128" s="11" t="str">
        <f aca="false">IF($K128="","",IF(INDEX('Prospect Tracker'!$T$5:$T$554,$K128)="","",INDEX('Prospect Tracker'!$T$5:$T$554,$K128)))</f>
        <v/>
      </c>
      <c r="J128" s="11" t="str">
        <f aca="false">IF($K128="","",IF(INDEX('Prospect Tracker'!$L$5:$L$554,$K128)="","",INDEX('Prospect Tracker'!$L$5:$L$554,$K128)))</f>
        <v/>
      </c>
      <c r="K128" s="1" t="n">
        <f aca="false">IFERROR(MATCH(SMALL('Prospect Tracker'!$X$5:$X$554,ROW()-4),'Prospect Tracker'!$X$5:$X$554,0),"")</f>
        <v>124</v>
      </c>
    </row>
    <row r="129" customFormat="false" ht="15" hidden="false" customHeight="true" outlineLevel="0" collapsed="false">
      <c r="A129" s="6" t="str">
        <f aca="false">IF($K129="","",IF(INDEX('Prospect Tracker'!$W$5:$W$554,$K129)="","",INDEX('Prospect Tracker'!$W$5:$W$554,$K129)))</f>
        <v/>
      </c>
      <c r="B129" s="6" t="str">
        <f aca="false">IF($K129="","",IF(INDEX('Prospect Tracker'!$A$5:$A$554,$K129)="","",INDEX('Prospect Tracker'!$A$5:$A$554,$K129)))</f>
        <v/>
      </c>
      <c r="C129" s="6" t="str">
        <f aca="false">IF($K129="","",IF(INDEX('Prospect Tracker'!$B$5:$B$554,$K129)="","",INDEX('Prospect Tracker'!$B$5:$B$554,$K129)))</f>
        <v/>
      </c>
      <c r="D129" s="6" t="str">
        <f aca="false">IF($K129="","",IF(INDEX('Prospect Tracker'!$M$5:$M$554,$K129)="","",INDEX('Prospect Tracker'!$M$5:$M$554,$K129)))</f>
        <v/>
      </c>
      <c r="E129" s="6" t="str">
        <f aca="false">IF($K129="","",IF(INDEX('Prospect Tracker'!$R$5:$R$554,$K129)="","",INDEX('Prospect Tracker'!$R$5:$R$554,$K129)))</f>
        <v/>
      </c>
      <c r="F129" s="6" t="str">
        <f aca="false">IF($K129="","",IF(INDEX('Prospect Tracker'!$J$5:$J$554,$K129)="","",INDEX('Prospect Tracker'!$J$5:$J$554,$K129)))</f>
        <v/>
      </c>
      <c r="G129" s="6" t="str">
        <f aca="false">IF($K129="","",IF(INDEX('Prospect Tracker'!$H$5:$H$554,$K129)="","",INDEX('Prospect Tracker'!$H$5:$H$554,$K129)))</f>
        <v/>
      </c>
      <c r="H129" s="7" t="str">
        <f aca="false">IF($K129="","",IF(INDEX('Prospect Tracker'!$K$5:$K$554,$K129)="","",INDEX('Prospect Tracker'!$K$5:$K$554,$K129)))</f>
        <v/>
      </c>
      <c r="I129" s="6" t="str">
        <f aca="false">IF($K129="","",IF(INDEX('Prospect Tracker'!$T$5:$T$554,$K129)="","",INDEX('Prospect Tracker'!$T$5:$T$554,$K129)))</f>
        <v/>
      </c>
      <c r="J129" s="6" t="str">
        <f aca="false">IF($K129="","",IF(INDEX('Prospect Tracker'!$L$5:$L$554,$K129)="","",INDEX('Prospect Tracker'!$L$5:$L$554,$K129)))</f>
        <v/>
      </c>
      <c r="K129" s="1" t="n">
        <f aca="false">IFERROR(MATCH(SMALL('Prospect Tracker'!$X$5:$X$554,ROW()-4),'Prospect Tracker'!$X$5:$X$554,0),"")</f>
        <v>125</v>
      </c>
    </row>
    <row r="130" customFormat="false" ht="15" hidden="false" customHeight="true" outlineLevel="0" collapsed="false">
      <c r="A130" s="11" t="str">
        <f aca="false">IF($K130="","",IF(INDEX('Prospect Tracker'!$W$5:$W$554,$K130)="","",INDEX('Prospect Tracker'!$W$5:$W$554,$K130)))</f>
        <v/>
      </c>
      <c r="B130" s="11" t="str">
        <f aca="false">IF($K130="","",IF(INDEX('Prospect Tracker'!$A$5:$A$554,$K130)="","",INDEX('Prospect Tracker'!$A$5:$A$554,$K130)))</f>
        <v/>
      </c>
      <c r="C130" s="11" t="str">
        <f aca="false">IF($K130="","",IF(INDEX('Prospect Tracker'!$B$5:$B$554,$K130)="","",INDEX('Prospect Tracker'!$B$5:$B$554,$K130)))</f>
        <v/>
      </c>
      <c r="D130" s="11" t="str">
        <f aca="false">IF($K130="","",IF(INDEX('Prospect Tracker'!$M$5:$M$554,$K130)="","",INDEX('Prospect Tracker'!$M$5:$M$554,$K130)))</f>
        <v/>
      </c>
      <c r="E130" s="11" t="str">
        <f aca="false">IF($K130="","",IF(INDEX('Prospect Tracker'!$R$5:$R$554,$K130)="","",INDEX('Prospect Tracker'!$R$5:$R$554,$K130)))</f>
        <v/>
      </c>
      <c r="F130" s="11" t="str">
        <f aca="false">IF($K130="","",IF(INDEX('Prospect Tracker'!$J$5:$J$554,$K130)="","",INDEX('Prospect Tracker'!$J$5:$J$554,$K130)))</f>
        <v/>
      </c>
      <c r="G130" s="11" t="str">
        <f aca="false">IF($K130="","",IF(INDEX('Prospect Tracker'!$H$5:$H$554,$K130)="","",INDEX('Prospect Tracker'!$H$5:$H$554,$K130)))</f>
        <v/>
      </c>
      <c r="H130" s="12" t="str">
        <f aca="false">IF($K130="","",IF(INDEX('Prospect Tracker'!$K$5:$K$554,$K130)="","",INDEX('Prospect Tracker'!$K$5:$K$554,$K130)))</f>
        <v/>
      </c>
      <c r="I130" s="11" t="str">
        <f aca="false">IF($K130="","",IF(INDEX('Prospect Tracker'!$T$5:$T$554,$K130)="","",INDEX('Prospect Tracker'!$T$5:$T$554,$K130)))</f>
        <v/>
      </c>
      <c r="J130" s="11" t="str">
        <f aca="false">IF($K130="","",IF(INDEX('Prospect Tracker'!$L$5:$L$554,$K130)="","",INDEX('Prospect Tracker'!$L$5:$L$554,$K130)))</f>
        <v/>
      </c>
      <c r="K130" s="1" t="n">
        <f aca="false">IFERROR(MATCH(SMALL('Prospect Tracker'!$X$5:$X$554,ROW()-4),'Prospect Tracker'!$X$5:$X$554,0),"")</f>
        <v>126</v>
      </c>
    </row>
    <row r="131" customFormat="false" ht="15" hidden="false" customHeight="true" outlineLevel="0" collapsed="false">
      <c r="A131" s="6" t="str">
        <f aca="false">IF($K131="","",IF(INDEX('Prospect Tracker'!$W$5:$W$554,$K131)="","",INDEX('Prospect Tracker'!$W$5:$W$554,$K131)))</f>
        <v/>
      </c>
      <c r="B131" s="6" t="str">
        <f aca="false">IF($K131="","",IF(INDEX('Prospect Tracker'!$A$5:$A$554,$K131)="","",INDEX('Prospect Tracker'!$A$5:$A$554,$K131)))</f>
        <v/>
      </c>
      <c r="C131" s="6" t="str">
        <f aca="false">IF($K131="","",IF(INDEX('Prospect Tracker'!$B$5:$B$554,$K131)="","",INDEX('Prospect Tracker'!$B$5:$B$554,$K131)))</f>
        <v/>
      </c>
      <c r="D131" s="6" t="str">
        <f aca="false">IF($K131="","",IF(INDEX('Prospect Tracker'!$M$5:$M$554,$K131)="","",INDEX('Prospect Tracker'!$M$5:$M$554,$K131)))</f>
        <v/>
      </c>
      <c r="E131" s="6" t="str">
        <f aca="false">IF($K131="","",IF(INDEX('Prospect Tracker'!$R$5:$R$554,$K131)="","",INDEX('Prospect Tracker'!$R$5:$R$554,$K131)))</f>
        <v/>
      </c>
      <c r="F131" s="6" t="str">
        <f aca="false">IF($K131="","",IF(INDEX('Prospect Tracker'!$J$5:$J$554,$K131)="","",INDEX('Prospect Tracker'!$J$5:$J$554,$K131)))</f>
        <v/>
      </c>
      <c r="G131" s="6" t="str">
        <f aca="false">IF($K131="","",IF(INDEX('Prospect Tracker'!$H$5:$H$554,$K131)="","",INDEX('Prospect Tracker'!$H$5:$H$554,$K131)))</f>
        <v/>
      </c>
      <c r="H131" s="7" t="str">
        <f aca="false">IF($K131="","",IF(INDEX('Prospect Tracker'!$K$5:$K$554,$K131)="","",INDEX('Prospect Tracker'!$K$5:$K$554,$K131)))</f>
        <v/>
      </c>
      <c r="I131" s="6" t="str">
        <f aca="false">IF($K131="","",IF(INDEX('Prospect Tracker'!$T$5:$T$554,$K131)="","",INDEX('Prospect Tracker'!$T$5:$T$554,$K131)))</f>
        <v/>
      </c>
      <c r="J131" s="6" t="str">
        <f aca="false">IF($K131="","",IF(INDEX('Prospect Tracker'!$L$5:$L$554,$K131)="","",INDEX('Prospect Tracker'!$L$5:$L$554,$K131)))</f>
        <v/>
      </c>
      <c r="K131" s="1" t="n">
        <f aca="false">IFERROR(MATCH(SMALL('Prospect Tracker'!$X$5:$X$554,ROW()-4),'Prospect Tracker'!$X$5:$X$554,0),"")</f>
        <v>127</v>
      </c>
    </row>
    <row r="132" customFormat="false" ht="15" hidden="false" customHeight="true" outlineLevel="0" collapsed="false">
      <c r="A132" s="11" t="str">
        <f aca="false">IF($K132="","",IF(INDEX('Prospect Tracker'!$W$5:$W$554,$K132)="","",INDEX('Prospect Tracker'!$W$5:$W$554,$K132)))</f>
        <v/>
      </c>
      <c r="B132" s="11" t="str">
        <f aca="false">IF($K132="","",IF(INDEX('Prospect Tracker'!$A$5:$A$554,$K132)="","",INDEX('Prospect Tracker'!$A$5:$A$554,$K132)))</f>
        <v/>
      </c>
      <c r="C132" s="11" t="str">
        <f aca="false">IF($K132="","",IF(INDEX('Prospect Tracker'!$B$5:$B$554,$K132)="","",INDEX('Prospect Tracker'!$B$5:$B$554,$K132)))</f>
        <v/>
      </c>
      <c r="D132" s="11" t="str">
        <f aca="false">IF($K132="","",IF(INDEX('Prospect Tracker'!$M$5:$M$554,$K132)="","",INDEX('Prospect Tracker'!$M$5:$M$554,$K132)))</f>
        <v/>
      </c>
      <c r="E132" s="11" t="str">
        <f aca="false">IF($K132="","",IF(INDEX('Prospect Tracker'!$R$5:$R$554,$K132)="","",INDEX('Prospect Tracker'!$R$5:$R$554,$K132)))</f>
        <v/>
      </c>
      <c r="F132" s="11" t="str">
        <f aca="false">IF($K132="","",IF(INDEX('Prospect Tracker'!$J$5:$J$554,$K132)="","",INDEX('Prospect Tracker'!$J$5:$J$554,$K132)))</f>
        <v/>
      </c>
      <c r="G132" s="11" t="str">
        <f aca="false">IF($K132="","",IF(INDEX('Prospect Tracker'!$H$5:$H$554,$K132)="","",INDEX('Prospect Tracker'!$H$5:$H$554,$K132)))</f>
        <v/>
      </c>
      <c r="H132" s="12" t="str">
        <f aca="false">IF($K132="","",IF(INDEX('Prospect Tracker'!$K$5:$K$554,$K132)="","",INDEX('Prospect Tracker'!$K$5:$K$554,$K132)))</f>
        <v/>
      </c>
      <c r="I132" s="11" t="str">
        <f aca="false">IF($K132="","",IF(INDEX('Prospect Tracker'!$T$5:$T$554,$K132)="","",INDEX('Prospect Tracker'!$T$5:$T$554,$K132)))</f>
        <v/>
      </c>
      <c r="J132" s="11" t="str">
        <f aca="false">IF($K132="","",IF(INDEX('Prospect Tracker'!$L$5:$L$554,$K132)="","",INDEX('Prospect Tracker'!$L$5:$L$554,$K132)))</f>
        <v/>
      </c>
      <c r="K132" s="1" t="n">
        <f aca="false">IFERROR(MATCH(SMALL('Prospect Tracker'!$X$5:$X$554,ROW()-4),'Prospect Tracker'!$X$5:$X$554,0),"")</f>
        <v>128</v>
      </c>
    </row>
    <row r="133" customFormat="false" ht="15" hidden="false" customHeight="true" outlineLevel="0" collapsed="false">
      <c r="A133" s="6" t="str">
        <f aca="false">IF($K133="","",IF(INDEX('Prospect Tracker'!$W$5:$W$554,$K133)="","",INDEX('Prospect Tracker'!$W$5:$W$554,$K133)))</f>
        <v/>
      </c>
      <c r="B133" s="6" t="str">
        <f aca="false">IF($K133="","",IF(INDEX('Prospect Tracker'!$A$5:$A$554,$K133)="","",INDEX('Prospect Tracker'!$A$5:$A$554,$K133)))</f>
        <v/>
      </c>
      <c r="C133" s="6" t="str">
        <f aca="false">IF($K133="","",IF(INDEX('Prospect Tracker'!$B$5:$B$554,$K133)="","",INDEX('Prospect Tracker'!$B$5:$B$554,$K133)))</f>
        <v/>
      </c>
      <c r="D133" s="6" t="str">
        <f aca="false">IF($K133="","",IF(INDEX('Prospect Tracker'!$M$5:$M$554,$K133)="","",INDEX('Prospect Tracker'!$M$5:$M$554,$K133)))</f>
        <v/>
      </c>
      <c r="E133" s="6" t="str">
        <f aca="false">IF($K133="","",IF(INDEX('Prospect Tracker'!$R$5:$R$554,$K133)="","",INDEX('Prospect Tracker'!$R$5:$R$554,$K133)))</f>
        <v/>
      </c>
      <c r="F133" s="6" t="str">
        <f aca="false">IF($K133="","",IF(INDEX('Prospect Tracker'!$J$5:$J$554,$K133)="","",INDEX('Prospect Tracker'!$J$5:$J$554,$K133)))</f>
        <v/>
      </c>
      <c r="G133" s="6" t="str">
        <f aca="false">IF($K133="","",IF(INDEX('Prospect Tracker'!$H$5:$H$554,$K133)="","",INDEX('Prospect Tracker'!$H$5:$H$554,$K133)))</f>
        <v/>
      </c>
      <c r="H133" s="7" t="str">
        <f aca="false">IF($K133="","",IF(INDEX('Prospect Tracker'!$K$5:$K$554,$K133)="","",INDEX('Prospect Tracker'!$K$5:$K$554,$K133)))</f>
        <v/>
      </c>
      <c r="I133" s="6" t="str">
        <f aca="false">IF($K133="","",IF(INDEX('Prospect Tracker'!$T$5:$T$554,$K133)="","",INDEX('Prospect Tracker'!$T$5:$T$554,$K133)))</f>
        <v/>
      </c>
      <c r="J133" s="6" t="str">
        <f aca="false">IF($K133="","",IF(INDEX('Prospect Tracker'!$L$5:$L$554,$K133)="","",INDEX('Prospect Tracker'!$L$5:$L$554,$K133)))</f>
        <v/>
      </c>
      <c r="K133" s="1" t="n">
        <f aca="false">IFERROR(MATCH(SMALL('Prospect Tracker'!$X$5:$X$554,ROW()-4),'Prospect Tracker'!$X$5:$X$554,0),"")</f>
        <v>129</v>
      </c>
    </row>
    <row r="134" customFormat="false" ht="15" hidden="false" customHeight="true" outlineLevel="0" collapsed="false">
      <c r="A134" s="11" t="str">
        <f aca="false">IF($K134="","",IF(INDEX('Prospect Tracker'!$W$5:$W$554,$K134)="","",INDEX('Prospect Tracker'!$W$5:$W$554,$K134)))</f>
        <v/>
      </c>
      <c r="B134" s="11" t="str">
        <f aca="false">IF($K134="","",IF(INDEX('Prospect Tracker'!$A$5:$A$554,$K134)="","",INDEX('Prospect Tracker'!$A$5:$A$554,$K134)))</f>
        <v/>
      </c>
      <c r="C134" s="11" t="str">
        <f aca="false">IF($K134="","",IF(INDEX('Prospect Tracker'!$B$5:$B$554,$K134)="","",INDEX('Prospect Tracker'!$B$5:$B$554,$K134)))</f>
        <v/>
      </c>
      <c r="D134" s="11" t="str">
        <f aca="false">IF($K134="","",IF(INDEX('Prospect Tracker'!$M$5:$M$554,$K134)="","",INDEX('Prospect Tracker'!$M$5:$M$554,$K134)))</f>
        <v/>
      </c>
      <c r="E134" s="11" t="str">
        <f aca="false">IF($K134="","",IF(INDEX('Prospect Tracker'!$R$5:$R$554,$K134)="","",INDEX('Prospect Tracker'!$R$5:$R$554,$K134)))</f>
        <v/>
      </c>
      <c r="F134" s="11" t="str">
        <f aca="false">IF($K134="","",IF(INDEX('Prospect Tracker'!$J$5:$J$554,$K134)="","",INDEX('Prospect Tracker'!$J$5:$J$554,$K134)))</f>
        <v/>
      </c>
      <c r="G134" s="11" t="str">
        <f aca="false">IF($K134="","",IF(INDEX('Prospect Tracker'!$H$5:$H$554,$K134)="","",INDEX('Prospect Tracker'!$H$5:$H$554,$K134)))</f>
        <v/>
      </c>
      <c r="H134" s="12" t="str">
        <f aca="false">IF($K134="","",IF(INDEX('Prospect Tracker'!$K$5:$K$554,$K134)="","",INDEX('Prospect Tracker'!$K$5:$K$554,$K134)))</f>
        <v/>
      </c>
      <c r="I134" s="11" t="str">
        <f aca="false">IF($K134="","",IF(INDEX('Prospect Tracker'!$T$5:$T$554,$K134)="","",INDEX('Prospect Tracker'!$T$5:$T$554,$K134)))</f>
        <v/>
      </c>
      <c r="J134" s="11" t="str">
        <f aca="false">IF($K134="","",IF(INDEX('Prospect Tracker'!$L$5:$L$554,$K134)="","",INDEX('Prospect Tracker'!$L$5:$L$554,$K134)))</f>
        <v/>
      </c>
      <c r="K134" s="1" t="n">
        <f aca="false">IFERROR(MATCH(SMALL('Prospect Tracker'!$X$5:$X$554,ROW()-4),'Prospect Tracker'!$X$5:$X$554,0),"")</f>
        <v>130</v>
      </c>
    </row>
    <row r="135" customFormat="false" ht="15" hidden="false" customHeight="true" outlineLevel="0" collapsed="false">
      <c r="A135" s="6" t="str">
        <f aca="false">IF($K135="","",IF(INDEX('Prospect Tracker'!$W$5:$W$554,$K135)="","",INDEX('Prospect Tracker'!$W$5:$W$554,$K135)))</f>
        <v/>
      </c>
      <c r="B135" s="6" t="str">
        <f aca="false">IF($K135="","",IF(INDEX('Prospect Tracker'!$A$5:$A$554,$K135)="","",INDEX('Prospect Tracker'!$A$5:$A$554,$K135)))</f>
        <v/>
      </c>
      <c r="C135" s="6" t="str">
        <f aca="false">IF($K135="","",IF(INDEX('Prospect Tracker'!$B$5:$B$554,$K135)="","",INDEX('Prospect Tracker'!$B$5:$B$554,$K135)))</f>
        <v/>
      </c>
      <c r="D135" s="6" t="str">
        <f aca="false">IF($K135="","",IF(INDEX('Prospect Tracker'!$M$5:$M$554,$K135)="","",INDEX('Prospect Tracker'!$M$5:$M$554,$K135)))</f>
        <v/>
      </c>
      <c r="E135" s="6" t="str">
        <f aca="false">IF($K135="","",IF(INDEX('Prospect Tracker'!$R$5:$R$554,$K135)="","",INDEX('Prospect Tracker'!$R$5:$R$554,$K135)))</f>
        <v/>
      </c>
      <c r="F135" s="6" t="str">
        <f aca="false">IF($K135="","",IF(INDEX('Prospect Tracker'!$J$5:$J$554,$K135)="","",INDEX('Prospect Tracker'!$J$5:$J$554,$K135)))</f>
        <v/>
      </c>
      <c r="G135" s="6" t="str">
        <f aca="false">IF($K135="","",IF(INDEX('Prospect Tracker'!$H$5:$H$554,$K135)="","",INDEX('Prospect Tracker'!$H$5:$H$554,$K135)))</f>
        <v/>
      </c>
      <c r="H135" s="7" t="str">
        <f aca="false">IF($K135="","",IF(INDEX('Prospect Tracker'!$K$5:$K$554,$K135)="","",INDEX('Prospect Tracker'!$K$5:$K$554,$K135)))</f>
        <v/>
      </c>
      <c r="I135" s="6" t="str">
        <f aca="false">IF($K135="","",IF(INDEX('Prospect Tracker'!$T$5:$T$554,$K135)="","",INDEX('Prospect Tracker'!$T$5:$T$554,$K135)))</f>
        <v/>
      </c>
      <c r="J135" s="6" t="str">
        <f aca="false">IF($K135="","",IF(INDEX('Prospect Tracker'!$L$5:$L$554,$K135)="","",INDEX('Prospect Tracker'!$L$5:$L$554,$K135)))</f>
        <v/>
      </c>
      <c r="K135" s="1" t="n">
        <f aca="false">IFERROR(MATCH(SMALL('Prospect Tracker'!$X$5:$X$554,ROW()-4),'Prospect Tracker'!$X$5:$X$554,0),"")</f>
        <v>131</v>
      </c>
    </row>
    <row r="136" customFormat="false" ht="15" hidden="false" customHeight="true" outlineLevel="0" collapsed="false">
      <c r="A136" s="11" t="str">
        <f aca="false">IF($K136="","",IF(INDEX('Prospect Tracker'!$W$5:$W$554,$K136)="","",INDEX('Prospect Tracker'!$W$5:$W$554,$K136)))</f>
        <v/>
      </c>
      <c r="B136" s="11" t="str">
        <f aca="false">IF($K136="","",IF(INDEX('Prospect Tracker'!$A$5:$A$554,$K136)="","",INDEX('Prospect Tracker'!$A$5:$A$554,$K136)))</f>
        <v/>
      </c>
      <c r="C136" s="11" t="str">
        <f aca="false">IF($K136="","",IF(INDEX('Prospect Tracker'!$B$5:$B$554,$K136)="","",INDEX('Prospect Tracker'!$B$5:$B$554,$K136)))</f>
        <v/>
      </c>
      <c r="D136" s="11" t="str">
        <f aca="false">IF($K136="","",IF(INDEX('Prospect Tracker'!$M$5:$M$554,$K136)="","",INDEX('Prospect Tracker'!$M$5:$M$554,$K136)))</f>
        <v/>
      </c>
      <c r="E136" s="11" t="str">
        <f aca="false">IF($K136="","",IF(INDEX('Prospect Tracker'!$R$5:$R$554,$K136)="","",INDEX('Prospect Tracker'!$R$5:$R$554,$K136)))</f>
        <v/>
      </c>
      <c r="F136" s="11" t="str">
        <f aca="false">IF($K136="","",IF(INDEX('Prospect Tracker'!$J$5:$J$554,$K136)="","",INDEX('Prospect Tracker'!$J$5:$J$554,$K136)))</f>
        <v/>
      </c>
      <c r="G136" s="11" t="str">
        <f aca="false">IF($K136="","",IF(INDEX('Prospect Tracker'!$H$5:$H$554,$K136)="","",INDEX('Prospect Tracker'!$H$5:$H$554,$K136)))</f>
        <v/>
      </c>
      <c r="H136" s="12" t="str">
        <f aca="false">IF($K136="","",IF(INDEX('Prospect Tracker'!$K$5:$K$554,$K136)="","",INDEX('Prospect Tracker'!$K$5:$K$554,$K136)))</f>
        <v/>
      </c>
      <c r="I136" s="11" t="str">
        <f aca="false">IF($K136="","",IF(INDEX('Prospect Tracker'!$T$5:$T$554,$K136)="","",INDEX('Prospect Tracker'!$T$5:$T$554,$K136)))</f>
        <v/>
      </c>
      <c r="J136" s="11" t="str">
        <f aca="false">IF($K136="","",IF(INDEX('Prospect Tracker'!$L$5:$L$554,$K136)="","",INDEX('Prospect Tracker'!$L$5:$L$554,$K136)))</f>
        <v/>
      </c>
      <c r="K136" s="1" t="n">
        <f aca="false">IFERROR(MATCH(SMALL('Prospect Tracker'!$X$5:$X$554,ROW()-4),'Prospect Tracker'!$X$5:$X$554,0),"")</f>
        <v>132</v>
      </c>
    </row>
    <row r="137" customFormat="false" ht="15" hidden="false" customHeight="true" outlineLevel="0" collapsed="false">
      <c r="A137" s="6" t="str">
        <f aca="false">IF($K137="","",IF(INDEX('Prospect Tracker'!$W$5:$W$554,$K137)="","",INDEX('Prospect Tracker'!$W$5:$W$554,$K137)))</f>
        <v/>
      </c>
      <c r="B137" s="6" t="str">
        <f aca="false">IF($K137="","",IF(INDEX('Prospect Tracker'!$A$5:$A$554,$K137)="","",INDEX('Prospect Tracker'!$A$5:$A$554,$K137)))</f>
        <v/>
      </c>
      <c r="C137" s="6" t="str">
        <f aca="false">IF($K137="","",IF(INDEX('Prospect Tracker'!$B$5:$B$554,$K137)="","",INDEX('Prospect Tracker'!$B$5:$B$554,$K137)))</f>
        <v/>
      </c>
      <c r="D137" s="6" t="str">
        <f aca="false">IF($K137="","",IF(INDEX('Prospect Tracker'!$M$5:$M$554,$K137)="","",INDEX('Prospect Tracker'!$M$5:$M$554,$K137)))</f>
        <v/>
      </c>
      <c r="E137" s="6" t="str">
        <f aca="false">IF($K137="","",IF(INDEX('Prospect Tracker'!$R$5:$R$554,$K137)="","",INDEX('Prospect Tracker'!$R$5:$R$554,$K137)))</f>
        <v/>
      </c>
      <c r="F137" s="6" t="str">
        <f aca="false">IF($K137="","",IF(INDEX('Prospect Tracker'!$J$5:$J$554,$K137)="","",INDEX('Prospect Tracker'!$J$5:$J$554,$K137)))</f>
        <v/>
      </c>
      <c r="G137" s="6" t="str">
        <f aca="false">IF($K137="","",IF(INDEX('Prospect Tracker'!$H$5:$H$554,$K137)="","",INDEX('Prospect Tracker'!$H$5:$H$554,$K137)))</f>
        <v/>
      </c>
      <c r="H137" s="7" t="str">
        <f aca="false">IF($K137="","",IF(INDEX('Prospect Tracker'!$K$5:$K$554,$K137)="","",INDEX('Prospect Tracker'!$K$5:$K$554,$K137)))</f>
        <v/>
      </c>
      <c r="I137" s="6" t="str">
        <f aca="false">IF($K137="","",IF(INDEX('Prospect Tracker'!$T$5:$T$554,$K137)="","",INDEX('Prospect Tracker'!$T$5:$T$554,$K137)))</f>
        <v/>
      </c>
      <c r="J137" s="6" t="str">
        <f aca="false">IF($K137="","",IF(INDEX('Prospect Tracker'!$L$5:$L$554,$K137)="","",INDEX('Prospect Tracker'!$L$5:$L$554,$K137)))</f>
        <v/>
      </c>
      <c r="K137" s="1" t="n">
        <f aca="false">IFERROR(MATCH(SMALL('Prospect Tracker'!$X$5:$X$554,ROW()-4),'Prospect Tracker'!$X$5:$X$554,0),"")</f>
        <v>133</v>
      </c>
    </row>
    <row r="138" customFormat="false" ht="15" hidden="false" customHeight="true" outlineLevel="0" collapsed="false">
      <c r="A138" s="11" t="str">
        <f aca="false">IF($K138="","",IF(INDEX('Prospect Tracker'!$W$5:$W$554,$K138)="","",INDEX('Prospect Tracker'!$W$5:$W$554,$K138)))</f>
        <v/>
      </c>
      <c r="B138" s="11" t="str">
        <f aca="false">IF($K138="","",IF(INDEX('Prospect Tracker'!$A$5:$A$554,$K138)="","",INDEX('Prospect Tracker'!$A$5:$A$554,$K138)))</f>
        <v/>
      </c>
      <c r="C138" s="11" t="str">
        <f aca="false">IF($K138="","",IF(INDEX('Prospect Tracker'!$B$5:$B$554,$K138)="","",INDEX('Prospect Tracker'!$B$5:$B$554,$K138)))</f>
        <v/>
      </c>
      <c r="D138" s="11" t="str">
        <f aca="false">IF($K138="","",IF(INDEX('Prospect Tracker'!$M$5:$M$554,$K138)="","",INDEX('Prospect Tracker'!$M$5:$M$554,$K138)))</f>
        <v/>
      </c>
      <c r="E138" s="11" t="str">
        <f aca="false">IF($K138="","",IF(INDEX('Prospect Tracker'!$R$5:$R$554,$K138)="","",INDEX('Prospect Tracker'!$R$5:$R$554,$K138)))</f>
        <v/>
      </c>
      <c r="F138" s="11" t="str">
        <f aca="false">IF($K138="","",IF(INDEX('Prospect Tracker'!$J$5:$J$554,$K138)="","",INDEX('Prospect Tracker'!$J$5:$J$554,$K138)))</f>
        <v/>
      </c>
      <c r="G138" s="11" t="str">
        <f aca="false">IF($K138="","",IF(INDEX('Prospect Tracker'!$H$5:$H$554,$K138)="","",INDEX('Prospect Tracker'!$H$5:$H$554,$K138)))</f>
        <v/>
      </c>
      <c r="H138" s="12" t="str">
        <f aca="false">IF($K138="","",IF(INDEX('Prospect Tracker'!$K$5:$K$554,$K138)="","",INDEX('Prospect Tracker'!$K$5:$K$554,$K138)))</f>
        <v/>
      </c>
      <c r="I138" s="11" t="str">
        <f aca="false">IF($K138="","",IF(INDEX('Prospect Tracker'!$T$5:$T$554,$K138)="","",INDEX('Prospect Tracker'!$T$5:$T$554,$K138)))</f>
        <v/>
      </c>
      <c r="J138" s="11" t="str">
        <f aca="false">IF($K138="","",IF(INDEX('Prospect Tracker'!$L$5:$L$554,$K138)="","",INDEX('Prospect Tracker'!$L$5:$L$554,$K138)))</f>
        <v/>
      </c>
      <c r="K138" s="1" t="n">
        <f aca="false">IFERROR(MATCH(SMALL('Prospect Tracker'!$X$5:$X$554,ROW()-4),'Prospect Tracker'!$X$5:$X$554,0),"")</f>
        <v>134</v>
      </c>
    </row>
    <row r="139" customFormat="false" ht="15" hidden="false" customHeight="true" outlineLevel="0" collapsed="false">
      <c r="A139" s="6" t="str">
        <f aca="false">IF($K139="","",IF(INDEX('Prospect Tracker'!$W$5:$W$554,$K139)="","",INDEX('Prospect Tracker'!$W$5:$W$554,$K139)))</f>
        <v/>
      </c>
      <c r="B139" s="6" t="str">
        <f aca="false">IF($K139="","",IF(INDEX('Prospect Tracker'!$A$5:$A$554,$K139)="","",INDEX('Prospect Tracker'!$A$5:$A$554,$K139)))</f>
        <v/>
      </c>
      <c r="C139" s="6" t="str">
        <f aca="false">IF($K139="","",IF(INDEX('Prospect Tracker'!$B$5:$B$554,$K139)="","",INDEX('Prospect Tracker'!$B$5:$B$554,$K139)))</f>
        <v/>
      </c>
      <c r="D139" s="6" t="str">
        <f aca="false">IF($K139="","",IF(INDEX('Prospect Tracker'!$M$5:$M$554,$K139)="","",INDEX('Prospect Tracker'!$M$5:$M$554,$K139)))</f>
        <v/>
      </c>
      <c r="E139" s="6" t="str">
        <f aca="false">IF($K139="","",IF(INDEX('Prospect Tracker'!$R$5:$R$554,$K139)="","",INDEX('Prospect Tracker'!$R$5:$R$554,$K139)))</f>
        <v/>
      </c>
      <c r="F139" s="6" t="str">
        <f aca="false">IF($K139="","",IF(INDEX('Prospect Tracker'!$J$5:$J$554,$K139)="","",INDEX('Prospect Tracker'!$J$5:$J$554,$K139)))</f>
        <v/>
      </c>
      <c r="G139" s="6" t="str">
        <f aca="false">IF($K139="","",IF(INDEX('Prospect Tracker'!$H$5:$H$554,$K139)="","",INDEX('Prospect Tracker'!$H$5:$H$554,$K139)))</f>
        <v/>
      </c>
      <c r="H139" s="7" t="str">
        <f aca="false">IF($K139="","",IF(INDEX('Prospect Tracker'!$K$5:$K$554,$K139)="","",INDEX('Prospect Tracker'!$K$5:$K$554,$K139)))</f>
        <v/>
      </c>
      <c r="I139" s="6" t="str">
        <f aca="false">IF($K139="","",IF(INDEX('Prospect Tracker'!$T$5:$T$554,$K139)="","",INDEX('Prospect Tracker'!$T$5:$T$554,$K139)))</f>
        <v/>
      </c>
      <c r="J139" s="6" t="str">
        <f aca="false">IF($K139="","",IF(INDEX('Prospect Tracker'!$L$5:$L$554,$K139)="","",INDEX('Prospect Tracker'!$L$5:$L$554,$K139)))</f>
        <v/>
      </c>
      <c r="K139" s="1" t="n">
        <f aca="false">IFERROR(MATCH(SMALL('Prospect Tracker'!$X$5:$X$554,ROW()-4),'Prospect Tracker'!$X$5:$X$554,0),"")</f>
        <v>135</v>
      </c>
    </row>
    <row r="140" customFormat="false" ht="15" hidden="false" customHeight="true" outlineLevel="0" collapsed="false">
      <c r="A140" s="11" t="str">
        <f aca="false">IF($K140="","",IF(INDEX('Prospect Tracker'!$W$5:$W$554,$K140)="","",INDEX('Prospect Tracker'!$W$5:$W$554,$K140)))</f>
        <v/>
      </c>
      <c r="B140" s="11" t="str">
        <f aca="false">IF($K140="","",IF(INDEX('Prospect Tracker'!$A$5:$A$554,$K140)="","",INDEX('Prospect Tracker'!$A$5:$A$554,$K140)))</f>
        <v/>
      </c>
      <c r="C140" s="11" t="str">
        <f aca="false">IF($K140="","",IF(INDEX('Prospect Tracker'!$B$5:$B$554,$K140)="","",INDEX('Prospect Tracker'!$B$5:$B$554,$K140)))</f>
        <v/>
      </c>
      <c r="D140" s="11" t="str">
        <f aca="false">IF($K140="","",IF(INDEX('Prospect Tracker'!$M$5:$M$554,$K140)="","",INDEX('Prospect Tracker'!$M$5:$M$554,$K140)))</f>
        <v/>
      </c>
      <c r="E140" s="11" t="str">
        <f aca="false">IF($K140="","",IF(INDEX('Prospect Tracker'!$R$5:$R$554,$K140)="","",INDEX('Prospect Tracker'!$R$5:$R$554,$K140)))</f>
        <v/>
      </c>
      <c r="F140" s="11" t="str">
        <f aca="false">IF($K140="","",IF(INDEX('Prospect Tracker'!$J$5:$J$554,$K140)="","",INDEX('Prospect Tracker'!$J$5:$J$554,$K140)))</f>
        <v/>
      </c>
      <c r="G140" s="11" t="str">
        <f aca="false">IF($K140="","",IF(INDEX('Prospect Tracker'!$H$5:$H$554,$K140)="","",INDEX('Prospect Tracker'!$H$5:$H$554,$K140)))</f>
        <v/>
      </c>
      <c r="H140" s="12" t="str">
        <f aca="false">IF($K140="","",IF(INDEX('Prospect Tracker'!$K$5:$K$554,$K140)="","",INDEX('Prospect Tracker'!$K$5:$K$554,$K140)))</f>
        <v/>
      </c>
      <c r="I140" s="11" t="str">
        <f aca="false">IF($K140="","",IF(INDEX('Prospect Tracker'!$T$5:$T$554,$K140)="","",INDEX('Prospect Tracker'!$T$5:$T$554,$K140)))</f>
        <v/>
      </c>
      <c r="J140" s="11" t="str">
        <f aca="false">IF($K140="","",IF(INDEX('Prospect Tracker'!$L$5:$L$554,$K140)="","",INDEX('Prospect Tracker'!$L$5:$L$554,$K140)))</f>
        <v/>
      </c>
      <c r="K140" s="1" t="n">
        <f aca="false">IFERROR(MATCH(SMALL('Prospect Tracker'!$X$5:$X$554,ROW()-4),'Prospect Tracker'!$X$5:$X$554,0),"")</f>
        <v>136</v>
      </c>
    </row>
    <row r="141" customFormat="false" ht="15" hidden="false" customHeight="true" outlineLevel="0" collapsed="false">
      <c r="A141" s="6" t="str">
        <f aca="false">IF($K141="","",IF(INDEX('Prospect Tracker'!$W$5:$W$554,$K141)="","",INDEX('Prospect Tracker'!$W$5:$W$554,$K141)))</f>
        <v/>
      </c>
      <c r="B141" s="6" t="str">
        <f aca="false">IF($K141="","",IF(INDEX('Prospect Tracker'!$A$5:$A$554,$K141)="","",INDEX('Prospect Tracker'!$A$5:$A$554,$K141)))</f>
        <v/>
      </c>
      <c r="C141" s="6" t="str">
        <f aca="false">IF($K141="","",IF(INDEX('Prospect Tracker'!$B$5:$B$554,$K141)="","",INDEX('Prospect Tracker'!$B$5:$B$554,$K141)))</f>
        <v/>
      </c>
      <c r="D141" s="6" t="str">
        <f aca="false">IF($K141="","",IF(INDEX('Prospect Tracker'!$M$5:$M$554,$K141)="","",INDEX('Prospect Tracker'!$M$5:$M$554,$K141)))</f>
        <v/>
      </c>
      <c r="E141" s="6" t="str">
        <f aca="false">IF($K141="","",IF(INDEX('Prospect Tracker'!$R$5:$R$554,$K141)="","",INDEX('Prospect Tracker'!$R$5:$R$554,$K141)))</f>
        <v/>
      </c>
      <c r="F141" s="6" t="str">
        <f aca="false">IF($K141="","",IF(INDEX('Prospect Tracker'!$J$5:$J$554,$K141)="","",INDEX('Prospect Tracker'!$J$5:$J$554,$K141)))</f>
        <v/>
      </c>
      <c r="G141" s="6" t="str">
        <f aca="false">IF($K141="","",IF(INDEX('Prospect Tracker'!$H$5:$H$554,$K141)="","",INDEX('Prospect Tracker'!$H$5:$H$554,$K141)))</f>
        <v/>
      </c>
      <c r="H141" s="7" t="str">
        <f aca="false">IF($K141="","",IF(INDEX('Prospect Tracker'!$K$5:$K$554,$K141)="","",INDEX('Prospect Tracker'!$K$5:$K$554,$K141)))</f>
        <v/>
      </c>
      <c r="I141" s="6" t="str">
        <f aca="false">IF($K141="","",IF(INDEX('Prospect Tracker'!$T$5:$T$554,$K141)="","",INDEX('Prospect Tracker'!$T$5:$T$554,$K141)))</f>
        <v/>
      </c>
      <c r="J141" s="6" t="str">
        <f aca="false">IF($K141="","",IF(INDEX('Prospect Tracker'!$L$5:$L$554,$K141)="","",INDEX('Prospect Tracker'!$L$5:$L$554,$K141)))</f>
        <v/>
      </c>
      <c r="K141" s="1" t="n">
        <f aca="false">IFERROR(MATCH(SMALL('Prospect Tracker'!$X$5:$X$554,ROW()-4),'Prospect Tracker'!$X$5:$X$554,0),"")</f>
        <v>137</v>
      </c>
    </row>
    <row r="142" customFormat="false" ht="15" hidden="false" customHeight="true" outlineLevel="0" collapsed="false">
      <c r="A142" s="11" t="str">
        <f aca="false">IF($K142="","",IF(INDEX('Prospect Tracker'!$W$5:$W$554,$K142)="","",INDEX('Prospect Tracker'!$W$5:$W$554,$K142)))</f>
        <v/>
      </c>
      <c r="B142" s="11" t="str">
        <f aca="false">IF($K142="","",IF(INDEX('Prospect Tracker'!$A$5:$A$554,$K142)="","",INDEX('Prospect Tracker'!$A$5:$A$554,$K142)))</f>
        <v/>
      </c>
      <c r="C142" s="11" t="str">
        <f aca="false">IF($K142="","",IF(INDEX('Prospect Tracker'!$B$5:$B$554,$K142)="","",INDEX('Prospect Tracker'!$B$5:$B$554,$K142)))</f>
        <v/>
      </c>
      <c r="D142" s="11" t="str">
        <f aca="false">IF($K142="","",IF(INDEX('Prospect Tracker'!$M$5:$M$554,$K142)="","",INDEX('Prospect Tracker'!$M$5:$M$554,$K142)))</f>
        <v/>
      </c>
      <c r="E142" s="11" t="str">
        <f aca="false">IF($K142="","",IF(INDEX('Prospect Tracker'!$R$5:$R$554,$K142)="","",INDEX('Prospect Tracker'!$R$5:$R$554,$K142)))</f>
        <v/>
      </c>
      <c r="F142" s="11" t="str">
        <f aca="false">IF($K142="","",IF(INDEX('Prospect Tracker'!$J$5:$J$554,$K142)="","",INDEX('Prospect Tracker'!$J$5:$J$554,$K142)))</f>
        <v/>
      </c>
      <c r="G142" s="11" t="str">
        <f aca="false">IF($K142="","",IF(INDEX('Prospect Tracker'!$H$5:$H$554,$K142)="","",INDEX('Prospect Tracker'!$H$5:$H$554,$K142)))</f>
        <v/>
      </c>
      <c r="H142" s="12" t="str">
        <f aca="false">IF($K142="","",IF(INDEX('Prospect Tracker'!$K$5:$K$554,$K142)="","",INDEX('Prospect Tracker'!$K$5:$K$554,$K142)))</f>
        <v/>
      </c>
      <c r="I142" s="11" t="str">
        <f aca="false">IF($K142="","",IF(INDEX('Prospect Tracker'!$T$5:$T$554,$K142)="","",INDEX('Prospect Tracker'!$T$5:$T$554,$K142)))</f>
        <v/>
      </c>
      <c r="J142" s="11" t="str">
        <f aca="false">IF($K142="","",IF(INDEX('Prospect Tracker'!$L$5:$L$554,$K142)="","",INDEX('Prospect Tracker'!$L$5:$L$554,$K142)))</f>
        <v/>
      </c>
      <c r="K142" s="1" t="n">
        <f aca="false">IFERROR(MATCH(SMALL('Prospect Tracker'!$X$5:$X$554,ROW()-4),'Prospect Tracker'!$X$5:$X$554,0),"")</f>
        <v>138</v>
      </c>
    </row>
    <row r="143" customFormat="false" ht="15" hidden="false" customHeight="true" outlineLevel="0" collapsed="false">
      <c r="A143" s="6" t="str">
        <f aca="false">IF($K143="","",IF(INDEX('Prospect Tracker'!$W$5:$W$554,$K143)="","",INDEX('Prospect Tracker'!$W$5:$W$554,$K143)))</f>
        <v/>
      </c>
      <c r="B143" s="6" t="str">
        <f aca="false">IF($K143="","",IF(INDEX('Prospect Tracker'!$A$5:$A$554,$K143)="","",INDEX('Prospect Tracker'!$A$5:$A$554,$K143)))</f>
        <v/>
      </c>
      <c r="C143" s="6" t="str">
        <f aca="false">IF($K143="","",IF(INDEX('Prospect Tracker'!$B$5:$B$554,$K143)="","",INDEX('Prospect Tracker'!$B$5:$B$554,$K143)))</f>
        <v/>
      </c>
      <c r="D143" s="6" t="str">
        <f aca="false">IF($K143="","",IF(INDEX('Prospect Tracker'!$M$5:$M$554,$K143)="","",INDEX('Prospect Tracker'!$M$5:$M$554,$K143)))</f>
        <v/>
      </c>
      <c r="E143" s="6" t="str">
        <f aca="false">IF($K143="","",IF(INDEX('Prospect Tracker'!$R$5:$R$554,$K143)="","",INDEX('Prospect Tracker'!$R$5:$R$554,$K143)))</f>
        <v/>
      </c>
      <c r="F143" s="6" t="str">
        <f aca="false">IF($K143="","",IF(INDEX('Prospect Tracker'!$J$5:$J$554,$K143)="","",INDEX('Prospect Tracker'!$J$5:$J$554,$K143)))</f>
        <v/>
      </c>
      <c r="G143" s="6" t="str">
        <f aca="false">IF($K143="","",IF(INDEX('Prospect Tracker'!$H$5:$H$554,$K143)="","",INDEX('Prospect Tracker'!$H$5:$H$554,$K143)))</f>
        <v/>
      </c>
      <c r="H143" s="7" t="str">
        <f aca="false">IF($K143="","",IF(INDEX('Prospect Tracker'!$K$5:$K$554,$K143)="","",INDEX('Prospect Tracker'!$K$5:$K$554,$K143)))</f>
        <v/>
      </c>
      <c r="I143" s="6" t="str">
        <f aca="false">IF($K143="","",IF(INDEX('Prospect Tracker'!$T$5:$T$554,$K143)="","",INDEX('Prospect Tracker'!$T$5:$T$554,$K143)))</f>
        <v/>
      </c>
      <c r="J143" s="6" t="str">
        <f aca="false">IF($K143="","",IF(INDEX('Prospect Tracker'!$L$5:$L$554,$K143)="","",INDEX('Prospect Tracker'!$L$5:$L$554,$K143)))</f>
        <v/>
      </c>
      <c r="K143" s="1" t="n">
        <f aca="false">IFERROR(MATCH(SMALL('Prospect Tracker'!$X$5:$X$554,ROW()-4),'Prospect Tracker'!$X$5:$X$554,0),"")</f>
        <v>139</v>
      </c>
    </row>
    <row r="144" customFormat="false" ht="15" hidden="false" customHeight="true" outlineLevel="0" collapsed="false">
      <c r="A144" s="11" t="str">
        <f aca="false">IF($K144="","",IF(INDEX('Prospect Tracker'!$W$5:$W$554,$K144)="","",INDEX('Prospect Tracker'!$W$5:$W$554,$K144)))</f>
        <v/>
      </c>
      <c r="B144" s="11" t="str">
        <f aca="false">IF($K144="","",IF(INDEX('Prospect Tracker'!$A$5:$A$554,$K144)="","",INDEX('Prospect Tracker'!$A$5:$A$554,$K144)))</f>
        <v/>
      </c>
      <c r="C144" s="11" t="str">
        <f aca="false">IF($K144="","",IF(INDEX('Prospect Tracker'!$B$5:$B$554,$K144)="","",INDEX('Prospect Tracker'!$B$5:$B$554,$K144)))</f>
        <v/>
      </c>
      <c r="D144" s="11" t="str">
        <f aca="false">IF($K144="","",IF(INDEX('Prospect Tracker'!$M$5:$M$554,$K144)="","",INDEX('Prospect Tracker'!$M$5:$M$554,$K144)))</f>
        <v/>
      </c>
      <c r="E144" s="11" t="str">
        <f aca="false">IF($K144="","",IF(INDEX('Prospect Tracker'!$R$5:$R$554,$K144)="","",INDEX('Prospect Tracker'!$R$5:$R$554,$K144)))</f>
        <v/>
      </c>
      <c r="F144" s="11" t="str">
        <f aca="false">IF($K144="","",IF(INDEX('Prospect Tracker'!$J$5:$J$554,$K144)="","",INDEX('Prospect Tracker'!$J$5:$J$554,$K144)))</f>
        <v/>
      </c>
      <c r="G144" s="11" t="str">
        <f aca="false">IF($K144="","",IF(INDEX('Prospect Tracker'!$H$5:$H$554,$K144)="","",INDEX('Prospect Tracker'!$H$5:$H$554,$K144)))</f>
        <v/>
      </c>
      <c r="H144" s="12" t="str">
        <f aca="false">IF($K144="","",IF(INDEX('Prospect Tracker'!$K$5:$K$554,$K144)="","",INDEX('Prospect Tracker'!$K$5:$K$554,$K144)))</f>
        <v/>
      </c>
      <c r="I144" s="11" t="str">
        <f aca="false">IF($K144="","",IF(INDEX('Prospect Tracker'!$T$5:$T$554,$K144)="","",INDEX('Prospect Tracker'!$T$5:$T$554,$K144)))</f>
        <v/>
      </c>
      <c r="J144" s="11" t="str">
        <f aca="false">IF($K144="","",IF(INDEX('Prospect Tracker'!$L$5:$L$554,$K144)="","",INDEX('Prospect Tracker'!$L$5:$L$554,$K144)))</f>
        <v/>
      </c>
      <c r="K144" s="1" t="n">
        <f aca="false">IFERROR(MATCH(SMALL('Prospect Tracker'!$X$5:$X$554,ROW()-4),'Prospect Tracker'!$X$5:$X$554,0),"")</f>
        <v>140</v>
      </c>
    </row>
    <row r="145" customFormat="false" ht="15" hidden="false" customHeight="true" outlineLevel="0" collapsed="false">
      <c r="A145" s="6" t="str">
        <f aca="false">IF($K145="","",IF(INDEX('Prospect Tracker'!$W$5:$W$554,$K145)="","",INDEX('Prospect Tracker'!$W$5:$W$554,$K145)))</f>
        <v/>
      </c>
      <c r="B145" s="6" t="str">
        <f aca="false">IF($K145="","",IF(INDEX('Prospect Tracker'!$A$5:$A$554,$K145)="","",INDEX('Prospect Tracker'!$A$5:$A$554,$K145)))</f>
        <v/>
      </c>
      <c r="C145" s="6" t="str">
        <f aca="false">IF($K145="","",IF(INDEX('Prospect Tracker'!$B$5:$B$554,$K145)="","",INDEX('Prospect Tracker'!$B$5:$B$554,$K145)))</f>
        <v/>
      </c>
      <c r="D145" s="6" t="str">
        <f aca="false">IF($K145="","",IF(INDEX('Prospect Tracker'!$M$5:$M$554,$K145)="","",INDEX('Prospect Tracker'!$M$5:$M$554,$K145)))</f>
        <v/>
      </c>
      <c r="E145" s="6" t="str">
        <f aca="false">IF($K145="","",IF(INDEX('Prospect Tracker'!$R$5:$R$554,$K145)="","",INDEX('Prospect Tracker'!$R$5:$R$554,$K145)))</f>
        <v/>
      </c>
      <c r="F145" s="6" t="str">
        <f aca="false">IF($K145="","",IF(INDEX('Prospect Tracker'!$J$5:$J$554,$K145)="","",INDEX('Prospect Tracker'!$J$5:$J$554,$K145)))</f>
        <v/>
      </c>
      <c r="G145" s="6" t="str">
        <f aca="false">IF($K145="","",IF(INDEX('Prospect Tracker'!$H$5:$H$554,$K145)="","",INDEX('Prospect Tracker'!$H$5:$H$554,$K145)))</f>
        <v/>
      </c>
      <c r="H145" s="7" t="str">
        <f aca="false">IF($K145="","",IF(INDEX('Prospect Tracker'!$K$5:$K$554,$K145)="","",INDEX('Prospect Tracker'!$K$5:$K$554,$K145)))</f>
        <v/>
      </c>
      <c r="I145" s="6" t="str">
        <f aca="false">IF($K145="","",IF(INDEX('Prospect Tracker'!$T$5:$T$554,$K145)="","",INDEX('Prospect Tracker'!$T$5:$T$554,$K145)))</f>
        <v/>
      </c>
      <c r="J145" s="6" t="str">
        <f aca="false">IF($K145="","",IF(INDEX('Prospect Tracker'!$L$5:$L$554,$K145)="","",INDEX('Prospect Tracker'!$L$5:$L$554,$K145)))</f>
        <v/>
      </c>
      <c r="K145" s="1" t="n">
        <f aca="false">IFERROR(MATCH(SMALL('Prospect Tracker'!$X$5:$X$554,ROW()-4),'Prospect Tracker'!$X$5:$X$554,0),"")</f>
        <v>141</v>
      </c>
    </row>
    <row r="146" customFormat="false" ht="15" hidden="false" customHeight="true" outlineLevel="0" collapsed="false">
      <c r="A146" s="11" t="str">
        <f aca="false">IF($K146="","",IF(INDEX('Prospect Tracker'!$W$5:$W$554,$K146)="","",INDEX('Prospect Tracker'!$W$5:$W$554,$K146)))</f>
        <v/>
      </c>
      <c r="B146" s="11" t="str">
        <f aca="false">IF($K146="","",IF(INDEX('Prospect Tracker'!$A$5:$A$554,$K146)="","",INDEX('Prospect Tracker'!$A$5:$A$554,$K146)))</f>
        <v/>
      </c>
      <c r="C146" s="11" t="str">
        <f aca="false">IF($K146="","",IF(INDEX('Prospect Tracker'!$B$5:$B$554,$K146)="","",INDEX('Prospect Tracker'!$B$5:$B$554,$K146)))</f>
        <v/>
      </c>
      <c r="D146" s="11" t="str">
        <f aca="false">IF($K146="","",IF(INDEX('Prospect Tracker'!$M$5:$M$554,$K146)="","",INDEX('Prospect Tracker'!$M$5:$M$554,$K146)))</f>
        <v/>
      </c>
      <c r="E146" s="11" t="str">
        <f aca="false">IF($K146="","",IF(INDEX('Prospect Tracker'!$R$5:$R$554,$K146)="","",INDEX('Prospect Tracker'!$R$5:$R$554,$K146)))</f>
        <v/>
      </c>
      <c r="F146" s="11" t="str">
        <f aca="false">IF($K146="","",IF(INDEX('Prospect Tracker'!$J$5:$J$554,$K146)="","",INDEX('Prospect Tracker'!$J$5:$J$554,$K146)))</f>
        <v/>
      </c>
      <c r="G146" s="11" t="str">
        <f aca="false">IF($K146="","",IF(INDEX('Prospect Tracker'!$H$5:$H$554,$K146)="","",INDEX('Prospect Tracker'!$H$5:$H$554,$K146)))</f>
        <v/>
      </c>
      <c r="H146" s="12" t="str">
        <f aca="false">IF($K146="","",IF(INDEX('Prospect Tracker'!$K$5:$K$554,$K146)="","",INDEX('Prospect Tracker'!$K$5:$K$554,$K146)))</f>
        <v/>
      </c>
      <c r="I146" s="11" t="str">
        <f aca="false">IF($K146="","",IF(INDEX('Prospect Tracker'!$T$5:$T$554,$K146)="","",INDEX('Prospect Tracker'!$T$5:$T$554,$K146)))</f>
        <v/>
      </c>
      <c r="J146" s="11" t="str">
        <f aca="false">IF($K146="","",IF(INDEX('Prospect Tracker'!$L$5:$L$554,$K146)="","",INDEX('Prospect Tracker'!$L$5:$L$554,$K146)))</f>
        <v/>
      </c>
      <c r="K146" s="1" t="n">
        <f aca="false">IFERROR(MATCH(SMALL('Prospect Tracker'!$X$5:$X$554,ROW()-4),'Prospect Tracker'!$X$5:$X$554,0),"")</f>
        <v>142</v>
      </c>
    </row>
    <row r="147" customFormat="false" ht="15" hidden="false" customHeight="true" outlineLevel="0" collapsed="false">
      <c r="A147" s="6" t="str">
        <f aca="false">IF($K147="","",IF(INDEX('Prospect Tracker'!$W$5:$W$554,$K147)="","",INDEX('Prospect Tracker'!$W$5:$W$554,$K147)))</f>
        <v/>
      </c>
      <c r="B147" s="6" t="str">
        <f aca="false">IF($K147="","",IF(INDEX('Prospect Tracker'!$A$5:$A$554,$K147)="","",INDEX('Prospect Tracker'!$A$5:$A$554,$K147)))</f>
        <v/>
      </c>
      <c r="C147" s="6" t="str">
        <f aca="false">IF($K147="","",IF(INDEX('Prospect Tracker'!$B$5:$B$554,$K147)="","",INDEX('Prospect Tracker'!$B$5:$B$554,$K147)))</f>
        <v/>
      </c>
      <c r="D147" s="6" t="str">
        <f aca="false">IF($K147="","",IF(INDEX('Prospect Tracker'!$M$5:$M$554,$K147)="","",INDEX('Prospect Tracker'!$M$5:$M$554,$K147)))</f>
        <v/>
      </c>
      <c r="E147" s="6" t="str">
        <f aca="false">IF($K147="","",IF(INDEX('Prospect Tracker'!$R$5:$R$554,$K147)="","",INDEX('Prospect Tracker'!$R$5:$R$554,$K147)))</f>
        <v/>
      </c>
      <c r="F147" s="6" t="str">
        <f aca="false">IF($K147="","",IF(INDEX('Prospect Tracker'!$J$5:$J$554,$K147)="","",INDEX('Prospect Tracker'!$J$5:$J$554,$K147)))</f>
        <v/>
      </c>
      <c r="G147" s="6" t="str">
        <f aca="false">IF($K147="","",IF(INDEX('Prospect Tracker'!$H$5:$H$554,$K147)="","",INDEX('Prospect Tracker'!$H$5:$H$554,$K147)))</f>
        <v/>
      </c>
      <c r="H147" s="7" t="str">
        <f aca="false">IF($K147="","",IF(INDEX('Prospect Tracker'!$K$5:$K$554,$K147)="","",INDEX('Prospect Tracker'!$K$5:$K$554,$K147)))</f>
        <v/>
      </c>
      <c r="I147" s="6" t="str">
        <f aca="false">IF($K147="","",IF(INDEX('Prospect Tracker'!$T$5:$T$554,$K147)="","",INDEX('Prospect Tracker'!$T$5:$T$554,$K147)))</f>
        <v/>
      </c>
      <c r="J147" s="6" t="str">
        <f aca="false">IF($K147="","",IF(INDEX('Prospect Tracker'!$L$5:$L$554,$K147)="","",INDEX('Prospect Tracker'!$L$5:$L$554,$K147)))</f>
        <v/>
      </c>
      <c r="K147" s="1" t="n">
        <f aca="false">IFERROR(MATCH(SMALL('Prospect Tracker'!$X$5:$X$554,ROW()-4),'Prospect Tracker'!$X$5:$X$554,0),"")</f>
        <v>143</v>
      </c>
    </row>
    <row r="148" customFormat="false" ht="15" hidden="false" customHeight="true" outlineLevel="0" collapsed="false">
      <c r="A148" s="11" t="str">
        <f aca="false">IF($K148="","",IF(INDEX('Prospect Tracker'!$W$5:$W$554,$K148)="","",INDEX('Prospect Tracker'!$W$5:$W$554,$K148)))</f>
        <v/>
      </c>
      <c r="B148" s="11" t="str">
        <f aca="false">IF($K148="","",IF(INDEX('Prospect Tracker'!$A$5:$A$554,$K148)="","",INDEX('Prospect Tracker'!$A$5:$A$554,$K148)))</f>
        <v/>
      </c>
      <c r="C148" s="11" t="str">
        <f aca="false">IF($K148="","",IF(INDEX('Prospect Tracker'!$B$5:$B$554,$K148)="","",INDEX('Prospect Tracker'!$B$5:$B$554,$K148)))</f>
        <v/>
      </c>
      <c r="D148" s="11" t="str">
        <f aca="false">IF($K148="","",IF(INDEX('Prospect Tracker'!$M$5:$M$554,$K148)="","",INDEX('Prospect Tracker'!$M$5:$M$554,$K148)))</f>
        <v/>
      </c>
      <c r="E148" s="11" t="str">
        <f aca="false">IF($K148="","",IF(INDEX('Prospect Tracker'!$R$5:$R$554,$K148)="","",INDEX('Prospect Tracker'!$R$5:$R$554,$K148)))</f>
        <v/>
      </c>
      <c r="F148" s="11" t="str">
        <f aca="false">IF($K148="","",IF(INDEX('Prospect Tracker'!$J$5:$J$554,$K148)="","",INDEX('Prospect Tracker'!$J$5:$J$554,$K148)))</f>
        <v/>
      </c>
      <c r="G148" s="11" t="str">
        <f aca="false">IF($K148="","",IF(INDEX('Prospect Tracker'!$H$5:$H$554,$K148)="","",INDEX('Prospect Tracker'!$H$5:$H$554,$K148)))</f>
        <v/>
      </c>
      <c r="H148" s="12" t="str">
        <f aca="false">IF($K148="","",IF(INDEX('Prospect Tracker'!$K$5:$K$554,$K148)="","",INDEX('Prospect Tracker'!$K$5:$K$554,$K148)))</f>
        <v/>
      </c>
      <c r="I148" s="11" t="str">
        <f aca="false">IF($K148="","",IF(INDEX('Prospect Tracker'!$T$5:$T$554,$K148)="","",INDEX('Prospect Tracker'!$T$5:$T$554,$K148)))</f>
        <v/>
      </c>
      <c r="J148" s="11" t="str">
        <f aca="false">IF($K148="","",IF(INDEX('Prospect Tracker'!$L$5:$L$554,$K148)="","",INDEX('Prospect Tracker'!$L$5:$L$554,$K148)))</f>
        <v/>
      </c>
      <c r="K148" s="1" t="n">
        <f aca="false">IFERROR(MATCH(SMALL('Prospect Tracker'!$X$5:$X$554,ROW()-4),'Prospect Tracker'!$X$5:$X$554,0),"")</f>
        <v>144</v>
      </c>
    </row>
    <row r="149" customFormat="false" ht="15" hidden="false" customHeight="true" outlineLevel="0" collapsed="false">
      <c r="A149" s="6" t="str">
        <f aca="false">IF($K149="","",IF(INDEX('Prospect Tracker'!$W$5:$W$554,$K149)="","",INDEX('Prospect Tracker'!$W$5:$W$554,$K149)))</f>
        <v/>
      </c>
      <c r="B149" s="6" t="str">
        <f aca="false">IF($K149="","",IF(INDEX('Prospect Tracker'!$A$5:$A$554,$K149)="","",INDEX('Prospect Tracker'!$A$5:$A$554,$K149)))</f>
        <v/>
      </c>
      <c r="C149" s="6" t="str">
        <f aca="false">IF($K149="","",IF(INDEX('Prospect Tracker'!$B$5:$B$554,$K149)="","",INDEX('Prospect Tracker'!$B$5:$B$554,$K149)))</f>
        <v/>
      </c>
      <c r="D149" s="6" t="str">
        <f aca="false">IF($K149="","",IF(INDEX('Prospect Tracker'!$M$5:$M$554,$K149)="","",INDEX('Prospect Tracker'!$M$5:$M$554,$K149)))</f>
        <v/>
      </c>
      <c r="E149" s="6" t="str">
        <f aca="false">IF($K149="","",IF(INDEX('Prospect Tracker'!$R$5:$R$554,$K149)="","",INDEX('Prospect Tracker'!$R$5:$R$554,$K149)))</f>
        <v/>
      </c>
      <c r="F149" s="6" t="str">
        <f aca="false">IF($K149="","",IF(INDEX('Prospect Tracker'!$J$5:$J$554,$K149)="","",INDEX('Prospect Tracker'!$J$5:$J$554,$K149)))</f>
        <v/>
      </c>
      <c r="G149" s="6" t="str">
        <f aca="false">IF($K149="","",IF(INDEX('Prospect Tracker'!$H$5:$H$554,$K149)="","",INDEX('Prospect Tracker'!$H$5:$H$554,$K149)))</f>
        <v/>
      </c>
      <c r="H149" s="7" t="str">
        <f aca="false">IF($K149="","",IF(INDEX('Prospect Tracker'!$K$5:$K$554,$K149)="","",INDEX('Prospect Tracker'!$K$5:$K$554,$K149)))</f>
        <v/>
      </c>
      <c r="I149" s="6" t="str">
        <f aca="false">IF($K149="","",IF(INDEX('Prospect Tracker'!$T$5:$T$554,$K149)="","",INDEX('Prospect Tracker'!$T$5:$T$554,$K149)))</f>
        <v/>
      </c>
      <c r="J149" s="6" t="str">
        <f aca="false">IF($K149="","",IF(INDEX('Prospect Tracker'!$L$5:$L$554,$K149)="","",INDEX('Prospect Tracker'!$L$5:$L$554,$K149)))</f>
        <v/>
      </c>
      <c r="K149" s="1" t="n">
        <f aca="false">IFERROR(MATCH(SMALL('Prospect Tracker'!$X$5:$X$554,ROW()-4),'Prospect Tracker'!$X$5:$X$554,0),"")</f>
        <v>145</v>
      </c>
    </row>
    <row r="150" customFormat="false" ht="15" hidden="false" customHeight="true" outlineLevel="0" collapsed="false">
      <c r="A150" s="11" t="str">
        <f aca="false">IF($K150="","",IF(INDEX('Prospect Tracker'!$W$5:$W$554,$K150)="","",INDEX('Prospect Tracker'!$W$5:$W$554,$K150)))</f>
        <v/>
      </c>
      <c r="B150" s="11" t="str">
        <f aca="false">IF($K150="","",IF(INDEX('Prospect Tracker'!$A$5:$A$554,$K150)="","",INDEX('Prospect Tracker'!$A$5:$A$554,$K150)))</f>
        <v/>
      </c>
      <c r="C150" s="11" t="str">
        <f aca="false">IF($K150="","",IF(INDEX('Prospect Tracker'!$B$5:$B$554,$K150)="","",INDEX('Prospect Tracker'!$B$5:$B$554,$K150)))</f>
        <v/>
      </c>
      <c r="D150" s="11" t="str">
        <f aca="false">IF($K150="","",IF(INDEX('Prospect Tracker'!$M$5:$M$554,$K150)="","",INDEX('Prospect Tracker'!$M$5:$M$554,$K150)))</f>
        <v/>
      </c>
      <c r="E150" s="11" t="str">
        <f aca="false">IF($K150="","",IF(INDEX('Prospect Tracker'!$R$5:$R$554,$K150)="","",INDEX('Prospect Tracker'!$R$5:$R$554,$K150)))</f>
        <v/>
      </c>
      <c r="F150" s="11" t="str">
        <f aca="false">IF($K150="","",IF(INDEX('Prospect Tracker'!$J$5:$J$554,$K150)="","",INDEX('Prospect Tracker'!$J$5:$J$554,$K150)))</f>
        <v/>
      </c>
      <c r="G150" s="11" t="str">
        <f aca="false">IF($K150="","",IF(INDEX('Prospect Tracker'!$H$5:$H$554,$K150)="","",INDEX('Prospect Tracker'!$H$5:$H$554,$K150)))</f>
        <v/>
      </c>
      <c r="H150" s="12" t="str">
        <f aca="false">IF($K150="","",IF(INDEX('Prospect Tracker'!$K$5:$K$554,$K150)="","",INDEX('Prospect Tracker'!$K$5:$K$554,$K150)))</f>
        <v/>
      </c>
      <c r="I150" s="11" t="str">
        <f aca="false">IF($K150="","",IF(INDEX('Prospect Tracker'!$T$5:$T$554,$K150)="","",INDEX('Prospect Tracker'!$T$5:$T$554,$K150)))</f>
        <v/>
      </c>
      <c r="J150" s="11" t="str">
        <f aca="false">IF($K150="","",IF(INDEX('Prospect Tracker'!$L$5:$L$554,$K150)="","",INDEX('Prospect Tracker'!$L$5:$L$554,$K150)))</f>
        <v/>
      </c>
      <c r="K150" s="1" t="n">
        <f aca="false">IFERROR(MATCH(SMALL('Prospect Tracker'!$X$5:$X$554,ROW()-4),'Prospect Tracker'!$X$5:$X$554,0),"")</f>
        <v>146</v>
      </c>
    </row>
    <row r="151" customFormat="false" ht="15" hidden="false" customHeight="true" outlineLevel="0" collapsed="false">
      <c r="A151" s="6" t="str">
        <f aca="false">IF($K151="","",IF(INDEX('Prospect Tracker'!$W$5:$W$554,$K151)="","",INDEX('Prospect Tracker'!$W$5:$W$554,$K151)))</f>
        <v/>
      </c>
      <c r="B151" s="6" t="str">
        <f aca="false">IF($K151="","",IF(INDEX('Prospect Tracker'!$A$5:$A$554,$K151)="","",INDEX('Prospect Tracker'!$A$5:$A$554,$K151)))</f>
        <v/>
      </c>
      <c r="C151" s="6" t="str">
        <f aca="false">IF($K151="","",IF(INDEX('Prospect Tracker'!$B$5:$B$554,$K151)="","",INDEX('Prospect Tracker'!$B$5:$B$554,$K151)))</f>
        <v/>
      </c>
      <c r="D151" s="6" t="str">
        <f aca="false">IF($K151="","",IF(INDEX('Prospect Tracker'!$M$5:$M$554,$K151)="","",INDEX('Prospect Tracker'!$M$5:$M$554,$K151)))</f>
        <v/>
      </c>
      <c r="E151" s="6" t="str">
        <f aca="false">IF($K151="","",IF(INDEX('Prospect Tracker'!$R$5:$R$554,$K151)="","",INDEX('Prospect Tracker'!$R$5:$R$554,$K151)))</f>
        <v/>
      </c>
      <c r="F151" s="6" t="str">
        <f aca="false">IF($K151="","",IF(INDEX('Prospect Tracker'!$J$5:$J$554,$K151)="","",INDEX('Prospect Tracker'!$J$5:$J$554,$K151)))</f>
        <v/>
      </c>
      <c r="G151" s="6" t="str">
        <f aca="false">IF($K151="","",IF(INDEX('Prospect Tracker'!$H$5:$H$554,$K151)="","",INDEX('Prospect Tracker'!$H$5:$H$554,$K151)))</f>
        <v/>
      </c>
      <c r="H151" s="7" t="str">
        <f aca="false">IF($K151="","",IF(INDEX('Prospect Tracker'!$K$5:$K$554,$K151)="","",INDEX('Prospect Tracker'!$K$5:$K$554,$K151)))</f>
        <v/>
      </c>
      <c r="I151" s="6" t="str">
        <f aca="false">IF($K151="","",IF(INDEX('Prospect Tracker'!$T$5:$T$554,$K151)="","",INDEX('Prospect Tracker'!$T$5:$T$554,$K151)))</f>
        <v/>
      </c>
      <c r="J151" s="6" t="str">
        <f aca="false">IF($K151="","",IF(INDEX('Prospect Tracker'!$L$5:$L$554,$K151)="","",INDEX('Prospect Tracker'!$L$5:$L$554,$K151)))</f>
        <v/>
      </c>
      <c r="K151" s="1" t="n">
        <f aca="false">IFERROR(MATCH(SMALL('Prospect Tracker'!$X$5:$X$554,ROW()-4),'Prospect Tracker'!$X$5:$X$554,0),"")</f>
        <v>147</v>
      </c>
    </row>
    <row r="152" customFormat="false" ht="15" hidden="false" customHeight="true" outlineLevel="0" collapsed="false">
      <c r="A152" s="11" t="str">
        <f aca="false">IF($K152="","",IF(INDEX('Prospect Tracker'!$W$5:$W$554,$K152)="","",INDEX('Prospect Tracker'!$W$5:$W$554,$K152)))</f>
        <v/>
      </c>
      <c r="B152" s="11" t="str">
        <f aca="false">IF($K152="","",IF(INDEX('Prospect Tracker'!$A$5:$A$554,$K152)="","",INDEX('Prospect Tracker'!$A$5:$A$554,$K152)))</f>
        <v/>
      </c>
      <c r="C152" s="11" t="str">
        <f aca="false">IF($K152="","",IF(INDEX('Prospect Tracker'!$B$5:$B$554,$K152)="","",INDEX('Prospect Tracker'!$B$5:$B$554,$K152)))</f>
        <v/>
      </c>
      <c r="D152" s="11" t="str">
        <f aca="false">IF($K152="","",IF(INDEX('Prospect Tracker'!$M$5:$M$554,$K152)="","",INDEX('Prospect Tracker'!$M$5:$M$554,$K152)))</f>
        <v/>
      </c>
      <c r="E152" s="11" t="str">
        <f aca="false">IF($K152="","",IF(INDEX('Prospect Tracker'!$R$5:$R$554,$K152)="","",INDEX('Prospect Tracker'!$R$5:$R$554,$K152)))</f>
        <v/>
      </c>
      <c r="F152" s="11" t="str">
        <f aca="false">IF($K152="","",IF(INDEX('Prospect Tracker'!$J$5:$J$554,$K152)="","",INDEX('Prospect Tracker'!$J$5:$J$554,$K152)))</f>
        <v/>
      </c>
      <c r="G152" s="11" t="str">
        <f aca="false">IF($K152="","",IF(INDEX('Prospect Tracker'!$H$5:$H$554,$K152)="","",INDEX('Prospect Tracker'!$H$5:$H$554,$K152)))</f>
        <v/>
      </c>
      <c r="H152" s="12" t="str">
        <f aca="false">IF($K152="","",IF(INDEX('Prospect Tracker'!$K$5:$K$554,$K152)="","",INDEX('Prospect Tracker'!$K$5:$K$554,$K152)))</f>
        <v/>
      </c>
      <c r="I152" s="11" t="str">
        <f aca="false">IF($K152="","",IF(INDEX('Prospect Tracker'!$T$5:$T$554,$K152)="","",INDEX('Prospect Tracker'!$T$5:$T$554,$K152)))</f>
        <v/>
      </c>
      <c r="J152" s="11" t="str">
        <f aca="false">IF($K152="","",IF(INDEX('Prospect Tracker'!$L$5:$L$554,$K152)="","",INDEX('Prospect Tracker'!$L$5:$L$554,$K152)))</f>
        <v/>
      </c>
      <c r="K152" s="1" t="n">
        <f aca="false">IFERROR(MATCH(SMALL('Prospect Tracker'!$X$5:$X$554,ROW()-4),'Prospect Tracker'!$X$5:$X$554,0),"")</f>
        <v>148</v>
      </c>
    </row>
    <row r="153" customFormat="false" ht="15" hidden="false" customHeight="true" outlineLevel="0" collapsed="false">
      <c r="A153" s="6" t="str">
        <f aca="false">IF($K153="","",IF(INDEX('Prospect Tracker'!$W$5:$W$554,$K153)="","",INDEX('Prospect Tracker'!$W$5:$W$554,$K153)))</f>
        <v/>
      </c>
      <c r="B153" s="6" t="str">
        <f aca="false">IF($K153="","",IF(INDEX('Prospect Tracker'!$A$5:$A$554,$K153)="","",INDEX('Prospect Tracker'!$A$5:$A$554,$K153)))</f>
        <v/>
      </c>
      <c r="C153" s="6" t="str">
        <f aca="false">IF($K153="","",IF(INDEX('Prospect Tracker'!$B$5:$B$554,$K153)="","",INDEX('Prospect Tracker'!$B$5:$B$554,$K153)))</f>
        <v/>
      </c>
      <c r="D153" s="6" t="str">
        <f aca="false">IF($K153="","",IF(INDEX('Prospect Tracker'!$M$5:$M$554,$K153)="","",INDEX('Prospect Tracker'!$M$5:$M$554,$K153)))</f>
        <v/>
      </c>
      <c r="E153" s="6" t="str">
        <f aca="false">IF($K153="","",IF(INDEX('Prospect Tracker'!$R$5:$R$554,$K153)="","",INDEX('Prospect Tracker'!$R$5:$R$554,$K153)))</f>
        <v/>
      </c>
      <c r="F153" s="6" t="str">
        <f aca="false">IF($K153="","",IF(INDEX('Prospect Tracker'!$J$5:$J$554,$K153)="","",INDEX('Prospect Tracker'!$J$5:$J$554,$K153)))</f>
        <v/>
      </c>
      <c r="G153" s="6" t="str">
        <f aca="false">IF($K153="","",IF(INDEX('Prospect Tracker'!$H$5:$H$554,$K153)="","",INDEX('Prospect Tracker'!$H$5:$H$554,$K153)))</f>
        <v/>
      </c>
      <c r="H153" s="7" t="str">
        <f aca="false">IF($K153="","",IF(INDEX('Prospect Tracker'!$K$5:$K$554,$K153)="","",INDEX('Prospect Tracker'!$K$5:$K$554,$K153)))</f>
        <v/>
      </c>
      <c r="I153" s="6" t="str">
        <f aca="false">IF($K153="","",IF(INDEX('Prospect Tracker'!$T$5:$T$554,$K153)="","",INDEX('Prospect Tracker'!$T$5:$T$554,$K153)))</f>
        <v/>
      </c>
      <c r="J153" s="6" t="str">
        <f aca="false">IF($K153="","",IF(INDEX('Prospect Tracker'!$L$5:$L$554,$K153)="","",INDEX('Prospect Tracker'!$L$5:$L$554,$K153)))</f>
        <v/>
      </c>
      <c r="K153" s="1" t="n">
        <f aca="false">IFERROR(MATCH(SMALL('Prospect Tracker'!$X$5:$X$554,ROW()-4),'Prospect Tracker'!$X$5:$X$554,0),"")</f>
        <v>149</v>
      </c>
    </row>
    <row r="154" customFormat="false" ht="15" hidden="false" customHeight="true" outlineLevel="0" collapsed="false">
      <c r="A154" s="11" t="str">
        <f aca="false">IF($K154="","",IF(INDEX('Prospect Tracker'!$W$5:$W$554,$K154)="","",INDEX('Prospect Tracker'!$W$5:$W$554,$K154)))</f>
        <v/>
      </c>
      <c r="B154" s="11" t="str">
        <f aca="false">IF($K154="","",IF(INDEX('Prospect Tracker'!$A$5:$A$554,$K154)="","",INDEX('Prospect Tracker'!$A$5:$A$554,$K154)))</f>
        <v/>
      </c>
      <c r="C154" s="11" t="str">
        <f aca="false">IF($K154="","",IF(INDEX('Prospect Tracker'!$B$5:$B$554,$K154)="","",INDEX('Prospect Tracker'!$B$5:$B$554,$K154)))</f>
        <v/>
      </c>
      <c r="D154" s="11" t="str">
        <f aca="false">IF($K154="","",IF(INDEX('Prospect Tracker'!$M$5:$M$554,$K154)="","",INDEX('Prospect Tracker'!$M$5:$M$554,$K154)))</f>
        <v/>
      </c>
      <c r="E154" s="11" t="str">
        <f aca="false">IF($K154="","",IF(INDEX('Prospect Tracker'!$R$5:$R$554,$K154)="","",INDEX('Prospect Tracker'!$R$5:$R$554,$K154)))</f>
        <v/>
      </c>
      <c r="F154" s="11" t="str">
        <f aca="false">IF($K154="","",IF(INDEX('Prospect Tracker'!$J$5:$J$554,$K154)="","",INDEX('Prospect Tracker'!$J$5:$J$554,$K154)))</f>
        <v/>
      </c>
      <c r="G154" s="11" t="str">
        <f aca="false">IF($K154="","",IF(INDEX('Prospect Tracker'!$H$5:$H$554,$K154)="","",INDEX('Prospect Tracker'!$H$5:$H$554,$K154)))</f>
        <v/>
      </c>
      <c r="H154" s="12" t="str">
        <f aca="false">IF($K154="","",IF(INDEX('Prospect Tracker'!$K$5:$K$554,$K154)="","",INDEX('Prospect Tracker'!$K$5:$K$554,$K154)))</f>
        <v/>
      </c>
      <c r="I154" s="11" t="str">
        <f aca="false">IF($K154="","",IF(INDEX('Prospect Tracker'!$T$5:$T$554,$K154)="","",INDEX('Prospect Tracker'!$T$5:$T$554,$K154)))</f>
        <v/>
      </c>
      <c r="J154" s="11" t="str">
        <f aca="false">IF($K154="","",IF(INDEX('Prospect Tracker'!$L$5:$L$554,$K154)="","",INDEX('Prospect Tracker'!$L$5:$L$554,$K154)))</f>
        <v/>
      </c>
      <c r="K154" s="1" t="n">
        <f aca="false">IFERROR(MATCH(SMALL('Prospect Tracker'!$X$5:$X$554,ROW()-4),'Prospect Tracker'!$X$5:$X$554,0),"")</f>
        <v>150</v>
      </c>
    </row>
    <row r="155" customFormat="false" ht="15" hidden="false" customHeight="true" outlineLevel="0" collapsed="false">
      <c r="A155" s="6" t="str">
        <f aca="false">IF($K155="","",IF(INDEX('Prospect Tracker'!$W$5:$W$554,$K155)="","",INDEX('Prospect Tracker'!$W$5:$W$554,$K155)))</f>
        <v/>
      </c>
      <c r="B155" s="6" t="str">
        <f aca="false">IF($K155="","",IF(INDEX('Prospect Tracker'!$A$5:$A$554,$K155)="","",INDEX('Prospect Tracker'!$A$5:$A$554,$K155)))</f>
        <v/>
      </c>
      <c r="C155" s="6" t="str">
        <f aca="false">IF($K155="","",IF(INDEX('Prospect Tracker'!$B$5:$B$554,$K155)="","",INDEX('Prospect Tracker'!$B$5:$B$554,$K155)))</f>
        <v/>
      </c>
      <c r="D155" s="6" t="str">
        <f aca="false">IF($K155="","",IF(INDEX('Prospect Tracker'!$M$5:$M$554,$K155)="","",INDEX('Prospect Tracker'!$M$5:$M$554,$K155)))</f>
        <v/>
      </c>
      <c r="E155" s="6" t="str">
        <f aca="false">IF($K155="","",IF(INDEX('Prospect Tracker'!$R$5:$R$554,$K155)="","",INDEX('Prospect Tracker'!$R$5:$R$554,$K155)))</f>
        <v/>
      </c>
      <c r="F155" s="6" t="str">
        <f aca="false">IF($K155="","",IF(INDEX('Prospect Tracker'!$J$5:$J$554,$K155)="","",INDEX('Prospect Tracker'!$J$5:$J$554,$K155)))</f>
        <v/>
      </c>
      <c r="G155" s="6" t="str">
        <f aca="false">IF($K155="","",IF(INDEX('Prospect Tracker'!$H$5:$H$554,$K155)="","",INDEX('Prospect Tracker'!$H$5:$H$554,$K155)))</f>
        <v/>
      </c>
      <c r="H155" s="7" t="str">
        <f aca="false">IF($K155="","",IF(INDEX('Prospect Tracker'!$K$5:$K$554,$K155)="","",INDEX('Prospect Tracker'!$K$5:$K$554,$K155)))</f>
        <v/>
      </c>
      <c r="I155" s="6" t="str">
        <f aca="false">IF($K155="","",IF(INDEX('Prospect Tracker'!$T$5:$T$554,$K155)="","",INDEX('Prospect Tracker'!$T$5:$T$554,$K155)))</f>
        <v/>
      </c>
      <c r="J155" s="6" t="str">
        <f aca="false">IF($K155="","",IF(INDEX('Prospect Tracker'!$L$5:$L$554,$K155)="","",INDEX('Prospect Tracker'!$L$5:$L$554,$K155)))</f>
        <v/>
      </c>
      <c r="K155" s="1" t="n">
        <f aca="false">IFERROR(MATCH(SMALL('Prospect Tracker'!$X$5:$X$554,ROW()-4),'Prospect Tracker'!$X$5:$X$554,0),"")</f>
        <v>151</v>
      </c>
    </row>
    <row r="156" customFormat="false" ht="15" hidden="false" customHeight="true" outlineLevel="0" collapsed="false">
      <c r="A156" s="11" t="str">
        <f aca="false">IF($K156="","",IF(INDEX('Prospect Tracker'!$W$5:$W$554,$K156)="","",INDEX('Prospect Tracker'!$W$5:$W$554,$K156)))</f>
        <v/>
      </c>
      <c r="B156" s="11" t="str">
        <f aca="false">IF($K156="","",IF(INDEX('Prospect Tracker'!$A$5:$A$554,$K156)="","",INDEX('Prospect Tracker'!$A$5:$A$554,$K156)))</f>
        <v/>
      </c>
      <c r="C156" s="11" t="str">
        <f aca="false">IF($K156="","",IF(INDEX('Prospect Tracker'!$B$5:$B$554,$K156)="","",INDEX('Prospect Tracker'!$B$5:$B$554,$K156)))</f>
        <v/>
      </c>
      <c r="D156" s="11" t="str">
        <f aca="false">IF($K156="","",IF(INDEX('Prospect Tracker'!$M$5:$M$554,$K156)="","",INDEX('Prospect Tracker'!$M$5:$M$554,$K156)))</f>
        <v/>
      </c>
      <c r="E156" s="11" t="str">
        <f aca="false">IF($K156="","",IF(INDEX('Prospect Tracker'!$R$5:$R$554,$K156)="","",INDEX('Prospect Tracker'!$R$5:$R$554,$K156)))</f>
        <v/>
      </c>
      <c r="F156" s="11" t="str">
        <f aca="false">IF($K156="","",IF(INDEX('Prospect Tracker'!$J$5:$J$554,$K156)="","",INDEX('Prospect Tracker'!$J$5:$J$554,$K156)))</f>
        <v/>
      </c>
      <c r="G156" s="11" t="str">
        <f aca="false">IF($K156="","",IF(INDEX('Prospect Tracker'!$H$5:$H$554,$K156)="","",INDEX('Prospect Tracker'!$H$5:$H$554,$K156)))</f>
        <v/>
      </c>
      <c r="H156" s="12" t="str">
        <f aca="false">IF($K156="","",IF(INDEX('Prospect Tracker'!$K$5:$K$554,$K156)="","",INDEX('Prospect Tracker'!$K$5:$K$554,$K156)))</f>
        <v/>
      </c>
      <c r="I156" s="11" t="str">
        <f aca="false">IF($K156="","",IF(INDEX('Prospect Tracker'!$T$5:$T$554,$K156)="","",INDEX('Prospect Tracker'!$T$5:$T$554,$K156)))</f>
        <v/>
      </c>
      <c r="J156" s="11" t="str">
        <f aca="false">IF($K156="","",IF(INDEX('Prospect Tracker'!$L$5:$L$554,$K156)="","",INDEX('Prospect Tracker'!$L$5:$L$554,$K156)))</f>
        <v/>
      </c>
      <c r="K156" s="1" t="n">
        <f aca="false">IFERROR(MATCH(SMALL('Prospect Tracker'!$X$5:$X$554,ROW()-4),'Prospect Tracker'!$X$5:$X$554,0),"")</f>
        <v>152</v>
      </c>
    </row>
    <row r="157" customFormat="false" ht="15" hidden="false" customHeight="true" outlineLevel="0" collapsed="false">
      <c r="A157" s="6" t="str">
        <f aca="false">IF($K157="","",IF(INDEX('Prospect Tracker'!$W$5:$W$554,$K157)="","",INDEX('Prospect Tracker'!$W$5:$W$554,$K157)))</f>
        <v/>
      </c>
      <c r="B157" s="6" t="str">
        <f aca="false">IF($K157="","",IF(INDEX('Prospect Tracker'!$A$5:$A$554,$K157)="","",INDEX('Prospect Tracker'!$A$5:$A$554,$K157)))</f>
        <v/>
      </c>
      <c r="C157" s="6" t="str">
        <f aca="false">IF($K157="","",IF(INDEX('Prospect Tracker'!$B$5:$B$554,$K157)="","",INDEX('Prospect Tracker'!$B$5:$B$554,$K157)))</f>
        <v/>
      </c>
      <c r="D157" s="6" t="str">
        <f aca="false">IF($K157="","",IF(INDEX('Prospect Tracker'!$M$5:$M$554,$K157)="","",INDEX('Prospect Tracker'!$M$5:$M$554,$K157)))</f>
        <v/>
      </c>
      <c r="E157" s="6" t="str">
        <f aca="false">IF($K157="","",IF(INDEX('Prospect Tracker'!$R$5:$R$554,$K157)="","",INDEX('Prospect Tracker'!$R$5:$R$554,$K157)))</f>
        <v/>
      </c>
      <c r="F157" s="6" t="str">
        <f aca="false">IF($K157="","",IF(INDEX('Prospect Tracker'!$J$5:$J$554,$K157)="","",INDEX('Prospect Tracker'!$J$5:$J$554,$K157)))</f>
        <v/>
      </c>
      <c r="G157" s="6" t="str">
        <f aca="false">IF($K157="","",IF(INDEX('Prospect Tracker'!$H$5:$H$554,$K157)="","",INDEX('Prospect Tracker'!$H$5:$H$554,$K157)))</f>
        <v/>
      </c>
      <c r="H157" s="7" t="str">
        <f aca="false">IF($K157="","",IF(INDEX('Prospect Tracker'!$K$5:$K$554,$K157)="","",INDEX('Prospect Tracker'!$K$5:$K$554,$K157)))</f>
        <v/>
      </c>
      <c r="I157" s="6" t="str">
        <f aca="false">IF($K157="","",IF(INDEX('Prospect Tracker'!$T$5:$T$554,$K157)="","",INDEX('Prospect Tracker'!$T$5:$T$554,$K157)))</f>
        <v/>
      </c>
      <c r="J157" s="6" t="str">
        <f aca="false">IF($K157="","",IF(INDEX('Prospect Tracker'!$L$5:$L$554,$K157)="","",INDEX('Prospect Tracker'!$L$5:$L$554,$K157)))</f>
        <v/>
      </c>
      <c r="K157" s="1" t="n">
        <f aca="false">IFERROR(MATCH(SMALL('Prospect Tracker'!$X$5:$X$554,ROW()-4),'Prospect Tracker'!$X$5:$X$554,0),"")</f>
        <v>153</v>
      </c>
    </row>
    <row r="158" customFormat="false" ht="15" hidden="false" customHeight="true" outlineLevel="0" collapsed="false">
      <c r="A158" s="11" t="str">
        <f aca="false">IF($K158="","",IF(INDEX('Prospect Tracker'!$W$5:$W$554,$K158)="","",INDEX('Prospect Tracker'!$W$5:$W$554,$K158)))</f>
        <v/>
      </c>
      <c r="B158" s="11" t="str">
        <f aca="false">IF($K158="","",IF(INDEX('Prospect Tracker'!$A$5:$A$554,$K158)="","",INDEX('Prospect Tracker'!$A$5:$A$554,$K158)))</f>
        <v/>
      </c>
      <c r="C158" s="11" t="str">
        <f aca="false">IF($K158="","",IF(INDEX('Prospect Tracker'!$B$5:$B$554,$K158)="","",INDEX('Prospect Tracker'!$B$5:$B$554,$K158)))</f>
        <v/>
      </c>
      <c r="D158" s="11" t="str">
        <f aca="false">IF($K158="","",IF(INDEX('Prospect Tracker'!$M$5:$M$554,$K158)="","",INDEX('Prospect Tracker'!$M$5:$M$554,$K158)))</f>
        <v/>
      </c>
      <c r="E158" s="11" t="str">
        <f aca="false">IF($K158="","",IF(INDEX('Prospect Tracker'!$R$5:$R$554,$K158)="","",INDEX('Prospect Tracker'!$R$5:$R$554,$K158)))</f>
        <v/>
      </c>
      <c r="F158" s="11" t="str">
        <f aca="false">IF($K158="","",IF(INDEX('Prospect Tracker'!$J$5:$J$554,$K158)="","",INDEX('Prospect Tracker'!$J$5:$J$554,$K158)))</f>
        <v/>
      </c>
      <c r="G158" s="11" t="str">
        <f aca="false">IF($K158="","",IF(INDEX('Prospect Tracker'!$H$5:$H$554,$K158)="","",INDEX('Prospect Tracker'!$H$5:$H$554,$K158)))</f>
        <v/>
      </c>
      <c r="H158" s="12" t="str">
        <f aca="false">IF($K158="","",IF(INDEX('Prospect Tracker'!$K$5:$K$554,$K158)="","",INDEX('Prospect Tracker'!$K$5:$K$554,$K158)))</f>
        <v/>
      </c>
      <c r="I158" s="11" t="str">
        <f aca="false">IF($K158="","",IF(INDEX('Prospect Tracker'!$T$5:$T$554,$K158)="","",INDEX('Prospect Tracker'!$T$5:$T$554,$K158)))</f>
        <v/>
      </c>
      <c r="J158" s="11" t="str">
        <f aca="false">IF($K158="","",IF(INDEX('Prospect Tracker'!$L$5:$L$554,$K158)="","",INDEX('Prospect Tracker'!$L$5:$L$554,$K158)))</f>
        <v/>
      </c>
      <c r="K158" s="1" t="n">
        <f aca="false">IFERROR(MATCH(SMALL('Prospect Tracker'!$X$5:$X$554,ROW()-4),'Prospect Tracker'!$X$5:$X$554,0),"")</f>
        <v>154</v>
      </c>
    </row>
    <row r="159" customFormat="false" ht="15" hidden="false" customHeight="true" outlineLevel="0" collapsed="false">
      <c r="A159" s="6" t="str">
        <f aca="false">IF($K159="","",IF(INDEX('Prospect Tracker'!$W$5:$W$554,$K159)="","",INDEX('Prospect Tracker'!$W$5:$W$554,$K159)))</f>
        <v/>
      </c>
      <c r="B159" s="6" t="str">
        <f aca="false">IF($K159="","",IF(INDEX('Prospect Tracker'!$A$5:$A$554,$K159)="","",INDEX('Prospect Tracker'!$A$5:$A$554,$K159)))</f>
        <v/>
      </c>
      <c r="C159" s="6" t="str">
        <f aca="false">IF($K159="","",IF(INDEX('Prospect Tracker'!$B$5:$B$554,$K159)="","",INDEX('Prospect Tracker'!$B$5:$B$554,$K159)))</f>
        <v/>
      </c>
      <c r="D159" s="6" t="str">
        <f aca="false">IF($K159="","",IF(INDEX('Prospect Tracker'!$M$5:$M$554,$K159)="","",INDEX('Prospect Tracker'!$M$5:$M$554,$K159)))</f>
        <v/>
      </c>
      <c r="E159" s="6" t="str">
        <f aca="false">IF($K159="","",IF(INDEX('Prospect Tracker'!$R$5:$R$554,$K159)="","",INDEX('Prospect Tracker'!$R$5:$R$554,$K159)))</f>
        <v/>
      </c>
      <c r="F159" s="6" t="str">
        <f aca="false">IF($K159="","",IF(INDEX('Prospect Tracker'!$J$5:$J$554,$K159)="","",INDEX('Prospect Tracker'!$J$5:$J$554,$K159)))</f>
        <v/>
      </c>
      <c r="G159" s="6" t="str">
        <f aca="false">IF($K159="","",IF(INDEX('Prospect Tracker'!$H$5:$H$554,$K159)="","",INDEX('Prospect Tracker'!$H$5:$H$554,$K159)))</f>
        <v/>
      </c>
      <c r="H159" s="7" t="str">
        <f aca="false">IF($K159="","",IF(INDEX('Prospect Tracker'!$K$5:$K$554,$K159)="","",INDEX('Prospect Tracker'!$K$5:$K$554,$K159)))</f>
        <v/>
      </c>
      <c r="I159" s="6" t="str">
        <f aca="false">IF($K159="","",IF(INDEX('Prospect Tracker'!$T$5:$T$554,$K159)="","",INDEX('Prospect Tracker'!$T$5:$T$554,$K159)))</f>
        <v/>
      </c>
      <c r="J159" s="6" t="str">
        <f aca="false">IF($K159="","",IF(INDEX('Prospect Tracker'!$L$5:$L$554,$K159)="","",INDEX('Prospect Tracker'!$L$5:$L$554,$K159)))</f>
        <v/>
      </c>
      <c r="K159" s="1" t="n">
        <f aca="false">IFERROR(MATCH(SMALL('Prospect Tracker'!$X$5:$X$554,ROW()-4),'Prospect Tracker'!$X$5:$X$554,0),"")</f>
        <v>155</v>
      </c>
    </row>
    <row r="160" customFormat="false" ht="15" hidden="false" customHeight="true" outlineLevel="0" collapsed="false">
      <c r="A160" s="11" t="str">
        <f aca="false">IF($K160="","",IF(INDEX('Prospect Tracker'!$W$5:$W$554,$K160)="","",INDEX('Prospect Tracker'!$W$5:$W$554,$K160)))</f>
        <v/>
      </c>
      <c r="B160" s="11" t="str">
        <f aca="false">IF($K160="","",IF(INDEX('Prospect Tracker'!$A$5:$A$554,$K160)="","",INDEX('Prospect Tracker'!$A$5:$A$554,$K160)))</f>
        <v/>
      </c>
      <c r="C160" s="11" t="str">
        <f aca="false">IF($K160="","",IF(INDEX('Prospect Tracker'!$B$5:$B$554,$K160)="","",INDEX('Prospect Tracker'!$B$5:$B$554,$K160)))</f>
        <v/>
      </c>
      <c r="D160" s="11" t="str">
        <f aca="false">IF($K160="","",IF(INDEX('Prospect Tracker'!$M$5:$M$554,$K160)="","",INDEX('Prospect Tracker'!$M$5:$M$554,$K160)))</f>
        <v/>
      </c>
      <c r="E160" s="11" t="str">
        <f aca="false">IF($K160="","",IF(INDEX('Prospect Tracker'!$R$5:$R$554,$K160)="","",INDEX('Prospect Tracker'!$R$5:$R$554,$K160)))</f>
        <v/>
      </c>
      <c r="F160" s="11" t="str">
        <f aca="false">IF($K160="","",IF(INDEX('Prospect Tracker'!$J$5:$J$554,$K160)="","",INDEX('Prospect Tracker'!$J$5:$J$554,$K160)))</f>
        <v/>
      </c>
      <c r="G160" s="11" t="str">
        <f aca="false">IF($K160="","",IF(INDEX('Prospect Tracker'!$H$5:$H$554,$K160)="","",INDEX('Prospect Tracker'!$H$5:$H$554,$K160)))</f>
        <v/>
      </c>
      <c r="H160" s="12" t="str">
        <f aca="false">IF($K160="","",IF(INDEX('Prospect Tracker'!$K$5:$K$554,$K160)="","",INDEX('Prospect Tracker'!$K$5:$K$554,$K160)))</f>
        <v/>
      </c>
      <c r="I160" s="11" t="str">
        <f aca="false">IF($K160="","",IF(INDEX('Prospect Tracker'!$T$5:$T$554,$K160)="","",INDEX('Prospect Tracker'!$T$5:$T$554,$K160)))</f>
        <v/>
      </c>
      <c r="J160" s="11" t="str">
        <f aca="false">IF($K160="","",IF(INDEX('Prospect Tracker'!$L$5:$L$554,$K160)="","",INDEX('Prospect Tracker'!$L$5:$L$554,$K160)))</f>
        <v/>
      </c>
      <c r="K160" s="1" t="n">
        <f aca="false">IFERROR(MATCH(SMALL('Prospect Tracker'!$X$5:$X$554,ROW()-4),'Prospect Tracker'!$X$5:$X$554,0),"")</f>
        <v>156</v>
      </c>
    </row>
    <row r="161" customFormat="false" ht="15" hidden="false" customHeight="true" outlineLevel="0" collapsed="false">
      <c r="A161" s="6" t="str">
        <f aca="false">IF($K161="","",IF(INDEX('Prospect Tracker'!$W$5:$W$554,$K161)="","",INDEX('Prospect Tracker'!$W$5:$W$554,$K161)))</f>
        <v/>
      </c>
      <c r="B161" s="6" t="str">
        <f aca="false">IF($K161="","",IF(INDEX('Prospect Tracker'!$A$5:$A$554,$K161)="","",INDEX('Prospect Tracker'!$A$5:$A$554,$K161)))</f>
        <v/>
      </c>
      <c r="C161" s="6" t="str">
        <f aca="false">IF($K161="","",IF(INDEX('Prospect Tracker'!$B$5:$B$554,$K161)="","",INDEX('Prospect Tracker'!$B$5:$B$554,$K161)))</f>
        <v/>
      </c>
      <c r="D161" s="6" t="str">
        <f aca="false">IF($K161="","",IF(INDEX('Prospect Tracker'!$M$5:$M$554,$K161)="","",INDEX('Prospect Tracker'!$M$5:$M$554,$K161)))</f>
        <v/>
      </c>
      <c r="E161" s="6" t="str">
        <f aca="false">IF($K161="","",IF(INDEX('Prospect Tracker'!$R$5:$R$554,$K161)="","",INDEX('Prospect Tracker'!$R$5:$R$554,$K161)))</f>
        <v/>
      </c>
      <c r="F161" s="6" t="str">
        <f aca="false">IF($K161="","",IF(INDEX('Prospect Tracker'!$J$5:$J$554,$K161)="","",INDEX('Prospect Tracker'!$J$5:$J$554,$K161)))</f>
        <v/>
      </c>
      <c r="G161" s="6" t="str">
        <f aca="false">IF($K161="","",IF(INDEX('Prospect Tracker'!$H$5:$H$554,$K161)="","",INDEX('Prospect Tracker'!$H$5:$H$554,$K161)))</f>
        <v/>
      </c>
      <c r="H161" s="7" t="str">
        <f aca="false">IF($K161="","",IF(INDEX('Prospect Tracker'!$K$5:$K$554,$K161)="","",INDEX('Prospect Tracker'!$K$5:$K$554,$K161)))</f>
        <v/>
      </c>
      <c r="I161" s="6" t="str">
        <f aca="false">IF($K161="","",IF(INDEX('Prospect Tracker'!$T$5:$T$554,$K161)="","",INDEX('Prospect Tracker'!$T$5:$T$554,$K161)))</f>
        <v/>
      </c>
      <c r="J161" s="6" t="str">
        <f aca="false">IF($K161="","",IF(INDEX('Prospect Tracker'!$L$5:$L$554,$K161)="","",INDEX('Prospect Tracker'!$L$5:$L$554,$K161)))</f>
        <v/>
      </c>
      <c r="K161" s="1" t="n">
        <f aca="false">IFERROR(MATCH(SMALL('Prospect Tracker'!$X$5:$X$554,ROW()-4),'Prospect Tracker'!$X$5:$X$554,0),"")</f>
        <v>157</v>
      </c>
    </row>
    <row r="162" customFormat="false" ht="15" hidden="false" customHeight="true" outlineLevel="0" collapsed="false">
      <c r="A162" s="11" t="str">
        <f aca="false">IF($K162="","",IF(INDEX('Prospect Tracker'!$W$5:$W$554,$K162)="","",INDEX('Prospect Tracker'!$W$5:$W$554,$K162)))</f>
        <v/>
      </c>
      <c r="B162" s="11" t="str">
        <f aca="false">IF($K162="","",IF(INDEX('Prospect Tracker'!$A$5:$A$554,$K162)="","",INDEX('Prospect Tracker'!$A$5:$A$554,$K162)))</f>
        <v/>
      </c>
      <c r="C162" s="11" t="str">
        <f aca="false">IF($K162="","",IF(INDEX('Prospect Tracker'!$B$5:$B$554,$K162)="","",INDEX('Prospect Tracker'!$B$5:$B$554,$K162)))</f>
        <v/>
      </c>
      <c r="D162" s="11" t="str">
        <f aca="false">IF($K162="","",IF(INDEX('Prospect Tracker'!$M$5:$M$554,$K162)="","",INDEX('Prospect Tracker'!$M$5:$M$554,$K162)))</f>
        <v/>
      </c>
      <c r="E162" s="11" t="str">
        <f aca="false">IF($K162="","",IF(INDEX('Prospect Tracker'!$R$5:$R$554,$K162)="","",INDEX('Prospect Tracker'!$R$5:$R$554,$K162)))</f>
        <v/>
      </c>
      <c r="F162" s="11" t="str">
        <f aca="false">IF($K162="","",IF(INDEX('Prospect Tracker'!$J$5:$J$554,$K162)="","",INDEX('Prospect Tracker'!$J$5:$J$554,$K162)))</f>
        <v/>
      </c>
      <c r="G162" s="11" t="str">
        <f aca="false">IF($K162="","",IF(INDEX('Prospect Tracker'!$H$5:$H$554,$K162)="","",INDEX('Prospect Tracker'!$H$5:$H$554,$K162)))</f>
        <v/>
      </c>
      <c r="H162" s="12" t="str">
        <f aca="false">IF($K162="","",IF(INDEX('Prospect Tracker'!$K$5:$K$554,$K162)="","",INDEX('Prospect Tracker'!$K$5:$K$554,$K162)))</f>
        <v/>
      </c>
      <c r="I162" s="11" t="str">
        <f aca="false">IF($K162="","",IF(INDEX('Prospect Tracker'!$T$5:$T$554,$K162)="","",INDEX('Prospect Tracker'!$T$5:$T$554,$K162)))</f>
        <v/>
      </c>
      <c r="J162" s="11" t="str">
        <f aca="false">IF($K162="","",IF(INDEX('Prospect Tracker'!$L$5:$L$554,$K162)="","",INDEX('Prospect Tracker'!$L$5:$L$554,$K162)))</f>
        <v/>
      </c>
      <c r="K162" s="1" t="n">
        <f aca="false">IFERROR(MATCH(SMALL('Prospect Tracker'!$X$5:$X$554,ROW()-4),'Prospect Tracker'!$X$5:$X$554,0),"")</f>
        <v>158</v>
      </c>
    </row>
    <row r="163" customFormat="false" ht="15" hidden="false" customHeight="true" outlineLevel="0" collapsed="false">
      <c r="A163" s="6" t="str">
        <f aca="false">IF($K163="","",IF(INDEX('Prospect Tracker'!$W$5:$W$554,$K163)="","",INDEX('Prospect Tracker'!$W$5:$W$554,$K163)))</f>
        <v/>
      </c>
      <c r="B163" s="6" t="str">
        <f aca="false">IF($K163="","",IF(INDEX('Prospect Tracker'!$A$5:$A$554,$K163)="","",INDEX('Prospect Tracker'!$A$5:$A$554,$K163)))</f>
        <v/>
      </c>
      <c r="C163" s="6" t="str">
        <f aca="false">IF($K163="","",IF(INDEX('Prospect Tracker'!$B$5:$B$554,$K163)="","",INDEX('Prospect Tracker'!$B$5:$B$554,$K163)))</f>
        <v/>
      </c>
      <c r="D163" s="6" t="str">
        <f aca="false">IF($K163="","",IF(INDEX('Prospect Tracker'!$M$5:$M$554,$K163)="","",INDEX('Prospect Tracker'!$M$5:$M$554,$K163)))</f>
        <v/>
      </c>
      <c r="E163" s="6" t="str">
        <f aca="false">IF($K163="","",IF(INDEX('Prospect Tracker'!$R$5:$R$554,$K163)="","",INDEX('Prospect Tracker'!$R$5:$R$554,$K163)))</f>
        <v/>
      </c>
      <c r="F163" s="6" t="str">
        <f aca="false">IF($K163="","",IF(INDEX('Prospect Tracker'!$J$5:$J$554,$K163)="","",INDEX('Prospect Tracker'!$J$5:$J$554,$K163)))</f>
        <v/>
      </c>
      <c r="G163" s="6" t="str">
        <f aca="false">IF($K163="","",IF(INDEX('Prospect Tracker'!$H$5:$H$554,$K163)="","",INDEX('Prospect Tracker'!$H$5:$H$554,$K163)))</f>
        <v/>
      </c>
      <c r="H163" s="7" t="str">
        <f aca="false">IF($K163="","",IF(INDEX('Prospect Tracker'!$K$5:$K$554,$K163)="","",INDEX('Prospect Tracker'!$K$5:$K$554,$K163)))</f>
        <v/>
      </c>
      <c r="I163" s="6" t="str">
        <f aca="false">IF($K163="","",IF(INDEX('Prospect Tracker'!$T$5:$T$554,$K163)="","",INDEX('Prospect Tracker'!$T$5:$T$554,$K163)))</f>
        <v/>
      </c>
      <c r="J163" s="6" t="str">
        <f aca="false">IF($K163="","",IF(INDEX('Prospect Tracker'!$L$5:$L$554,$K163)="","",INDEX('Prospect Tracker'!$L$5:$L$554,$K163)))</f>
        <v/>
      </c>
      <c r="K163" s="1" t="n">
        <f aca="false">IFERROR(MATCH(SMALL('Prospect Tracker'!$X$5:$X$554,ROW()-4),'Prospect Tracker'!$X$5:$X$554,0),"")</f>
        <v>159</v>
      </c>
    </row>
    <row r="164" customFormat="false" ht="15" hidden="false" customHeight="true" outlineLevel="0" collapsed="false">
      <c r="A164" s="11" t="str">
        <f aca="false">IF($K164="","",IF(INDEX('Prospect Tracker'!$W$5:$W$554,$K164)="","",INDEX('Prospect Tracker'!$W$5:$W$554,$K164)))</f>
        <v/>
      </c>
      <c r="B164" s="11" t="str">
        <f aca="false">IF($K164="","",IF(INDEX('Prospect Tracker'!$A$5:$A$554,$K164)="","",INDEX('Prospect Tracker'!$A$5:$A$554,$K164)))</f>
        <v/>
      </c>
      <c r="C164" s="11" t="str">
        <f aca="false">IF($K164="","",IF(INDEX('Prospect Tracker'!$B$5:$B$554,$K164)="","",INDEX('Prospect Tracker'!$B$5:$B$554,$K164)))</f>
        <v/>
      </c>
      <c r="D164" s="11" t="str">
        <f aca="false">IF($K164="","",IF(INDEX('Prospect Tracker'!$M$5:$M$554,$K164)="","",INDEX('Prospect Tracker'!$M$5:$M$554,$K164)))</f>
        <v/>
      </c>
      <c r="E164" s="11" t="str">
        <f aca="false">IF($K164="","",IF(INDEX('Prospect Tracker'!$R$5:$R$554,$K164)="","",INDEX('Prospect Tracker'!$R$5:$R$554,$K164)))</f>
        <v/>
      </c>
      <c r="F164" s="11" t="str">
        <f aca="false">IF($K164="","",IF(INDEX('Prospect Tracker'!$J$5:$J$554,$K164)="","",INDEX('Prospect Tracker'!$J$5:$J$554,$K164)))</f>
        <v/>
      </c>
      <c r="G164" s="11" t="str">
        <f aca="false">IF($K164="","",IF(INDEX('Prospect Tracker'!$H$5:$H$554,$K164)="","",INDEX('Prospect Tracker'!$H$5:$H$554,$K164)))</f>
        <v/>
      </c>
      <c r="H164" s="12" t="str">
        <f aca="false">IF($K164="","",IF(INDEX('Prospect Tracker'!$K$5:$K$554,$K164)="","",INDEX('Prospect Tracker'!$K$5:$K$554,$K164)))</f>
        <v/>
      </c>
      <c r="I164" s="11" t="str">
        <f aca="false">IF($K164="","",IF(INDEX('Prospect Tracker'!$T$5:$T$554,$K164)="","",INDEX('Prospect Tracker'!$T$5:$T$554,$K164)))</f>
        <v/>
      </c>
      <c r="J164" s="11" t="str">
        <f aca="false">IF($K164="","",IF(INDEX('Prospect Tracker'!$L$5:$L$554,$K164)="","",INDEX('Prospect Tracker'!$L$5:$L$554,$K164)))</f>
        <v/>
      </c>
      <c r="K164" s="1" t="n">
        <f aca="false">IFERROR(MATCH(SMALL('Prospect Tracker'!$X$5:$X$554,ROW()-4),'Prospect Tracker'!$X$5:$X$554,0),"")</f>
        <v>160</v>
      </c>
    </row>
    <row r="165" customFormat="false" ht="15" hidden="false" customHeight="true" outlineLevel="0" collapsed="false">
      <c r="A165" s="6" t="str">
        <f aca="false">IF($K165="","",IF(INDEX('Prospect Tracker'!$W$5:$W$554,$K165)="","",INDEX('Prospect Tracker'!$W$5:$W$554,$K165)))</f>
        <v/>
      </c>
      <c r="B165" s="6" t="str">
        <f aca="false">IF($K165="","",IF(INDEX('Prospect Tracker'!$A$5:$A$554,$K165)="","",INDEX('Prospect Tracker'!$A$5:$A$554,$K165)))</f>
        <v/>
      </c>
      <c r="C165" s="6" t="str">
        <f aca="false">IF($K165="","",IF(INDEX('Prospect Tracker'!$B$5:$B$554,$K165)="","",INDEX('Prospect Tracker'!$B$5:$B$554,$K165)))</f>
        <v/>
      </c>
      <c r="D165" s="6" t="str">
        <f aca="false">IF($K165="","",IF(INDEX('Prospect Tracker'!$M$5:$M$554,$K165)="","",INDEX('Prospect Tracker'!$M$5:$M$554,$K165)))</f>
        <v/>
      </c>
      <c r="E165" s="6" t="str">
        <f aca="false">IF($K165="","",IF(INDEX('Prospect Tracker'!$R$5:$R$554,$K165)="","",INDEX('Prospect Tracker'!$R$5:$R$554,$K165)))</f>
        <v/>
      </c>
      <c r="F165" s="6" t="str">
        <f aca="false">IF($K165="","",IF(INDEX('Prospect Tracker'!$J$5:$J$554,$K165)="","",INDEX('Prospect Tracker'!$J$5:$J$554,$K165)))</f>
        <v/>
      </c>
      <c r="G165" s="6" t="str">
        <f aca="false">IF($K165="","",IF(INDEX('Prospect Tracker'!$H$5:$H$554,$K165)="","",INDEX('Prospect Tracker'!$H$5:$H$554,$K165)))</f>
        <v/>
      </c>
      <c r="H165" s="7" t="str">
        <f aca="false">IF($K165="","",IF(INDEX('Prospect Tracker'!$K$5:$K$554,$K165)="","",INDEX('Prospect Tracker'!$K$5:$K$554,$K165)))</f>
        <v/>
      </c>
      <c r="I165" s="6" t="str">
        <f aca="false">IF($K165="","",IF(INDEX('Prospect Tracker'!$T$5:$T$554,$K165)="","",INDEX('Prospect Tracker'!$T$5:$T$554,$K165)))</f>
        <v/>
      </c>
      <c r="J165" s="6" t="str">
        <f aca="false">IF($K165="","",IF(INDEX('Prospect Tracker'!$L$5:$L$554,$K165)="","",INDEX('Prospect Tracker'!$L$5:$L$554,$K165)))</f>
        <v/>
      </c>
      <c r="K165" s="1" t="n">
        <f aca="false">IFERROR(MATCH(SMALL('Prospect Tracker'!$X$5:$X$554,ROW()-4),'Prospect Tracker'!$X$5:$X$554,0),"")</f>
        <v>161</v>
      </c>
    </row>
    <row r="166" customFormat="false" ht="15" hidden="false" customHeight="true" outlineLevel="0" collapsed="false">
      <c r="A166" s="11" t="str">
        <f aca="false">IF($K166="","",IF(INDEX('Prospect Tracker'!$W$5:$W$554,$K166)="","",INDEX('Prospect Tracker'!$W$5:$W$554,$K166)))</f>
        <v/>
      </c>
      <c r="B166" s="11" t="str">
        <f aca="false">IF($K166="","",IF(INDEX('Prospect Tracker'!$A$5:$A$554,$K166)="","",INDEX('Prospect Tracker'!$A$5:$A$554,$K166)))</f>
        <v/>
      </c>
      <c r="C166" s="11" t="str">
        <f aca="false">IF($K166="","",IF(INDEX('Prospect Tracker'!$B$5:$B$554,$K166)="","",INDEX('Prospect Tracker'!$B$5:$B$554,$K166)))</f>
        <v/>
      </c>
      <c r="D166" s="11" t="str">
        <f aca="false">IF($K166="","",IF(INDEX('Prospect Tracker'!$M$5:$M$554,$K166)="","",INDEX('Prospect Tracker'!$M$5:$M$554,$K166)))</f>
        <v/>
      </c>
      <c r="E166" s="11" t="str">
        <f aca="false">IF($K166="","",IF(INDEX('Prospect Tracker'!$R$5:$R$554,$K166)="","",INDEX('Prospect Tracker'!$R$5:$R$554,$K166)))</f>
        <v/>
      </c>
      <c r="F166" s="11" t="str">
        <f aca="false">IF($K166="","",IF(INDEX('Prospect Tracker'!$J$5:$J$554,$K166)="","",INDEX('Prospect Tracker'!$J$5:$J$554,$K166)))</f>
        <v/>
      </c>
      <c r="G166" s="11" t="str">
        <f aca="false">IF($K166="","",IF(INDEX('Prospect Tracker'!$H$5:$H$554,$K166)="","",INDEX('Prospect Tracker'!$H$5:$H$554,$K166)))</f>
        <v/>
      </c>
      <c r="H166" s="12" t="str">
        <f aca="false">IF($K166="","",IF(INDEX('Prospect Tracker'!$K$5:$K$554,$K166)="","",INDEX('Prospect Tracker'!$K$5:$K$554,$K166)))</f>
        <v/>
      </c>
      <c r="I166" s="11" t="str">
        <f aca="false">IF($K166="","",IF(INDEX('Prospect Tracker'!$T$5:$T$554,$K166)="","",INDEX('Prospect Tracker'!$T$5:$T$554,$K166)))</f>
        <v/>
      </c>
      <c r="J166" s="11" t="str">
        <f aca="false">IF($K166="","",IF(INDEX('Prospect Tracker'!$L$5:$L$554,$K166)="","",INDEX('Prospect Tracker'!$L$5:$L$554,$K166)))</f>
        <v/>
      </c>
      <c r="K166" s="1" t="n">
        <f aca="false">IFERROR(MATCH(SMALL('Prospect Tracker'!$X$5:$X$554,ROW()-4),'Prospect Tracker'!$X$5:$X$554,0),"")</f>
        <v>162</v>
      </c>
    </row>
    <row r="167" customFormat="false" ht="15" hidden="false" customHeight="true" outlineLevel="0" collapsed="false">
      <c r="A167" s="6" t="str">
        <f aca="false">IF($K167="","",IF(INDEX('Prospect Tracker'!$W$5:$W$554,$K167)="","",INDEX('Prospect Tracker'!$W$5:$W$554,$K167)))</f>
        <v/>
      </c>
      <c r="B167" s="6" t="str">
        <f aca="false">IF($K167="","",IF(INDEX('Prospect Tracker'!$A$5:$A$554,$K167)="","",INDEX('Prospect Tracker'!$A$5:$A$554,$K167)))</f>
        <v/>
      </c>
      <c r="C167" s="6" t="str">
        <f aca="false">IF($K167="","",IF(INDEX('Prospect Tracker'!$B$5:$B$554,$K167)="","",INDEX('Prospect Tracker'!$B$5:$B$554,$K167)))</f>
        <v/>
      </c>
      <c r="D167" s="6" t="str">
        <f aca="false">IF($K167="","",IF(INDEX('Prospect Tracker'!$M$5:$M$554,$K167)="","",INDEX('Prospect Tracker'!$M$5:$M$554,$K167)))</f>
        <v/>
      </c>
      <c r="E167" s="6" t="str">
        <f aca="false">IF($K167="","",IF(INDEX('Prospect Tracker'!$R$5:$R$554,$K167)="","",INDEX('Prospect Tracker'!$R$5:$R$554,$K167)))</f>
        <v/>
      </c>
      <c r="F167" s="6" t="str">
        <f aca="false">IF($K167="","",IF(INDEX('Prospect Tracker'!$J$5:$J$554,$K167)="","",INDEX('Prospect Tracker'!$J$5:$J$554,$K167)))</f>
        <v/>
      </c>
      <c r="G167" s="6" t="str">
        <f aca="false">IF($K167="","",IF(INDEX('Prospect Tracker'!$H$5:$H$554,$K167)="","",INDEX('Prospect Tracker'!$H$5:$H$554,$K167)))</f>
        <v/>
      </c>
      <c r="H167" s="7" t="str">
        <f aca="false">IF($K167="","",IF(INDEX('Prospect Tracker'!$K$5:$K$554,$K167)="","",INDEX('Prospect Tracker'!$K$5:$K$554,$K167)))</f>
        <v/>
      </c>
      <c r="I167" s="6" t="str">
        <f aca="false">IF($K167="","",IF(INDEX('Prospect Tracker'!$T$5:$T$554,$K167)="","",INDEX('Prospect Tracker'!$T$5:$T$554,$K167)))</f>
        <v/>
      </c>
      <c r="J167" s="6" t="str">
        <f aca="false">IF($K167="","",IF(INDEX('Prospect Tracker'!$L$5:$L$554,$K167)="","",INDEX('Prospect Tracker'!$L$5:$L$554,$K167)))</f>
        <v/>
      </c>
      <c r="K167" s="1" t="n">
        <f aca="false">IFERROR(MATCH(SMALL('Prospect Tracker'!$X$5:$X$554,ROW()-4),'Prospect Tracker'!$X$5:$X$554,0),"")</f>
        <v>163</v>
      </c>
    </row>
    <row r="168" customFormat="false" ht="15" hidden="false" customHeight="true" outlineLevel="0" collapsed="false">
      <c r="A168" s="11" t="str">
        <f aca="false">IF($K168="","",IF(INDEX('Prospect Tracker'!$W$5:$W$554,$K168)="","",INDEX('Prospect Tracker'!$W$5:$W$554,$K168)))</f>
        <v/>
      </c>
      <c r="B168" s="11" t="str">
        <f aca="false">IF($K168="","",IF(INDEX('Prospect Tracker'!$A$5:$A$554,$K168)="","",INDEX('Prospect Tracker'!$A$5:$A$554,$K168)))</f>
        <v/>
      </c>
      <c r="C168" s="11" t="str">
        <f aca="false">IF($K168="","",IF(INDEX('Prospect Tracker'!$B$5:$B$554,$K168)="","",INDEX('Prospect Tracker'!$B$5:$B$554,$K168)))</f>
        <v/>
      </c>
      <c r="D168" s="11" t="str">
        <f aca="false">IF($K168="","",IF(INDEX('Prospect Tracker'!$M$5:$M$554,$K168)="","",INDEX('Prospect Tracker'!$M$5:$M$554,$K168)))</f>
        <v/>
      </c>
      <c r="E168" s="11" t="str">
        <f aca="false">IF($K168="","",IF(INDEX('Prospect Tracker'!$R$5:$R$554,$K168)="","",INDEX('Prospect Tracker'!$R$5:$R$554,$K168)))</f>
        <v/>
      </c>
      <c r="F168" s="11" t="str">
        <f aca="false">IF($K168="","",IF(INDEX('Prospect Tracker'!$J$5:$J$554,$K168)="","",INDEX('Prospect Tracker'!$J$5:$J$554,$K168)))</f>
        <v/>
      </c>
      <c r="G168" s="11" t="str">
        <f aca="false">IF($K168="","",IF(INDEX('Prospect Tracker'!$H$5:$H$554,$K168)="","",INDEX('Prospect Tracker'!$H$5:$H$554,$K168)))</f>
        <v/>
      </c>
      <c r="H168" s="12" t="str">
        <f aca="false">IF($K168="","",IF(INDEX('Prospect Tracker'!$K$5:$K$554,$K168)="","",INDEX('Prospect Tracker'!$K$5:$K$554,$K168)))</f>
        <v/>
      </c>
      <c r="I168" s="11" t="str">
        <f aca="false">IF($K168="","",IF(INDEX('Prospect Tracker'!$T$5:$T$554,$K168)="","",INDEX('Prospect Tracker'!$T$5:$T$554,$K168)))</f>
        <v/>
      </c>
      <c r="J168" s="11" t="str">
        <f aca="false">IF($K168="","",IF(INDEX('Prospect Tracker'!$L$5:$L$554,$K168)="","",INDEX('Prospect Tracker'!$L$5:$L$554,$K168)))</f>
        <v/>
      </c>
      <c r="K168" s="1" t="n">
        <f aca="false">IFERROR(MATCH(SMALL('Prospect Tracker'!$X$5:$X$554,ROW()-4),'Prospect Tracker'!$X$5:$X$554,0),"")</f>
        <v>164</v>
      </c>
    </row>
    <row r="169" customFormat="false" ht="15" hidden="false" customHeight="true" outlineLevel="0" collapsed="false">
      <c r="A169" s="6" t="str">
        <f aca="false">IF($K169="","",IF(INDEX('Prospect Tracker'!$W$5:$W$554,$K169)="","",INDEX('Prospect Tracker'!$W$5:$W$554,$K169)))</f>
        <v/>
      </c>
      <c r="B169" s="6" t="str">
        <f aca="false">IF($K169="","",IF(INDEX('Prospect Tracker'!$A$5:$A$554,$K169)="","",INDEX('Prospect Tracker'!$A$5:$A$554,$K169)))</f>
        <v/>
      </c>
      <c r="C169" s="6" t="str">
        <f aca="false">IF($K169="","",IF(INDEX('Prospect Tracker'!$B$5:$B$554,$K169)="","",INDEX('Prospect Tracker'!$B$5:$B$554,$K169)))</f>
        <v/>
      </c>
      <c r="D169" s="6" t="str">
        <f aca="false">IF($K169="","",IF(INDEX('Prospect Tracker'!$M$5:$M$554,$K169)="","",INDEX('Prospect Tracker'!$M$5:$M$554,$K169)))</f>
        <v/>
      </c>
      <c r="E169" s="6" t="str">
        <f aca="false">IF($K169="","",IF(INDEX('Prospect Tracker'!$R$5:$R$554,$K169)="","",INDEX('Prospect Tracker'!$R$5:$R$554,$K169)))</f>
        <v/>
      </c>
      <c r="F169" s="6" t="str">
        <f aca="false">IF($K169="","",IF(INDEX('Prospect Tracker'!$J$5:$J$554,$K169)="","",INDEX('Prospect Tracker'!$J$5:$J$554,$K169)))</f>
        <v/>
      </c>
      <c r="G169" s="6" t="str">
        <f aca="false">IF($K169="","",IF(INDEX('Prospect Tracker'!$H$5:$H$554,$K169)="","",INDEX('Prospect Tracker'!$H$5:$H$554,$K169)))</f>
        <v/>
      </c>
      <c r="H169" s="7" t="str">
        <f aca="false">IF($K169="","",IF(INDEX('Prospect Tracker'!$K$5:$K$554,$K169)="","",INDEX('Prospect Tracker'!$K$5:$K$554,$K169)))</f>
        <v/>
      </c>
      <c r="I169" s="6" t="str">
        <f aca="false">IF($K169="","",IF(INDEX('Prospect Tracker'!$T$5:$T$554,$K169)="","",INDEX('Prospect Tracker'!$T$5:$T$554,$K169)))</f>
        <v/>
      </c>
      <c r="J169" s="6" t="str">
        <f aca="false">IF($K169="","",IF(INDEX('Prospect Tracker'!$L$5:$L$554,$K169)="","",INDEX('Prospect Tracker'!$L$5:$L$554,$K169)))</f>
        <v/>
      </c>
      <c r="K169" s="1" t="n">
        <f aca="false">IFERROR(MATCH(SMALL('Prospect Tracker'!$X$5:$X$554,ROW()-4),'Prospect Tracker'!$X$5:$X$554,0),"")</f>
        <v>165</v>
      </c>
    </row>
    <row r="170" customFormat="false" ht="15" hidden="false" customHeight="true" outlineLevel="0" collapsed="false">
      <c r="A170" s="11" t="str">
        <f aca="false">IF($K170="","",IF(INDEX('Prospect Tracker'!$W$5:$W$554,$K170)="","",INDEX('Prospect Tracker'!$W$5:$W$554,$K170)))</f>
        <v/>
      </c>
      <c r="B170" s="11" t="str">
        <f aca="false">IF($K170="","",IF(INDEX('Prospect Tracker'!$A$5:$A$554,$K170)="","",INDEX('Prospect Tracker'!$A$5:$A$554,$K170)))</f>
        <v/>
      </c>
      <c r="C170" s="11" t="str">
        <f aca="false">IF($K170="","",IF(INDEX('Prospect Tracker'!$B$5:$B$554,$K170)="","",INDEX('Prospect Tracker'!$B$5:$B$554,$K170)))</f>
        <v/>
      </c>
      <c r="D170" s="11" t="str">
        <f aca="false">IF($K170="","",IF(INDEX('Prospect Tracker'!$M$5:$M$554,$K170)="","",INDEX('Prospect Tracker'!$M$5:$M$554,$K170)))</f>
        <v/>
      </c>
      <c r="E170" s="11" t="str">
        <f aca="false">IF($K170="","",IF(INDEX('Prospect Tracker'!$R$5:$R$554,$K170)="","",INDEX('Prospect Tracker'!$R$5:$R$554,$K170)))</f>
        <v/>
      </c>
      <c r="F170" s="11" t="str">
        <f aca="false">IF($K170="","",IF(INDEX('Prospect Tracker'!$J$5:$J$554,$K170)="","",INDEX('Prospect Tracker'!$J$5:$J$554,$K170)))</f>
        <v/>
      </c>
      <c r="G170" s="11" t="str">
        <f aca="false">IF($K170="","",IF(INDEX('Prospect Tracker'!$H$5:$H$554,$K170)="","",INDEX('Prospect Tracker'!$H$5:$H$554,$K170)))</f>
        <v/>
      </c>
      <c r="H170" s="12" t="str">
        <f aca="false">IF($K170="","",IF(INDEX('Prospect Tracker'!$K$5:$K$554,$K170)="","",INDEX('Prospect Tracker'!$K$5:$K$554,$K170)))</f>
        <v/>
      </c>
      <c r="I170" s="11" t="str">
        <f aca="false">IF($K170="","",IF(INDEX('Prospect Tracker'!$T$5:$T$554,$K170)="","",INDEX('Prospect Tracker'!$T$5:$T$554,$K170)))</f>
        <v/>
      </c>
      <c r="J170" s="11" t="str">
        <f aca="false">IF($K170="","",IF(INDEX('Prospect Tracker'!$L$5:$L$554,$K170)="","",INDEX('Prospect Tracker'!$L$5:$L$554,$K170)))</f>
        <v/>
      </c>
      <c r="K170" s="1" t="n">
        <f aca="false">IFERROR(MATCH(SMALL('Prospect Tracker'!$X$5:$X$554,ROW()-4),'Prospect Tracker'!$X$5:$X$554,0),"")</f>
        <v>166</v>
      </c>
    </row>
    <row r="171" customFormat="false" ht="15" hidden="false" customHeight="true" outlineLevel="0" collapsed="false">
      <c r="A171" s="6" t="str">
        <f aca="false">IF($K171="","",IF(INDEX('Prospect Tracker'!$W$5:$W$554,$K171)="","",INDEX('Prospect Tracker'!$W$5:$W$554,$K171)))</f>
        <v/>
      </c>
      <c r="B171" s="6" t="str">
        <f aca="false">IF($K171="","",IF(INDEX('Prospect Tracker'!$A$5:$A$554,$K171)="","",INDEX('Prospect Tracker'!$A$5:$A$554,$K171)))</f>
        <v/>
      </c>
      <c r="C171" s="6" t="str">
        <f aca="false">IF($K171="","",IF(INDEX('Prospect Tracker'!$B$5:$B$554,$K171)="","",INDEX('Prospect Tracker'!$B$5:$B$554,$K171)))</f>
        <v/>
      </c>
      <c r="D171" s="6" t="str">
        <f aca="false">IF($K171="","",IF(INDEX('Prospect Tracker'!$M$5:$M$554,$K171)="","",INDEX('Prospect Tracker'!$M$5:$M$554,$K171)))</f>
        <v/>
      </c>
      <c r="E171" s="6" t="str">
        <f aca="false">IF($K171="","",IF(INDEX('Prospect Tracker'!$R$5:$R$554,$K171)="","",INDEX('Prospect Tracker'!$R$5:$R$554,$K171)))</f>
        <v/>
      </c>
      <c r="F171" s="6" t="str">
        <f aca="false">IF($K171="","",IF(INDEX('Prospect Tracker'!$J$5:$J$554,$K171)="","",INDEX('Prospect Tracker'!$J$5:$J$554,$K171)))</f>
        <v/>
      </c>
      <c r="G171" s="6" t="str">
        <f aca="false">IF($K171="","",IF(INDEX('Prospect Tracker'!$H$5:$H$554,$K171)="","",INDEX('Prospect Tracker'!$H$5:$H$554,$K171)))</f>
        <v/>
      </c>
      <c r="H171" s="7" t="str">
        <f aca="false">IF($K171="","",IF(INDEX('Prospect Tracker'!$K$5:$K$554,$K171)="","",INDEX('Prospect Tracker'!$K$5:$K$554,$K171)))</f>
        <v/>
      </c>
      <c r="I171" s="6" t="str">
        <f aca="false">IF($K171="","",IF(INDEX('Prospect Tracker'!$T$5:$T$554,$K171)="","",INDEX('Prospect Tracker'!$T$5:$T$554,$K171)))</f>
        <v/>
      </c>
      <c r="J171" s="6" t="str">
        <f aca="false">IF($K171="","",IF(INDEX('Prospect Tracker'!$L$5:$L$554,$K171)="","",INDEX('Prospect Tracker'!$L$5:$L$554,$K171)))</f>
        <v/>
      </c>
      <c r="K171" s="1" t="n">
        <f aca="false">IFERROR(MATCH(SMALL('Prospect Tracker'!$X$5:$X$554,ROW()-4),'Prospect Tracker'!$X$5:$X$554,0),"")</f>
        <v>167</v>
      </c>
    </row>
    <row r="172" customFormat="false" ht="15" hidden="false" customHeight="true" outlineLevel="0" collapsed="false">
      <c r="A172" s="11" t="str">
        <f aca="false">IF($K172="","",IF(INDEX('Prospect Tracker'!$W$5:$W$554,$K172)="","",INDEX('Prospect Tracker'!$W$5:$W$554,$K172)))</f>
        <v/>
      </c>
      <c r="B172" s="11" t="str">
        <f aca="false">IF($K172="","",IF(INDEX('Prospect Tracker'!$A$5:$A$554,$K172)="","",INDEX('Prospect Tracker'!$A$5:$A$554,$K172)))</f>
        <v/>
      </c>
      <c r="C172" s="11" t="str">
        <f aca="false">IF($K172="","",IF(INDEX('Prospect Tracker'!$B$5:$B$554,$K172)="","",INDEX('Prospect Tracker'!$B$5:$B$554,$K172)))</f>
        <v/>
      </c>
      <c r="D172" s="11" t="str">
        <f aca="false">IF($K172="","",IF(INDEX('Prospect Tracker'!$M$5:$M$554,$K172)="","",INDEX('Prospect Tracker'!$M$5:$M$554,$K172)))</f>
        <v/>
      </c>
      <c r="E172" s="11" t="str">
        <f aca="false">IF($K172="","",IF(INDEX('Prospect Tracker'!$R$5:$R$554,$K172)="","",INDEX('Prospect Tracker'!$R$5:$R$554,$K172)))</f>
        <v/>
      </c>
      <c r="F172" s="11" t="str">
        <f aca="false">IF($K172="","",IF(INDEX('Prospect Tracker'!$J$5:$J$554,$K172)="","",INDEX('Prospect Tracker'!$J$5:$J$554,$K172)))</f>
        <v/>
      </c>
      <c r="G172" s="11" t="str">
        <f aca="false">IF($K172="","",IF(INDEX('Prospect Tracker'!$H$5:$H$554,$K172)="","",INDEX('Prospect Tracker'!$H$5:$H$554,$K172)))</f>
        <v/>
      </c>
      <c r="H172" s="12" t="str">
        <f aca="false">IF($K172="","",IF(INDEX('Prospect Tracker'!$K$5:$K$554,$K172)="","",INDEX('Prospect Tracker'!$K$5:$K$554,$K172)))</f>
        <v/>
      </c>
      <c r="I172" s="11" t="str">
        <f aca="false">IF($K172="","",IF(INDEX('Prospect Tracker'!$T$5:$T$554,$K172)="","",INDEX('Prospect Tracker'!$T$5:$T$554,$K172)))</f>
        <v/>
      </c>
      <c r="J172" s="11" t="str">
        <f aca="false">IF($K172="","",IF(INDEX('Prospect Tracker'!$L$5:$L$554,$K172)="","",INDEX('Prospect Tracker'!$L$5:$L$554,$K172)))</f>
        <v/>
      </c>
      <c r="K172" s="1" t="n">
        <f aca="false">IFERROR(MATCH(SMALL('Prospect Tracker'!$X$5:$X$554,ROW()-4),'Prospect Tracker'!$X$5:$X$554,0),"")</f>
        <v>168</v>
      </c>
    </row>
    <row r="173" customFormat="false" ht="15" hidden="false" customHeight="true" outlineLevel="0" collapsed="false">
      <c r="A173" s="6" t="str">
        <f aca="false">IF($K173="","",IF(INDEX('Prospect Tracker'!$W$5:$W$554,$K173)="","",INDEX('Prospect Tracker'!$W$5:$W$554,$K173)))</f>
        <v/>
      </c>
      <c r="B173" s="6" t="str">
        <f aca="false">IF($K173="","",IF(INDEX('Prospect Tracker'!$A$5:$A$554,$K173)="","",INDEX('Prospect Tracker'!$A$5:$A$554,$K173)))</f>
        <v/>
      </c>
      <c r="C173" s="6" t="str">
        <f aca="false">IF($K173="","",IF(INDEX('Prospect Tracker'!$B$5:$B$554,$K173)="","",INDEX('Prospect Tracker'!$B$5:$B$554,$K173)))</f>
        <v/>
      </c>
      <c r="D173" s="6" t="str">
        <f aca="false">IF($K173="","",IF(INDEX('Prospect Tracker'!$M$5:$M$554,$K173)="","",INDEX('Prospect Tracker'!$M$5:$M$554,$K173)))</f>
        <v/>
      </c>
      <c r="E173" s="6" t="str">
        <f aca="false">IF($K173="","",IF(INDEX('Prospect Tracker'!$R$5:$R$554,$K173)="","",INDEX('Prospect Tracker'!$R$5:$R$554,$K173)))</f>
        <v/>
      </c>
      <c r="F173" s="6" t="str">
        <f aca="false">IF($K173="","",IF(INDEX('Prospect Tracker'!$J$5:$J$554,$K173)="","",INDEX('Prospect Tracker'!$J$5:$J$554,$K173)))</f>
        <v/>
      </c>
      <c r="G173" s="6" t="str">
        <f aca="false">IF($K173="","",IF(INDEX('Prospect Tracker'!$H$5:$H$554,$K173)="","",INDEX('Prospect Tracker'!$H$5:$H$554,$K173)))</f>
        <v/>
      </c>
      <c r="H173" s="7" t="str">
        <f aca="false">IF($K173="","",IF(INDEX('Prospect Tracker'!$K$5:$K$554,$K173)="","",INDEX('Prospect Tracker'!$K$5:$K$554,$K173)))</f>
        <v/>
      </c>
      <c r="I173" s="6" t="str">
        <f aca="false">IF($K173="","",IF(INDEX('Prospect Tracker'!$T$5:$T$554,$K173)="","",INDEX('Prospect Tracker'!$T$5:$T$554,$K173)))</f>
        <v/>
      </c>
      <c r="J173" s="6" t="str">
        <f aca="false">IF($K173="","",IF(INDEX('Prospect Tracker'!$L$5:$L$554,$K173)="","",INDEX('Prospect Tracker'!$L$5:$L$554,$K173)))</f>
        <v/>
      </c>
      <c r="K173" s="1" t="n">
        <f aca="false">IFERROR(MATCH(SMALL('Prospect Tracker'!$X$5:$X$554,ROW()-4),'Prospect Tracker'!$X$5:$X$554,0),"")</f>
        <v>169</v>
      </c>
    </row>
    <row r="174" customFormat="false" ht="15" hidden="false" customHeight="true" outlineLevel="0" collapsed="false">
      <c r="A174" s="11" t="str">
        <f aca="false">IF($K174="","",IF(INDEX('Prospect Tracker'!$W$5:$W$554,$K174)="","",INDEX('Prospect Tracker'!$W$5:$W$554,$K174)))</f>
        <v/>
      </c>
      <c r="B174" s="11" t="str">
        <f aca="false">IF($K174="","",IF(INDEX('Prospect Tracker'!$A$5:$A$554,$K174)="","",INDEX('Prospect Tracker'!$A$5:$A$554,$K174)))</f>
        <v/>
      </c>
      <c r="C174" s="11" t="str">
        <f aca="false">IF($K174="","",IF(INDEX('Prospect Tracker'!$B$5:$B$554,$K174)="","",INDEX('Prospect Tracker'!$B$5:$B$554,$K174)))</f>
        <v/>
      </c>
      <c r="D174" s="11" t="str">
        <f aca="false">IF($K174="","",IF(INDEX('Prospect Tracker'!$M$5:$M$554,$K174)="","",INDEX('Prospect Tracker'!$M$5:$M$554,$K174)))</f>
        <v/>
      </c>
      <c r="E174" s="11" t="str">
        <f aca="false">IF($K174="","",IF(INDEX('Prospect Tracker'!$R$5:$R$554,$K174)="","",INDEX('Prospect Tracker'!$R$5:$R$554,$K174)))</f>
        <v/>
      </c>
      <c r="F174" s="11" t="str">
        <f aca="false">IF($K174="","",IF(INDEX('Prospect Tracker'!$J$5:$J$554,$K174)="","",INDEX('Prospect Tracker'!$J$5:$J$554,$K174)))</f>
        <v/>
      </c>
      <c r="G174" s="11" t="str">
        <f aca="false">IF($K174="","",IF(INDEX('Prospect Tracker'!$H$5:$H$554,$K174)="","",INDEX('Prospect Tracker'!$H$5:$H$554,$K174)))</f>
        <v/>
      </c>
      <c r="H174" s="12" t="str">
        <f aca="false">IF($K174="","",IF(INDEX('Prospect Tracker'!$K$5:$K$554,$K174)="","",INDEX('Prospect Tracker'!$K$5:$K$554,$K174)))</f>
        <v/>
      </c>
      <c r="I174" s="11" t="str">
        <f aca="false">IF($K174="","",IF(INDEX('Prospect Tracker'!$T$5:$T$554,$K174)="","",INDEX('Prospect Tracker'!$T$5:$T$554,$K174)))</f>
        <v/>
      </c>
      <c r="J174" s="11" t="str">
        <f aca="false">IF($K174="","",IF(INDEX('Prospect Tracker'!$L$5:$L$554,$K174)="","",INDEX('Prospect Tracker'!$L$5:$L$554,$K174)))</f>
        <v/>
      </c>
      <c r="K174" s="1" t="n">
        <f aca="false">IFERROR(MATCH(SMALL('Prospect Tracker'!$X$5:$X$554,ROW()-4),'Prospect Tracker'!$X$5:$X$554,0),"")</f>
        <v>170</v>
      </c>
    </row>
    <row r="175" customFormat="false" ht="15" hidden="false" customHeight="true" outlineLevel="0" collapsed="false">
      <c r="A175" s="6" t="str">
        <f aca="false">IF($K175="","",IF(INDEX('Prospect Tracker'!$W$5:$W$554,$K175)="","",INDEX('Prospect Tracker'!$W$5:$W$554,$K175)))</f>
        <v/>
      </c>
      <c r="B175" s="6" t="str">
        <f aca="false">IF($K175="","",IF(INDEX('Prospect Tracker'!$A$5:$A$554,$K175)="","",INDEX('Prospect Tracker'!$A$5:$A$554,$K175)))</f>
        <v/>
      </c>
      <c r="C175" s="6" t="str">
        <f aca="false">IF($K175="","",IF(INDEX('Prospect Tracker'!$B$5:$B$554,$K175)="","",INDEX('Prospect Tracker'!$B$5:$B$554,$K175)))</f>
        <v/>
      </c>
      <c r="D175" s="6" t="str">
        <f aca="false">IF($K175="","",IF(INDEX('Prospect Tracker'!$M$5:$M$554,$K175)="","",INDEX('Prospect Tracker'!$M$5:$M$554,$K175)))</f>
        <v/>
      </c>
      <c r="E175" s="6" t="str">
        <f aca="false">IF($K175="","",IF(INDEX('Prospect Tracker'!$R$5:$R$554,$K175)="","",INDEX('Prospect Tracker'!$R$5:$R$554,$K175)))</f>
        <v/>
      </c>
      <c r="F175" s="6" t="str">
        <f aca="false">IF($K175="","",IF(INDEX('Prospect Tracker'!$J$5:$J$554,$K175)="","",INDEX('Prospect Tracker'!$J$5:$J$554,$K175)))</f>
        <v/>
      </c>
      <c r="G175" s="6" t="str">
        <f aca="false">IF($K175="","",IF(INDEX('Prospect Tracker'!$H$5:$H$554,$K175)="","",INDEX('Prospect Tracker'!$H$5:$H$554,$K175)))</f>
        <v/>
      </c>
      <c r="H175" s="7" t="str">
        <f aca="false">IF($K175="","",IF(INDEX('Prospect Tracker'!$K$5:$K$554,$K175)="","",INDEX('Prospect Tracker'!$K$5:$K$554,$K175)))</f>
        <v/>
      </c>
      <c r="I175" s="6" t="str">
        <f aca="false">IF($K175="","",IF(INDEX('Prospect Tracker'!$T$5:$T$554,$K175)="","",INDEX('Prospect Tracker'!$T$5:$T$554,$K175)))</f>
        <v/>
      </c>
      <c r="J175" s="6" t="str">
        <f aca="false">IF($K175="","",IF(INDEX('Prospect Tracker'!$L$5:$L$554,$K175)="","",INDEX('Prospect Tracker'!$L$5:$L$554,$K175)))</f>
        <v/>
      </c>
      <c r="K175" s="1" t="n">
        <f aca="false">IFERROR(MATCH(SMALL('Prospect Tracker'!$X$5:$X$554,ROW()-4),'Prospect Tracker'!$X$5:$X$554,0),"")</f>
        <v>171</v>
      </c>
    </row>
    <row r="176" customFormat="false" ht="15" hidden="false" customHeight="true" outlineLevel="0" collapsed="false">
      <c r="A176" s="11" t="str">
        <f aca="false">IF($K176="","",IF(INDEX('Prospect Tracker'!$W$5:$W$554,$K176)="","",INDEX('Prospect Tracker'!$W$5:$W$554,$K176)))</f>
        <v/>
      </c>
      <c r="B176" s="11" t="str">
        <f aca="false">IF($K176="","",IF(INDEX('Prospect Tracker'!$A$5:$A$554,$K176)="","",INDEX('Prospect Tracker'!$A$5:$A$554,$K176)))</f>
        <v/>
      </c>
      <c r="C176" s="11" t="str">
        <f aca="false">IF($K176="","",IF(INDEX('Prospect Tracker'!$B$5:$B$554,$K176)="","",INDEX('Prospect Tracker'!$B$5:$B$554,$K176)))</f>
        <v/>
      </c>
      <c r="D176" s="11" t="str">
        <f aca="false">IF($K176="","",IF(INDEX('Prospect Tracker'!$M$5:$M$554,$K176)="","",INDEX('Prospect Tracker'!$M$5:$M$554,$K176)))</f>
        <v/>
      </c>
      <c r="E176" s="11" t="str">
        <f aca="false">IF($K176="","",IF(INDEX('Prospect Tracker'!$R$5:$R$554,$K176)="","",INDEX('Prospect Tracker'!$R$5:$R$554,$K176)))</f>
        <v/>
      </c>
      <c r="F176" s="11" t="str">
        <f aca="false">IF($K176="","",IF(INDEX('Prospect Tracker'!$J$5:$J$554,$K176)="","",INDEX('Prospect Tracker'!$J$5:$J$554,$K176)))</f>
        <v/>
      </c>
      <c r="G176" s="11" t="str">
        <f aca="false">IF($K176="","",IF(INDEX('Prospect Tracker'!$H$5:$H$554,$K176)="","",INDEX('Prospect Tracker'!$H$5:$H$554,$K176)))</f>
        <v/>
      </c>
      <c r="H176" s="12" t="str">
        <f aca="false">IF($K176="","",IF(INDEX('Prospect Tracker'!$K$5:$K$554,$K176)="","",INDEX('Prospect Tracker'!$K$5:$K$554,$K176)))</f>
        <v/>
      </c>
      <c r="I176" s="11" t="str">
        <f aca="false">IF($K176="","",IF(INDEX('Prospect Tracker'!$T$5:$T$554,$K176)="","",INDEX('Prospect Tracker'!$T$5:$T$554,$K176)))</f>
        <v/>
      </c>
      <c r="J176" s="11" t="str">
        <f aca="false">IF($K176="","",IF(INDEX('Prospect Tracker'!$L$5:$L$554,$K176)="","",INDEX('Prospect Tracker'!$L$5:$L$554,$K176)))</f>
        <v/>
      </c>
      <c r="K176" s="1" t="n">
        <f aca="false">IFERROR(MATCH(SMALL('Prospect Tracker'!$X$5:$X$554,ROW()-4),'Prospect Tracker'!$X$5:$X$554,0),"")</f>
        <v>172</v>
      </c>
    </row>
    <row r="177" customFormat="false" ht="15" hidden="false" customHeight="true" outlineLevel="0" collapsed="false">
      <c r="A177" s="6" t="str">
        <f aca="false">IF($K177="","",IF(INDEX('Prospect Tracker'!$W$5:$W$554,$K177)="","",INDEX('Prospect Tracker'!$W$5:$W$554,$K177)))</f>
        <v/>
      </c>
      <c r="B177" s="6" t="str">
        <f aca="false">IF($K177="","",IF(INDEX('Prospect Tracker'!$A$5:$A$554,$K177)="","",INDEX('Prospect Tracker'!$A$5:$A$554,$K177)))</f>
        <v/>
      </c>
      <c r="C177" s="6" t="str">
        <f aca="false">IF($K177="","",IF(INDEX('Prospect Tracker'!$B$5:$B$554,$K177)="","",INDEX('Prospect Tracker'!$B$5:$B$554,$K177)))</f>
        <v/>
      </c>
      <c r="D177" s="6" t="str">
        <f aca="false">IF($K177="","",IF(INDEX('Prospect Tracker'!$M$5:$M$554,$K177)="","",INDEX('Prospect Tracker'!$M$5:$M$554,$K177)))</f>
        <v/>
      </c>
      <c r="E177" s="6" t="str">
        <f aca="false">IF($K177="","",IF(INDEX('Prospect Tracker'!$R$5:$R$554,$K177)="","",INDEX('Prospect Tracker'!$R$5:$R$554,$K177)))</f>
        <v/>
      </c>
      <c r="F177" s="6" t="str">
        <f aca="false">IF($K177="","",IF(INDEX('Prospect Tracker'!$J$5:$J$554,$K177)="","",INDEX('Prospect Tracker'!$J$5:$J$554,$K177)))</f>
        <v/>
      </c>
      <c r="G177" s="6" t="str">
        <f aca="false">IF($K177="","",IF(INDEX('Prospect Tracker'!$H$5:$H$554,$K177)="","",INDEX('Prospect Tracker'!$H$5:$H$554,$K177)))</f>
        <v/>
      </c>
      <c r="H177" s="7" t="str">
        <f aca="false">IF($K177="","",IF(INDEX('Prospect Tracker'!$K$5:$K$554,$K177)="","",INDEX('Prospect Tracker'!$K$5:$K$554,$K177)))</f>
        <v/>
      </c>
      <c r="I177" s="6" t="str">
        <f aca="false">IF($K177="","",IF(INDEX('Prospect Tracker'!$T$5:$T$554,$K177)="","",INDEX('Prospect Tracker'!$T$5:$T$554,$K177)))</f>
        <v/>
      </c>
      <c r="J177" s="6" t="str">
        <f aca="false">IF($K177="","",IF(INDEX('Prospect Tracker'!$L$5:$L$554,$K177)="","",INDEX('Prospect Tracker'!$L$5:$L$554,$K177)))</f>
        <v/>
      </c>
      <c r="K177" s="1" t="n">
        <f aca="false">IFERROR(MATCH(SMALL('Prospect Tracker'!$X$5:$X$554,ROW()-4),'Prospect Tracker'!$X$5:$X$554,0),"")</f>
        <v>173</v>
      </c>
    </row>
    <row r="178" customFormat="false" ht="15" hidden="false" customHeight="true" outlineLevel="0" collapsed="false">
      <c r="A178" s="11" t="str">
        <f aca="false">IF($K178="","",IF(INDEX('Prospect Tracker'!$W$5:$W$554,$K178)="","",INDEX('Prospect Tracker'!$W$5:$W$554,$K178)))</f>
        <v/>
      </c>
      <c r="B178" s="11" t="str">
        <f aca="false">IF($K178="","",IF(INDEX('Prospect Tracker'!$A$5:$A$554,$K178)="","",INDEX('Prospect Tracker'!$A$5:$A$554,$K178)))</f>
        <v/>
      </c>
      <c r="C178" s="11" t="str">
        <f aca="false">IF($K178="","",IF(INDEX('Prospect Tracker'!$B$5:$B$554,$K178)="","",INDEX('Prospect Tracker'!$B$5:$B$554,$K178)))</f>
        <v/>
      </c>
      <c r="D178" s="11" t="str">
        <f aca="false">IF($K178="","",IF(INDEX('Prospect Tracker'!$M$5:$M$554,$K178)="","",INDEX('Prospect Tracker'!$M$5:$M$554,$K178)))</f>
        <v/>
      </c>
      <c r="E178" s="11" t="str">
        <f aca="false">IF($K178="","",IF(INDEX('Prospect Tracker'!$R$5:$R$554,$K178)="","",INDEX('Prospect Tracker'!$R$5:$R$554,$K178)))</f>
        <v/>
      </c>
      <c r="F178" s="11" t="str">
        <f aca="false">IF($K178="","",IF(INDEX('Prospect Tracker'!$J$5:$J$554,$K178)="","",INDEX('Prospect Tracker'!$J$5:$J$554,$K178)))</f>
        <v/>
      </c>
      <c r="G178" s="11" t="str">
        <f aca="false">IF($K178="","",IF(INDEX('Prospect Tracker'!$H$5:$H$554,$K178)="","",INDEX('Prospect Tracker'!$H$5:$H$554,$K178)))</f>
        <v/>
      </c>
      <c r="H178" s="12" t="str">
        <f aca="false">IF($K178="","",IF(INDEX('Prospect Tracker'!$K$5:$K$554,$K178)="","",INDEX('Prospect Tracker'!$K$5:$K$554,$K178)))</f>
        <v/>
      </c>
      <c r="I178" s="11" t="str">
        <f aca="false">IF($K178="","",IF(INDEX('Prospect Tracker'!$T$5:$T$554,$K178)="","",INDEX('Prospect Tracker'!$T$5:$T$554,$K178)))</f>
        <v/>
      </c>
      <c r="J178" s="11" t="str">
        <f aca="false">IF($K178="","",IF(INDEX('Prospect Tracker'!$L$5:$L$554,$K178)="","",INDEX('Prospect Tracker'!$L$5:$L$554,$K178)))</f>
        <v/>
      </c>
      <c r="K178" s="1" t="n">
        <f aca="false">IFERROR(MATCH(SMALL('Prospect Tracker'!$X$5:$X$554,ROW()-4),'Prospect Tracker'!$X$5:$X$554,0),"")</f>
        <v>174</v>
      </c>
    </row>
    <row r="179" customFormat="false" ht="15" hidden="false" customHeight="true" outlineLevel="0" collapsed="false">
      <c r="A179" s="6" t="str">
        <f aca="false">IF($K179="","",IF(INDEX('Prospect Tracker'!$W$5:$W$554,$K179)="","",INDEX('Prospect Tracker'!$W$5:$W$554,$K179)))</f>
        <v/>
      </c>
      <c r="B179" s="6" t="str">
        <f aca="false">IF($K179="","",IF(INDEX('Prospect Tracker'!$A$5:$A$554,$K179)="","",INDEX('Prospect Tracker'!$A$5:$A$554,$K179)))</f>
        <v/>
      </c>
      <c r="C179" s="6" t="str">
        <f aca="false">IF($K179="","",IF(INDEX('Prospect Tracker'!$B$5:$B$554,$K179)="","",INDEX('Prospect Tracker'!$B$5:$B$554,$K179)))</f>
        <v/>
      </c>
      <c r="D179" s="6" t="str">
        <f aca="false">IF($K179="","",IF(INDEX('Prospect Tracker'!$M$5:$M$554,$K179)="","",INDEX('Prospect Tracker'!$M$5:$M$554,$K179)))</f>
        <v/>
      </c>
      <c r="E179" s="6" t="str">
        <f aca="false">IF($K179="","",IF(INDEX('Prospect Tracker'!$R$5:$R$554,$K179)="","",INDEX('Prospect Tracker'!$R$5:$R$554,$K179)))</f>
        <v/>
      </c>
      <c r="F179" s="6" t="str">
        <f aca="false">IF($K179="","",IF(INDEX('Prospect Tracker'!$J$5:$J$554,$K179)="","",INDEX('Prospect Tracker'!$J$5:$J$554,$K179)))</f>
        <v/>
      </c>
      <c r="G179" s="6" t="str">
        <f aca="false">IF($K179="","",IF(INDEX('Prospect Tracker'!$H$5:$H$554,$K179)="","",INDEX('Prospect Tracker'!$H$5:$H$554,$K179)))</f>
        <v/>
      </c>
      <c r="H179" s="7" t="str">
        <f aca="false">IF($K179="","",IF(INDEX('Prospect Tracker'!$K$5:$K$554,$K179)="","",INDEX('Prospect Tracker'!$K$5:$K$554,$K179)))</f>
        <v/>
      </c>
      <c r="I179" s="6" t="str">
        <f aca="false">IF($K179="","",IF(INDEX('Prospect Tracker'!$T$5:$T$554,$K179)="","",INDEX('Prospect Tracker'!$T$5:$T$554,$K179)))</f>
        <v/>
      </c>
      <c r="J179" s="6" t="str">
        <f aca="false">IF($K179="","",IF(INDEX('Prospect Tracker'!$L$5:$L$554,$K179)="","",INDEX('Prospect Tracker'!$L$5:$L$554,$K179)))</f>
        <v/>
      </c>
      <c r="K179" s="1" t="n">
        <f aca="false">IFERROR(MATCH(SMALL('Prospect Tracker'!$X$5:$X$554,ROW()-4),'Prospect Tracker'!$X$5:$X$554,0),"")</f>
        <v>175</v>
      </c>
    </row>
    <row r="180" customFormat="false" ht="15" hidden="false" customHeight="true" outlineLevel="0" collapsed="false">
      <c r="A180" s="11" t="str">
        <f aca="false">IF($K180="","",IF(INDEX('Prospect Tracker'!$W$5:$W$554,$K180)="","",INDEX('Prospect Tracker'!$W$5:$W$554,$K180)))</f>
        <v/>
      </c>
      <c r="B180" s="11" t="str">
        <f aca="false">IF($K180="","",IF(INDEX('Prospect Tracker'!$A$5:$A$554,$K180)="","",INDEX('Prospect Tracker'!$A$5:$A$554,$K180)))</f>
        <v/>
      </c>
      <c r="C180" s="11" t="str">
        <f aca="false">IF($K180="","",IF(INDEX('Prospect Tracker'!$B$5:$B$554,$K180)="","",INDEX('Prospect Tracker'!$B$5:$B$554,$K180)))</f>
        <v/>
      </c>
      <c r="D180" s="11" t="str">
        <f aca="false">IF($K180="","",IF(INDEX('Prospect Tracker'!$M$5:$M$554,$K180)="","",INDEX('Prospect Tracker'!$M$5:$M$554,$K180)))</f>
        <v/>
      </c>
      <c r="E180" s="11" t="str">
        <f aca="false">IF($K180="","",IF(INDEX('Prospect Tracker'!$R$5:$R$554,$K180)="","",INDEX('Prospect Tracker'!$R$5:$R$554,$K180)))</f>
        <v/>
      </c>
      <c r="F180" s="11" t="str">
        <f aca="false">IF($K180="","",IF(INDEX('Prospect Tracker'!$J$5:$J$554,$K180)="","",INDEX('Prospect Tracker'!$J$5:$J$554,$K180)))</f>
        <v/>
      </c>
      <c r="G180" s="11" t="str">
        <f aca="false">IF($K180="","",IF(INDEX('Prospect Tracker'!$H$5:$H$554,$K180)="","",INDEX('Prospect Tracker'!$H$5:$H$554,$K180)))</f>
        <v/>
      </c>
      <c r="H180" s="12" t="str">
        <f aca="false">IF($K180="","",IF(INDEX('Prospect Tracker'!$K$5:$K$554,$K180)="","",INDEX('Prospect Tracker'!$K$5:$K$554,$K180)))</f>
        <v/>
      </c>
      <c r="I180" s="11" t="str">
        <f aca="false">IF($K180="","",IF(INDEX('Prospect Tracker'!$T$5:$T$554,$K180)="","",INDEX('Prospect Tracker'!$T$5:$T$554,$K180)))</f>
        <v/>
      </c>
      <c r="J180" s="11" t="str">
        <f aca="false">IF($K180="","",IF(INDEX('Prospect Tracker'!$L$5:$L$554,$K180)="","",INDEX('Prospect Tracker'!$L$5:$L$554,$K180)))</f>
        <v/>
      </c>
      <c r="K180" s="1" t="n">
        <f aca="false">IFERROR(MATCH(SMALL('Prospect Tracker'!$X$5:$X$554,ROW()-4),'Prospect Tracker'!$X$5:$X$554,0),"")</f>
        <v>176</v>
      </c>
    </row>
    <row r="181" customFormat="false" ht="15" hidden="false" customHeight="true" outlineLevel="0" collapsed="false">
      <c r="A181" s="6" t="str">
        <f aca="false">IF($K181="","",IF(INDEX('Prospect Tracker'!$W$5:$W$554,$K181)="","",INDEX('Prospect Tracker'!$W$5:$W$554,$K181)))</f>
        <v/>
      </c>
      <c r="B181" s="6" t="str">
        <f aca="false">IF($K181="","",IF(INDEX('Prospect Tracker'!$A$5:$A$554,$K181)="","",INDEX('Prospect Tracker'!$A$5:$A$554,$K181)))</f>
        <v/>
      </c>
      <c r="C181" s="6" t="str">
        <f aca="false">IF($K181="","",IF(INDEX('Prospect Tracker'!$B$5:$B$554,$K181)="","",INDEX('Prospect Tracker'!$B$5:$B$554,$K181)))</f>
        <v/>
      </c>
      <c r="D181" s="6" t="str">
        <f aca="false">IF($K181="","",IF(INDEX('Prospect Tracker'!$M$5:$M$554,$K181)="","",INDEX('Prospect Tracker'!$M$5:$M$554,$K181)))</f>
        <v/>
      </c>
      <c r="E181" s="6" t="str">
        <f aca="false">IF($K181="","",IF(INDEX('Prospect Tracker'!$R$5:$R$554,$K181)="","",INDEX('Prospect Tracker'!$R$5:$R$554,$K181)))</f>
        <v/>
      </c>
      <c r="F181" s="6" t="str">
        <f aca="false">IF($K181="","",IF(INDEX('Prospect Tracker'!$J$5:$J$554,$K181)="","",INDEX('Prospect Tracker'!$J$5:$J$554,$K181)))</f>
        <v/>
      </c>
      <c r="G181" s="6" t="str">
        <f aca="false">IF($K181="","",IF(INDEX('Prospect Tracker'!$H$5:$H$554,$K181)="","",INDEX('Prospect Tracker'!$H$5:$H$554,$K181)))</f>
        <v/>
      </c>
      <c r="H181" s="7" t="str">
        <f aca="false">IF($K181="","",IF(INDEX('Prospect Tracker'!$K$5:$K$554,$K181)="","",INDEX('Prospect Tracker'!$K$5:$K$554,$K181)))</f>
        <v/>
      </c>
      <c r="I181" s="6" t="str">
        <f aca="false">IF($K181="","",IF(INDEX('Prospect Tracker'!$T$5:$T$554,$K181)="","",INDEX('Prospect Tracker'!$T$5:$T$554,$K181)))</f>
        <v/>
      </c>
      <c r="J181" s="6" t="str">
        <f aca="false">IF($K181="","",IF(INDEX('Prospect Tracker'!$L$5:$L$554,$K181)="","",INDEX('Prospect Tracker'!$L$5:$L$554,$K181)))</f>
        <v/>
      </c>
      <c r="K181" s="1" t="n">
        <f aca="false">IFERROR(MATCH(SMALL('Prospect Tracker'!$X$5:$X$554,ROW()-4),'Prospect Tracker'!$X$5:$X$554,0),"")</f>
        <v>177</v>
      </c>
    </row>
    <row r="182" customFormat="false" ht="15" hidden="false" customHeight="true" outlineLevel="0" collapsed="false">
      <c r="A182" s="11" t="str">
        <f aca="false">IF($K182="","",IF(INDEX('Prospect Tracker'!$W$5:$W$554,$K182)="","",INDEX('Prospect Tracker'!$W$5:$W$554,$K182)))</f>
        <v/>
      </c>
      <c r="B182" s="11" t="str">
        <f aca="false">IF($K182="","",IF(INDEX('Prospect Tracker'!$A$5:$A$554,$K182)="","",INDEX('Prospect Tracker'!$A$5:$A$554,$K182)))</f>
        <v/>
      </c>
      <c r="C182" s="11" t="str">
        <f aca="false">IF($K182="","",IF(INDEX('Prospect Tracker'!$B$5:$B$554,$K182)="","",INDEX('Prospect Tracker'!$B$5:$B$554,$K182)))</f>
        <v/>
      </c>
      <c r="D182" s="11" t="str">
        <f aca="false">IF($K182="","",IF(INDEX('Prospect Tracker'!$M$5:$M$554,$K182)="","",INDEX('Prospect Tracker'!$M$5:$M$554,$K182)))</f>
        <v/>
      </c>
      <c r="E182" s="11" t="str">
        <f aca="false">IF($K182="","",IF(INDEX('Prospect Tracker'!$R$5:$R$554,$K182)="","",INDEX('Prospect Tracker'!$R$5:$R$554,$K182)))</f>
        <v/>
      </c>
      <c r="F182" s="11" t="str">
        <f aca="false">IF($K182="","",IF(INDEX('Prospect Tracker'!$J$5:$J$554,$K182)="","",INDEX('Prospect Tracker'!$J$5:$J$554,$K182)))</f>
        <v/>
      </c>
      <c r="G182" s="11" t="str">
        <f aca="false">IF($K182="","",IF(INDEX('Prospect Tracker'!$H$5:$H$554,$K182)="","",INDEX('Prospect Tracker'!$H$5:$H$554,$K182)))</f>
        <v/>
      </c>
      <c r="H182" s="12" t="str">
        <f aca="false">IF($K182="","",IF(INDEX('Prospect Tracker'!$K$5:$K$554,$K182)="","",INDEX('Prospect Tracker'!$K$5:$K$554,$K182)))</f>
        <v/>
      </c>
      <c r="I182" s="11" t="str">
        <f aca="false">IF($K182="","",IF(INDEX('Prospect Tracker'!$T$5:$T$554,$K182)="","",INDEX('Prospect Tracker'!$T$5:$T$554,$K182)))</f>
        <v/>
      </c>
      <c r="J182" s="11" t="str">
        <f aca="false">IF($K182="","",IF(INDEX('Prospect Tracker'!$L$5:$L$554,$K182)="","",INDEX('Prospect Tracker'!$L$5:$L$554,$K182)))</f>
        <v/>
      </c>
      <c r="K182" s="1" t="n">
        <f aca="false">IFERROR(MATCH(SMALL('Prospect Tracker'!$X$5:$X$554,ROW()-4),'Prospect Tracker'!$X$5:$X$554,0),"")</f>
        <v>178</v>
      </c>
    </row>
    <row r="183" customFormat="false" ht="15" hidden="false" customHeight="true" outlineLevel="0" collapsed="false">
      <c r="A183" s="6" t="str">
        <f aca="false">IF($K183="","",IF(INDEX('Prospect Tracker'!$W$5:$W$554,$K183)="","",INDEX('Prospect Tracker'!$W$5:$W$554,$K183)))</f>
        <v/>
      </c>
      <c r="B183" s="6" t="str">
        <f aca="false">IF($K183="","",IF(INDEX('Prospect Tracker'!$A$5:$A$554,$K183)="","",INDEX('Prospect Tracker'!$A$5:$A$554,$K183)))</f>
        <v/>
      </c>
      <c r="C183" s="6" t="str">
        <f aca="false">IF($K183="","",IF(INDEX('Prospect Tracker'!$B$5:$B$554,$K183)="","",INDEX('Prospect Tracker'!$B$5:$B$554,$K183)))</f>
        <v/>
      </c>
      <c r="D183" s="6" t="str">
        <f aca="false">IF($K183="","",IF(INDEX('Prospect Tracker'!$M$5:$M$554,$K183)="","",INDEX('Prospect Tracker'!$M$5:$M$554,$K183)))</f>
        <v/>
      </c>
      <c r="E183" s="6" t="str">
        <f aca="false">IF($K183="","",IF(INDEX('Prospect Tracker'!$R$5:$R$554,$K183)="","",INDEX('Prospect Tracker'!$R$5:$R$554,$K183)))</f>
        <v/>
      </c>
      <c r="F183" s="6" t="str">
        <f aca="false">IF($K183="","",IF(INDEX('Prospect Tracker'!$J$5:$J$554,$K183)="","",INDEX('Prospect Tracker'!$J$5:$J$554,$K183)))</f>
        <v/>
      </c>
      <c r="G183" s="6" t="str">
        <f aca="false">IF($K183="","",IF(INDEX('Prospect Tracker'!$H$5:$H$554,$K183)="","",INDEX('Prospect Tracker'!$H$5:$H$554,$K183)))</f>
        <v/>
      </c>
      <c r="H183" s="7" t="str">
        <f aca="false">IF($K183="","",IF(INDEX('Prospect Tracker'!$K$5:$K$554,$K183)="","",INDEX('Prospect Tracker'!$K$5:$K$554,$K183)))</f>
        <v/>
      </c>
      <c r="I183" s="6" t="str">
        <f aca="false">IF($K183="","",IF(INDEX('Prospect Tracker'!$T$5:$T$554,$K183)="","",INDEX('Prospect Tracker'!$T$5:$T$554,$K183)))</f>
        <v/>
      </c>
      <c r="J183" s="6" t="str">
        <f aca="false">IF($K183="","",IF(INDEX('Prospect Tracker'!$L$5:$L$554,$K183)="","",INDEX('Prospect Tracker'!$L$5:$L$554,$K183)))</f>
        <v/>
      </c>
      <c r="K183" s="1" t="n">
        <f aca="false">IFERROR(MATCH(SMALL('Prospect Tracker'!$X$5:$X$554,ROW()-4),'Prospect Tracker'!$X$5:$X$554,0),"")</f>
        <v>179</v>
      </c>
    </row>
    <row r="184" customFormat="false" ht="15" hidden="false" customHeight="true" outlineLevel="0" collapsed="false">
      <c r="A184" s="11" t="str">
        <f aca="false">IF($K184="","",IF(INDEX('Prospect Tracker'!$W$5:$W$554,$K184)="","",INDEX('Prospect Tracker'!$W$5:$W$554,$K184)))</f>
        <v/>
      </c>
      <c r="B184" s="11" t="str">
        <f aca="false">IF($K184="","",IF(INDEX('Prospect Tracker'!$A$5:$A$554,$K184)="","",INDEX('Prospect Tracker'!$A$5:$A$554,$K184)))</f>
        <v/>
      </c>
      <c r="C184" s="11" t="str">
        <f aca="false">IF($K184="","",IF(INDEX('Prospect Tracker'!$B$5:$B$554,$K184)="","",INDEX('Prospect Tracker'!$B$5:$B$554,$K184)))</f>
        <v/>
      </c>
      <c r="D184" s="11" t="str">
        <f aca="false">IF($K184="","",IF(INDEX('Prospect Tracker'!$M$5:$M$554,$K184)="","",INDEX('Prospect Tracker'!$M$5:$M$554,$K184)))</f>
        <v/>
      </c>
      <c r="E184" s="11" t="str">
        <f aca="false">IF($K184="","",IF(INDEX('Prospect Tracker'!$R$5:$R$554,$K184)="","",INDEX('Prospect Tracker'!$R$5:$R$554,$K184)))</f>
        <v/>
      </c>
      <c r="F184" s="11" t="str">
        <f aca="false">IF($K184="","",IF(INDEX('Prospect Tracker'!$J$5:$J$554,$K184)="","",INDEX('Prospect Tracker'!$J$5:$J$554,$K184)))</f>
        <v/>
      </c>
      <c r="G184" s="11" t="str">
        <f aca="false">IF($K184="","",IF(INDEX('Prospect Tracker'!$H$5:$H$554,$K184)="","",INDEX('Prospect Tracker'!$H$5:$H$554,$K184)))</f>
        <v/>
      </c>
      <c r="H184" s="12" t="str">
        <f aca="false">IF($K184="","",IF(INDEX('Prospect Tracker'!$K$5:$K$554,$K184)="","",INDEX('Prospect Tracker'!$K$5:$K$554,$K184)))</f>
        <v/>
      </c>
      <c r="I184" s="11" t="str">
        <f aca="false">IF($K184="","",IF(INDEX('Prospect Tracker'!$T$5:$T$554,$K184)="","",INDEX('Prospect Tracker'!$T$5:$T$554,$K184)))</f>
        <v/>
      </c>
      <c r="J184" s="11" t="str">
        <f aca="false">IF($K184="","",IF(INDEX('Prospect Tracker'!$L$5:$L$554,$K184)="","",INDEX('Prospect Tracker'!$L$5:$L$554,$K184)))</f>
        <v/>
      </c>
      <c r="K184" s="1" t="n">
        <f aca="false">IFERROR(MATCH(SMALL('Prospect Tracker'!$X$5:$X$554,ROW()-4),'Prospect Tracker'!$X$5:$X$554,0),"")</f>
        <v>180</v>
      </c>
    </row>
    <row r="185" customFormat="false" ht="15" hidden="false" customHeight="true" outlineLevel="0" collapsed="false">
      <c r="A185" s="6" t="str">
        <f aca="false">IF($K185="","",IF(INDEX('Prospect Tracker'!$W$5:$W$554,$K185)="","",INDEX('Prospect Tracker'!$W$5:$W$554,$K185)))</f>
        <v/>
      </c>
      <c r="B185" s="6" t="str">
        <f aca="false">IF($K185="","",IF(INDEX('Prospect Tracker'!$A$5:$A$554,$K185)="","",INDEX('Prospect Tracker'!$A$5:$A$554,$K185)))</f>
        <v/>
      </c>
      <c r="C185" s="6" t="str">
        <f aca="false">IF($K185="","",IF(INDEX('Prospect Tracker'!$B$5:$B$554,$K185)="","",INDEX('Prospect Tracker'!$B$5:$B$554,$K185)))</f>
        <v/>
      </c>
      <c r="D185" s="6" t="str">
        <f aca="false">IF($K185="","",IF(INDEX('Prospect Tracker'!$M$5:$M$554,$K185)="","",INDEX('Prospect Tracker'!$M$5:$M$554,$K185)))</f>
        <v/>
      </c>
      <c r="E185" s="6" t="str">
        <f aca="false">IF($K185="","",IF(INDEX('Prospect Tracker'!$R$5:$R$554,$K185)="","",INDEX('Prospect Tracker'!$R$5:$R$554,$K185)))</f>
        <v/>
      </c>
      <c r="F185" s="6" t="str">
        <f aca="false">IF($K185="","",IF(INDEX('Prospect Tracker'!$J$5:$J$554,$K185)="","",INDEX('Prospect Tracker'!$J$5:$J$554,$K185)))</f>
        <v/>
      </c>
      <c r="G185" s="6" t="str">
        <f aca="false">IF($K185="","",IF(INDEX('Prospect Tracker'!$H$5:$H$554,$K185)="","",INDEX('Prospect Tracker'!$H$5:$H$554,$K185)))</f>
        <v/>
      </c>
      <c r="H185" s="7" t="str">
        <f aca="false">IF($K185="","",IF(INDEX('Prospect Tracker'!$K$5:$K$554,$K185)="","",INDEX('Prospect Tracker'!$K$5:$K$554,$K185)))</f>
        <v/>
      </c>
      <c r="I185" s="6" t="str">
        <f aca="false">IF($K185="","",IF(INDEX('Prospect Tracker'!$T$5:$T$554,$K185)="","",INDEX('Prospect Tracker'!$T$5:$T$554,$K185)))</f>
        <v/>
      </c>
      <c r="J185" s="6" t="str">
        <f aca="false">IF($K185="","",IF(INDEX('Prospect Tracker'!$L$5:$L$554,$K185)="","",INDEX('Prospect Tracker'!$L$5:$L$554,$K185)))</f>
        <v/>
      </c>
      <c r="K185" s="1" t="n">
        <f aca="false">IFERROR(MATCH(SMALL('Prospect Tracker'!$X$5:$X$554,ROW()-4),'Prospect Tracker'!$X$5:$X$554,0),"")</f>
        <v>181</v>
      </c>
    </row>
    <row r="186" customFormat="false" ht="15" hidden="false" customHeight="true" outlineLevel="0" collapsed="false">
      <c r="A186" s="11" t="str">
        <f aca="false">IF($K186="","",IF(INDEX('Prospect Tracker'!$W$5:$W$554,$K186)="","",INDEX('Prospect Tracker'!$W$5:$W$554,$K186)))</f>
        <v/>
      </c>
      <c r="B186" s="11" t="str">
        <f aca="false">IF($K186="","",IF(INDEX('Prospect Tracker'!$A$5:$A$554,$K186)="","",INDEX('Prospect Tracker'!$A$5:$A$554,$K186)))</f>
        <v/>
      </c>
      <c r="C186" s="11" t="str">
        <f aca="false">IF($K186="","",IF(INDEX('Prospect Tracker'!$B$5:$B$554,$K186)="","",INDEX('Prospect Tracker'!$B$5:$B$554,$K186)))</f>
        <v/>
      </c>
      <c r="D186" s="11" t="str">
        <f aca="false">IF($K186="","",IF(INDEX('Prospect Tracker'!$M$5:$M$554,$K186)="","",INDEX('Prospect Tracker'!$M$5:$M$554,$K186)))</f>
        <v/>
      </c>
      <c r="E186" s="11" t="str">
        <f aca="false">IF($K186="","",IF(INDEX('Prospect Tracker'!$R$5:$R$554,$K186)="","",INDEX('Prospect Tracker'!$R$5:$R$554,$K186)))</f>
        <v/>
      </c>
      <c r="F186" s="11" t="str">
        <f aca="false">IF($K186="","",IF(INDEX('Prospect Tracker'!$J$5:$J$554,$K186)="","",INDEX('Prospect Tracker'!$J$5:$J$554,$K186)))</f>
        <v/>
      </c>
      <c r="G186" s="11" t="str">
        <f aca="false">IF($K186="","",IF(INDEX('Prospect Tracker'!$H$5:$H$554,$K186)="","",INDEX('Prospect Tracker'!$H$5:$H$554,$K186)))</f>
        <v/>
      </c>
      <c r="H186" s="12" t="str">
        <f aca="false">IF($K186="","",IF(INDEX('Prospect Tracker'!$K$5:$K$554,$K186)="","",INDEX('Prospect Tracker'!$K$5:$K$554,$K186)))</f>
        <v/>
      </c>
      <c r="I186" s="11" t="str">
        <f aca="false">IF($K186="","",IF(INDEX('Prospect Tracker'!$T$5:$T$554,$K186)="","",INDEX('Prospect Tracker'!$T$5:$T$554,$K186)))</f>
        <v/>
      </c>
      <c r="J186" s="11" t="str">
        <f aca="false">IF($K186="","",IF(INDEX('Prospect Tracker'!$L$5:$L$554,$K186)="","",INDEX('Prospect Tracker'!$L$5:$L$554,$K186)))</f>
        <v/>
      </c>
      <c r="K186" s="1" t="n">
        <f aca="false">IFERROR(MATCH(SMALL('Prospect Tracker'!$X$5:$X$554,ROW()-4),'Prospect Tracker'!$X$5:$X$554,0),"")</f>
        <v>182</v>
      </c>
    </row>
    <row r="187" customFormat="false" ht="15" hidden="false" customHeight="true" outlineLevel="0" collapsed="false">
      <c r="A187" s="6" t="str">
        <f aca="false">IF($K187="","",IF(INDEX('Prospect Tracker'!$W$5:$W$554,$K187)="","",INDEX('Prospect Tracker'!$W$5:$W$554,$K187)))</f>
        <v/>
      </c>
      <c r="B187" s="6" t="str">
        <f aca="false">IF($K187="","",IF(INDEX('Prospect Tracker'!$A$5:$A$554,$K187)="","",INDEX('Prospect Tracker'!$A$5:$A$554,$K187)))</f>
        <v/>
      </c>
      <c r="C187" s="6" t="str">
        <f aca="false">IF($K187="","",IF(INDEX('Prospect Tracker'!$B$5:$B$554,$K187)="","",INDEX('Prospect Tracker'!$B$5:$B$554,$K187)))</f>
        <v/>
      </c>
      <c r="D187" s="6" t="str">
        <f aca="false">IF($K187="","",IF(INDEX('Prospect Tracker'!$M$5:$M$554,$K187)="","",INDEX('Prospect Tracker'!$M$5:$M$554,$K187)))</f>
        <v/>
      </c>
      <c r="E187" s="6" t="str">
        <f aca="false">IF($K187="","",IF(INDEX('Prospect Tracker'!$R$5:$R$554,$K187)="","",INDEX('Prospect Tracker'!$R$5:$R$554,$K187)))</f>
        <v/>
      </c>
      <c r="F187" s="6" t="str">
        <f aca="false">IF($K187="","",IF(INDEX('Prospect Tracker'!$J$5:$J$554,$K187)="","",INDEX('Prospect Tracker'!$J$5:$J$554,$K187)))</f>
        <v/>
      </c>
      <c r="G187" s="6" t="str">
        <f aca="false">IF($K187="","",IF(INDEX('Prospect Tracker'!$H$5:$H$554,$K187)="","",INDEX('Prospect Tracker'!$H$5:$H$554,$K187)))</f>
        <v/>
      </c>
      <c r="H187" s="7" t="str">
        <f aca="false">IF($K187="","",IF(INDEX('Prospect Tracker'!$K$5:$K$554,$K187)="","",INDEX('Prospect Tracker'!$K$5:$K$554,$K187)))</f>
        <v/>
      </c>
      <c r="I187" s="6" t="str">
        <f aca="false">IF($K187="","",IF(INDEX('Prospect Tracker'!$T$5:$T$554,$K187)="","",INDEX('Prospect Tracker'!$T$5:$T$554,$K187)))</f>
        <v/>
      </c>
      <c r="J187" s="6" t="str">
        <f aca="false">IF($K187="","",IF(INDEX('Prospect Tracker'!$L$5:$L$554,$K187)="","",INDEX('Prospect Tracker'!$L$5:$L$554,$K187)))</f>
        <v/>
      </c>
      <c r="K187" s="1" t="n">
        <f aca="false">IFERROR(MATCH(SMALL('Prospect Tracker'!$X$5:$X$554,ROW()-4),'Prospect Tracker'!$X$5:$X$554,0),"")</f>
        <v>183</v>
      </c>
    </row>
    <row r="188" customFormat="false" ht="15" hidden="false" customHeight="true" outlineLevel="0" collapsed="false">
      <c r="A188" s="11" t="str">
        <f aca="false">IF($K188="","",IF(INDEX('Prospect Tracker'!$W$5:$W$554,$K188)="","",INDEX('Prospect Tracker'!$W$5:$W$554,$K188)))</f>
        <v/>
      </c>
      <c r="B188" s="11" t="str">
        <f aca="false">IF($K188="","",IF(INDEX('Prospect Tracker'!$A$5:$A$554,$K188)="","",INDEX('Prospect Tracker'!$A$5:$A$554,$K188)))</f>
        <v/>
      </c>
      <c r="C188" s="11" t="str">
        <f aca="false">IF($K188="","",IF(INDEX('Prospect Tracker'!$B$5:$B$554,$K188)="","",INDEX('Prospect Tracker'!$B$5:$B$554,$K188)))</f>
        <v/>
      </c>
      <c r="D188" s="11" t="str">
        <f aca="false">IF($K188="","",IF(INDEX('Prospect Tracker'!$M$5:$M$554,$K188)="","",INDEX('Prospect Tracker'!$M$5:$M$554,$K188)))</f>
        <v/>
      </c>
      <c r="E188" s="11" t="str">
        <f aca="false">IF($K188="","",IF(INDEX('Prospect Tracker'!$R$5:$R$554,$K188)="","",INDEX('Prospect Tracker'!$R$5:$R$554,$K188)))</f>
        <v/>
      </c>
      <c r="F188" s="11" t="str">
        <f aca="false">IF($K188="","",IF(INDEX('Prospect Tracker'!$J$5:$J$554,$K188)="","",INDEX('Prospect Tracker'!$J$5:$J$554,$K188)))</f>
        <v/>
      </c>
      <c r="G188" s="11" t="str">
        <f aca="false">IF($K188="","",IF(INDEX('Prospect Tracker'!$H$5:$H$554,$K188)="","",INDEX('Prospect Tracker'!$H$5:$H$554,$K188)))</f>
        <v/>
      </c>
      <c r="H188" s="12" t="str">
        <f aca="false">IF($K188="","",IF(INDEX('Prospect Tracker'!$K$5:$K$554,$K188)="","",INDEX('Prospect Tracker'!$K$5:$K$554,$K188)))</f>
        <v/>
      </c>
      <c r="I188" s="11" t="str">
        <f aca="false">IF($K188="","",IF(INDEX('Prospect Tracker'!$T$5:$T$554,$K188)="","",INDEX('Prospect Tracker'!$T$5:$T$554,$K188)))</f>
        <v/>
      </c>
      <c r="J188" s="11" t="str">
        <f aca="false">IF($K188="","",IF(INDEX('Prospect Tracker'!$L$5:$L$554,$K188)="","",INDEX('Prospect Tracker'!$L$5:$L$554,$K188)))</f>
        <v/>
      </c>
      <c r="K188" s="1" t="n">
        <f aca="false">IFERROR(MATCH(SMALL('Prospect Tracker'!$X$5:$X$554,ROW()-4),'Prospect Tracker'!$X$5:$X$554,0),"")</f>
        <v>184</v>
      </c>
    </row>
    <row r="189" customFormat="false" ht="15" hidden="false" customHeight="true" outlineLevel="0" collapsed="false">
      <c r="A189" s="6" t="str">
        <f aca="false">IF($K189="","",IF(INDEX('Prospect Tracker'!$W$5:$W$554,$K189)="","",INDEX('Prospect Tracker'!$W$5:$W$554,$K189)))</f>
        <v/>
      </c>
      <c r="B189" s="6" t="str">
        <f aca="false">IF($K189="","",IF(INDEX('Prospect Tracker'!$A$5:$A$554,$K189)="","",INDEX('Prospect Tracker'!$A$5:$A$554,$K189)))</f>
        <v/>
      </c>
      <c r="C189" s="6" t="str">
        <f aca="false">IF($K189="","",IF(INDEX('Prospect Tracker'!$B$5:$B$554,$K189)="","",INDEX('Prospect Tracker'!$B$5:$B$554,$K189)))</f>
        <v/>
      </c>
      <c r="D189" s="6" t="str">
        <f aca="false">IF($K189="","",IF(INDEX('Prospect Tracker'!$M$5:$M$554,$K189)="","",INDEX('Prospect Tracker'!$M$5:$M$554,$K189)))</f>
        <v/>
      </c>
      <c r="E189" s="6" t="str">
        <f aca="false">IF($K189="","",IF(INDEX('Prospect Tracker'!$R$5:$R$554,$K189)="","",INDEX('Prospect Tracker'!$R$5:$R$554,$K189)))</f>
        <v/>
      </c>
      <c r="F189" s="6" t="str">
        <f aca="false">IF($K189="","",IF(INDEX('Prospect Tracker'!$J$5:$J$554,$K189)="","",INDEX('Prospect Tracker'!$J$5:$J$554,$K189)))</f>
        <v/>
      </c>
      <c r="G189" s="6" t="str">
        <f aca="false">IF($K189="","",IF(INDEX('Prospect Tracker'!$H$5:$H$554,$K189)="","",INDEX('Prospect Tracker'!$H$5:$H$554,$K189)))</f>
        <v/>
      </c>
      <c r="H189" s="7" t="str">
        <f aca="false">IF($K189="","",IF(INDEX('Prospect Tracker'!$K$5:$K$554,$K189)="","",INDEX('Prospect Tracker'!$K$5:$K$554,$K189)))</f>
        <v/>
      </c>
      <c r="I189" s="6" t="str">
        <f aca="false">IF($K189="","",IF(INDEX('Prospect Tracker'!$T$5:$T$554,$K189)="","",INDEX('Prospect Tracker'!$T$5:$T$554,$K189)))</f>
        <v/>
      </c>
      <c r="J189" s="6" t="str">
        <f aca="false">IF($K189="","",IF(INDEX('Prospect Tracker'!$L$5:$L$554,$K189)="","",INDEX('Prospect Tracker'!$L$5:$L$554,$K189)))</f>
        <v/>
      </c>
      <c r="K189" s="1" t="n">
        <f aca="false">IFERROR(MATCH(SMALL('Prospect Tracker'!$X$5:$X$554,ROW()-4),'Prospect Tracker'!$X$5:$X$554,0),"")</f>
        <v>185</v>
      </c>
    </row>
    <row r="190" customFormat="false" ht="15" hidden="false" customHeight="true" outlineLevel="0" collapsed="false">
      <c r="A190" s="11" t="str">
        <f aca="false">IF($K190="","",IF(INDEX('Prospect Tracker'!$W$5:$W$554,$K190)="","",INDEX('Prospect Tracker'!$W$5:$W$554,$K190)))</f>
        <v/>
      </c>
      <c r="B190" s="11" t="str">
        <f aca="false">IF($K190="","",IF(INDEX('Prospect Tracker'!$A$5:$A$554,$K190)="","",INDEX('Prospect Tracker'!$A$5:$A$554,$K190)))</f>
        <v/>
      </c>
      <c r="C190" s="11" t="str">
        <f aca="false">IF($K190="","",IF(INDEX('Prospect Tracker'!$B$5:$B$554,$K190)="","",INDEX('Prospect Tracker'!$B$5:$B$554,$K190)))</f>
        <v/>
      </c>
      <c r="D190" s="11" t="str">
        <f aca="false">IF($K190="","",IF(INDEX('Prospect Tracker'!$M$5:$M$554,$K190)="","",INDEX('Prospect Tracker'!$M$5:$M$554,$K190)))</f>
        <v/>
      </c>
      <c r="E190" s="11" t="str">
        <f aca="false">IF($K190="","",IF(INDEX('Prospect Tracker'!$R$5:$R$554,$K190)="","",INDEX('Prospect Tracker'!$R$5:$R$554,$K190)))</f>
        <v/>
      </c>
      <c r="F190" s="11" t="str">
        <f aca="false">IF($K190="","",IF(INDEX('Prospect Tracker'!$J$5:$J$554,$K190)="","",INDEX('Prospect Tracker'!$J$5:$J$554,$K190)))</f>
        <v/>
      </c>
      <c r="G190" s="11" t="str">
        <f aca="false">IF($K190="","",IF(INDEX('Prospect Tracker'!$H$5:$H$554,$K190)="","",INDEX('Prospect Tracker'!$H$5:$H$554,$K190)))</f>
        <v/>
      </c>
      <c r="H190" s="12" t="str">
        <f aca="false">IF($K190="","",IF(INDEX('Prospect Tracker'!$K$5:$K$554,$K190)="","",INDEX('Prospect Tracker'!$K$5:$K$554,$K190)))</f>
        <v/>
      </c>
      <c r="I190" s="11" t="str">
        <f aca="false">IF($K190="","",IF(INDEX('Prospect Tracker'!$T$5:$T$554,$K190)="","",INDEX('Prospect Tracker'!$T$5:$T$554,$K190)))</f>
        <v/>
      </c>
      <c r="J190" s="11" t="str">
        <f aca="false">IF($K190="","",IF(INDEX('Prospect Tracker'!$L$5:$L$554,$K190)="","",INDEX('Prospect Tracker'!$L$5:$L$554,$K190)))</f>
        <v/>
      </c>
      <c r="K190" s="1" t="n">
        <f aca="false">IFERROR(MATCH(SMALL('Prospect Tracker'!$X$5:$X$554,ROW()-4),'Prospect Tracker'!$X$5:$X$554,0),"")</f>
        <v>186</v>
      </c>
    </row>
    <row r="191" customFormat="false" ht="15" hidden="false" customHeight="true" outlineLevel="0" collapsed="false">
      <c r="A191" s="6" t="str">
        <f aca="false">IF($K191="","",IF(INDEX('Prospect Tracker'!$W$5:$W$554,$K191)="","",INDEX('Prospect Tracker'!$W$5:$W$554,$K191)))</f>
        <v/>
      </c>
      <c r="B191" s="6" t="str">
        <f aca="false">IF($K191="","",IF(INDEX('Prospect Tracker'!$A$5:$A$554,$K191)="","",INDEX('Prospect Tracker'!$A$5:$A$554,$K191)))</f>
        <v/>
      </c>
      <c r="C191" s="6" t="str">
        <f aca="false">IF($K191="","",IF(INDEX('Prospect Tracker'!$B$5:$B$554,$K191)="","",INDEX('Prospect Tracker'!$B$5:$B$554,$K191)))</f>
        <v/>
      </c>
      <c r="D191" s="6" t="str">
        <f aca="false">IF($K191="","",IF(INDEX('Prospect Tracker'!$M$5:$M$554,$K191)="","",INDEX('Prospect Tracker'!$M$5:$M$554,$K191)))</f>
        <v/>
      </c>
      <c r="E191" s="6" t="str">
        <f aca="false">IF($K191="","",IF(INDEX('Prospect Tracker'!$R$5:$R$554,$K191)="","",INDEX('Prospect Tracker'!$R$5:$R$554,$K191)))</f>
        <v/>
      </c>
      <c r="F191" s="6" t="str">
        <f aca="false">IF($K191="","",IF(INDEX('Prospect Tracker'!$J$5:$J$554,$K191)="","",INDEX('Prospect Tracker'!$J$5:$J$554,$K191)))</f>
        <v/>
      </c>
      <c r="G191" s="6" t="str">
        <f aca="false">IF($K191="","",IF(INDEX('Prospect Tracker'!$H$5:$H$554,$K191)="","",INDEX('Prospect Tracker'!$H$5:$H$554,$K191)))</f>
        <v/>
      </c>
      <c r="H191" s="7" t="str">
        <f aca="false">IF($K191="","",IF(INDEX('Prospect Tracker'!$K$5:$K$554,$K191)="","",INDEX('Prospect Tracker'!$K$5:$K$554,$K191)))</f>
        <v/>
      </c>
      <c r="I191" s="6" t="str">
        <f aca="false">IF($K191="","",IF(INDEX('Prospect Tracker'!$T$5:$T$554,$K191)="","",INDEX('Prospect Tracker'!$T$5:$T$554,$K191)))</f>
        <v/>
      </c>
      <c r="J191" s="6" t="str">
        <f aca="false">IF($K191="","",IF(INDEX('Prospect Tracker'!$L$5:$L$554,$K191)="","",INDEX('Prospect Tracker'!$L$5:$L$554,$K191)))</f>
        <v/>
      </c>
      <c r="K191" s="1" t="n">
        <f aca="false">IFERROR(MATCH(SMALL('Prospect Tracker'!$X$5:$X$554,ROW()-4),'Prospect Tracker'!$X$5:$X$554,0),"")</f>
        <v>187</v>
      </c>
    </row>
    <row r="192" customFormat="false" ht="15" hidden="false" customHeight="true" outlineLevel="0" collapsed="false">
      <c r="A192" s="11" t="str">
        <f aca="false">IF($K192="","",IF(INDEX('Prospect Tracker'!$W$5:$W$554,$K192)="","",INDEX('Prospect Tracker'!$W$5:$W$554,$K192)))</f>
        <v/>
      </c>
      <c r="B192" s="11" t="str">
        <f aca="false">IF($K192="","",IF(INDEX('Prospect Tracker'!$A$5:$A$554,$K192)="","",INDEX('Prospect Tracker'!$A$5:$A$554,$K192)))</f>
        <v/>
      </c>
      <c r="C192" s="11" t="str">
        <f aca="false">IF($K192="","",IF(INDEX('Prospect Tracker'!$B$5:$B$554,$K192)="","",INDEX('Prospect Tracker'!$B$5:$B$554,$K192)))</f>
        <v/>
      </c>
      <c r="D192" s="11" t="str">
        <f aca="false">IF($K192="","",IF(INDEX('Prospect Tracker'!$M$5:$M$554,$K192)="","",INDEX('Prospect Tracker'!$M$5:$M$554,$K192)))</f>
        <v/>
      </c>
      <c r="E192" s="11" t="str">
        <f aca="false">IF($K192="","",IF(INDEX('Prospect Tracker'!$R$5:$R$554,$K192)="","",INDEX('Prospect Tracker'!$R$5:$R$554,$K192)))</f>
        <v/>
      </c>
      <c r="F192" s="11" t="str">
        <f aca="false">IF($K192="","",IF(INDEX('Prospect Tracker'!$J$5:$J$554,$K192)="","",INDEX('Prospect Tracker'!$J$5:$J$554,$K192)))</f>
        <v/>
      </c>
      <c r="G192" s="11" t="str">
        <f aca="false">IF($K192="","",IF(INDEX('Prospect Tracker'!$H$5:$H$554,$K192)="","",INDEX('Prospect Tracker'!$H$5:$H$554,$K192)))</f>
        <v/>
      </c>
      <c r="H192" s="12" t="str">
        <f aca="false">IF($K192="","",IF(INDEX('Prospect Tracker'!$K$5:$K$554,$K192)="","",INDEX('Prospect Tracker'!$K$5:$K$554,$K192)))</f>
        <v/>
      </c>
      <c r="I192" s="11" t="str">
        <f aca="false">IF($K192="","",IF(INDEX('Prospect Tracker'!$T$5:$T$554,$K192)="","",INDEX('Prospect Tracker'!$T$5:$T$554,$K192)))</f>
        <v/>
      </c>
      <c r="J192" s="11" t="str">
        <f aca="false">IF($K192="","",IF(INDEX('Prospect Tracker'!$L$5:$L$554,$K192)="","",INDEX('Prospect Tracker'!$L$5:$L$554,$K192)))</f>
        <v/>
      </c>
      <c r="K192" s="1" t="n">
        <f aca="false">IFERROR(MATCH(SMALL('Prospect Tracker'!$X$5:$X$554,ROW()-4),'Prospect Tracker'!$X$5:$X$554,0),"")</f>
        <v>188</v>
      </c>
    </row>
    <row r="193" customFormat="false" ht="15" hidden="false" customHeight="true" outlineLevel="0" collapsed="false">
      <c r="A193" s="6" t="str">
        <f aca="false">IF($K193="","",IF(INDEX('Prospect Tracker'!$W$5:$W$554,$K193)="","",INDEX('Prospect Tracker'!$W$5:$W$554,$K193)))</f>
        <v/>
      </c>
      <c r="B193" s="6" t="str">
        <f aca="false">IF($K193="","",IF(INDEX('Prospect Tracker'!$A$5:$A$554,$K193)="","",INDEX('Prospect Tracker'!$A$5:$A$554,$K193)))</f>
        <v/>
      </c>
      <c r="C193" s="6" t="str">
        <f aca="false">IF($K193="","",IF(INDEX('Prospect Tracker'!$B$5:$B$554,$K193)="","",INDEX('Prospect Tracker'!$B$5:$B$554,$K193)))</f>
        <v/>
      </c>
      <c r="D193" s="6" t="str">
        <f aca="false">IF($K193="","",IF(INDEX('Prospect Tracker'!$M$5:$M$554,$K193)="","",INDEX('Prospect Tracker'!$M$5:$M$554,$K193)))</f>
        <v/>
      </c>
      <c r="E193" s="6" t="str">
        <f aca="false">IF($K193="","",IF(INDEX('Prospect Tracker'!$R$5:$R$554,$K193)="","",INDEX('Prospect Tracker'!$R$5:$R$554,$K193)))</f>
        <v/>
      </c>
      <c r="F193" s="6" t="str">
        <f aca="false">IF($K193="","",IF(INDEX('Prospect Tracker'!$J$5:$J$554,$K193)="","",INDEX('Prospect Tracker'!$J$5:$J$554,$K193)))</f>
        <v/>
      </c>
      <c r="G193" s="6" t="str">
        <f aca="false">IF($K193="","",IF(INDEX('Prospect Tracker'!$H$5:$H$554,$K193)="","",INDEX('Prospect Tracker'!$H$5:$H$554,$K193)))</f>
        <v/>
      </c>
      <c r="H193" s="7" t="str">
        <f aca="false">IF($K193="","",IF(INDEX('Prospect Tracker'!$K$5:$K$554,$K193)="","",INDEX('Prospect Tracker'!$K$5:$K$554,$K193)))</f>
        <v/>
      </c>
      <c r="I193" s="6" t="str">
        <f aca="false">IF($K193="","",IF(INDEX('Prospect Tracker'!$T$5:$T$554,$K193)="","",INDEX('Prospect Tracker'!$T$5:$T$554,$K193)))</f>
        <v/>
      </c>
      <c r="J193" s="6" t="str">
        <f aca="false">IF($K193="","",IF(INDEX('Prospect Tracker'!$L$5:$L$554,$K193)="","",INDEX('Prospect Tracker'!$L$5:$L$554,$K193)))</f>
        <v/>
      </c>
      <c r="K193" s="1" t="n">
        <f aca="false">IFERROR(MATCH(SMALL('Prospect Tracker'!$X$5:$X$554,ROW()-4),'Prospect Tracker'!$X$5:$X$554,0),"")</f>
        <v>189</v>
      </c>
    </row>
    <row r="194" customFormat="false" ht="15" hidden="false" customHeight="true" outlineLevel="0" collapsed="false">
      <c r="A194" s="11" t="str">
        <f aca="false">IF($K194="","",IF(INDEX('Prospect Tracker'!$W$5:$W$554,$K194)="","",INDEX('Prospect Tracker'!$W$5:$W$554,$K194)))</f>
        <v/>
      </c>
      <c r="B194" s="11" t="str">
        <f aca="false">IF($K194="","",IF(INDEX('Prospect Tracker'!$A$5:$A$554,$K194)="","",INDEX('Prospect Tracker'!$A$5:$A$554,$K194)))</f>
        <v/>
      </c>
      <c r="C194" s="11" t="str">
        <f aca="false">IF($K194="","",IF(INDEX('Prospect Tracker'!$B$5:$B$554,$K194)="","",INDEX('Prospect Tracker'!$B$5:$B$554,$K194)))</f>
        <v/>
      </c>
      <c r="D194" s="11" t="str">
        <f aca="false">IF($K194="","",IF(INDEX('Prospect Tracker'!$M$5:$M$554,$K194)="","",INDEX('Prospect Tracker'!$M$5:$M$554,$K194)))</f>
        <v/>
      </c>
      <c r="E194" s="11" t="str">
        <f aca="false">IF($K194="","",IF(INDEX('Prospect Tracker'!$R$5:$R$554,$K194)="","",INDEX('Prospect Tracker'!$R$5:$R$554,$K194)))</f>
        <v/>
      </c>
      <c r="F194" s="11" t="str">
        <f aca="false">IF($K194="","",IF(INDEX('Prospect Tracker'!$J$5:$J$554,$K194)="","",INDEX('Prospect Tracker'!$J$5:$J$554,$K194)))</f>
        <v/>
      </c>
      <c r="G194" s="11" t="str">
        <f aca="false">IF($K194="","",IF(INDEX('Prospect Tracker'!$H$5:$H$554,$K194)="","",INDEX('Prospect Tracker'!$H$5:$H$554,$K194)))</f>
        <v/>
      </c>
      <c r="H194" s="12" t="str">
        <f aca="false">IF($K194="","",IF(INDEX('Prospect Tracker'!$K$5:$K$554,$K194)="","",INDEX('Prospect Tracker'!$K$5:$K$554,$K194)))</f>
        <v/>
      </c>
      <c r="I194" s="11" t="str">
        <f aca="false">IF($K194="","",IF(INDEX('Prospect Tracker'!$T$5:$T$554,$K194)="","",INDEX('Prospect Tracker'!$T$5:$T$554,$K194)))</f>
        <v/>
      </c>
      <c r="J194" s="11" t="str">
        <f aca="false">IF($K194="","",IF(INDEX('Prospect Tracker'!$L$5:$L$554,$K194)="","",INDEX('Prospect Tracker'!$L$5:$L$554,$K194)))</f>
        <v/>
      </c>
      <c r="K194" s="1" t="n">
        <f aca="false">IFERROR(MATCH(SMALL('Prospect Tracker'!$X$5:$X$554,ROW()-4),'Prospect Tracker'!$X$5:$X$554,0),"")</f>
        <v>190</v>
      </c>
    </row>
    <row r="195" customFormat="false" ht="15" hidden="false" customHeight="true" outlineLevel="0" collapsed="false">
      <c r="A195" s="6" t="str">
        <f aca="false">IF($K195="","",IF(INDEX('Prospect Tracker'!$W$5:$W$554,$K195)="","",INDEX('Prospect Tracker'!$W$5:$W$554,$K195)))</f>
        <v/>
      </c>
      <c r="B195" s="6" t="str">
        <f aca="false">IF($K195="","",IF(INDEX('Prospect Tracker'!$A$5:$A$554,$K195)="","",INDEX('Prospect Tracker'!$A$5:$A$554,$K195)))</f>
        <v/>
      </c>
      <c r="C195" s="6" t="str">
        <f aca="false">IF($K195="","",IF(INDEX('Prospect Tracker'!$B$5:$B$554,$K195)="","",INDEX('Prospect Tracker'!$B$5:$B$554,$K195)))</f>
        <v/>
      </c>
      <c r="D195" s="6" t="str">
        <f aca="false">IF($K195="","",IF(INDEX('Prospect Tracker'!$M$5:$M$554,$K195)="","",INDEX('Prospect Tracker'!$M$5:$M$554,$K195)))</f>
        <v/>
      </c>
      <c r="E195" s="6" t="str">
        <f aca="false">IF($K195="","",IF(INDEX('Prospect Tracker'!$R$5:$R$554,$K195)="","",INDEX('Prospect Tracker'!$R$5:$R$554,$K195)))</f>
        <v/>
      </c>
      <c r="F195" s="6" t="str">
        <f aca="false">IF($K195="","",IF(INDEX('Prospect Tracker'!$J$5:$J$554,$K195)="","",INDEX('Prospect Tracker'!$J$5:$J$554,$K195)))</f>
        <v/>
      </c>
      <c r="G195" s="6" t="str">
        <f aca="false">IF($K195="","",IF(INDEX('Prospect Tracker'!$H$5:$H$554,$K195)="","",INDEX('Prospect Tracker'!$H$5:$H$554,$K195)))</f>
        <v/>
      </c>
      <c r="H195" s="7" t="str">
        <f aca="false">IF($K195="","",IF(INDEX('Prospect Tracker'!$K$5:$K$554,$K195)="","",INDEX('Prospect Tracker'!$K$5:$K$554,$K195)))</f>
        <v/>
      </c>
      <c r="I195" s="6" t="str">
        <f aca="false">IF($K195="","",IF(INDEX('Prospect Tracker'!$T$5:$T$554,$K195)="","",INDEX('Prospect Tracker'!$T$5:$T$554,$K195)))</f>
        <v/>
      </c>
      <c r="J195" s="6" t="str">
        <f aca="false">IF($K195="","",IF(INDEX('Prospect Tracker'!$L$5:$L$554,$K195)="","",INDEX('Prospect Tracker'!$L$5:$L$554,$K195)))</f>
        <v/>
      </c>
      <c r="K195" s="1" t="n">
        <f aca="false">IFERROR(MATCH(SMALL('Prospect Tracker'!$X$5:$X$554,ROW()-4),'Prospect Tracker'!$X$5:$X$554,0),"")</f>
        <v>191</v>
      </c>
    </row>
    <row r="196" customFormat="false" ht="15" hidden="false" customHeight="true" outlineLevel="0" collapsed="false">
      <c r="A196" s="11" t="str">
        <f aca="false">IF($K196="","",IF(INDEX('Prospect Tracker'!$W$5:$W$554,$K196)="","",INDEX('Prospect Tracker'!$W$5:$W$554,$K196)))</f>
        <v/>
      </c>
      <c r="B196" s="11" t="str">
        <f aca="false">IF($K196="","",IF(INDEX('Prospect Tracker'!$A$5:$A$554,$K196)="","",INDEX('Prospect Tracker'!$A$5:$A$554,$K196)))</f>
        <v/>
      </c>
      <c r="C196" s="11" t="str">
        <f aca="false">IF($K196="","",IF(INDEX('Prospect Tracker'!$B$5:$B$554,$K196)="","",INDEX('Prospect Tracker'!$B$5:$B$554,$K196)))</f>
        <v/>
      </c>
      <c r="D196" s="11" t="str">
        <f aca="false">IF($K196="","",IF(INDEX('Prospect Tracker'!$M$5:$M$554,$K196)="","",INDEX('Prospect Tracker'!$M$5:$M$554,$K196)))</f>
        <v/>
      </c>
      <c r="E196" s="11" t="str">
        <f aca="false">IF($K196="","",IF(INDEX('Prospect Tracker'!$R$5:$R$554,$K196)="","",INDEX('Prospect Tracker'!$R$5:$R$554,$K196)))</f>
        <v/>
      </c>
      <c r="F196" s="11" t="str">
        <f aca="false">IF($K196="","",IF(INDEX('Prospect Tracker'!$J$5:$J$554,$K196)="","",INDEX('Prospect Tracker'!$J$5:$J$554,$K196)))</f>
        <v/>
      </c>
      <c r="G196" s="11" t="str">
        <f aca="false">IF($K196="","",IF(INDEX('Prospect Tracker'!$H$5:$H$554,$K196)="","",INDEX('Prospect Tracker'!$H$5:$H$554,$K196)))</f>
        <v/>
      </c>
      <c r="H196" s="12" t="str">
        <f aca="false">IF($K196="","",IF(INDEX('Prospect Tracker'!$K$5:$K$554,$K196)="","",INDEX('Prospect Tracker'!$K$5:$K$554,$K196)))</f>
        <v/>
      </c>
      <c r="I196" s="11" t="str">
        <f aca="false">IF($K196="","",IF(INDEX('Prospect Tracker'!$T$5:$T$554,$K196)="","",INDEX('Prospect Tracker'!$T$5:$T$554,$K196)))</f>
        <v/>
      </c>
      <c r="J196" s="11" t="str">
        <f aca="false">IF($K196="","",IF(INDEX('Prospect Tracker'!$L$5:$L$554,$K196)="","",INDEX('Prospect Tracker'!$L$5:$L$554,$K196)))</f>
        <v/>
      </c>
      <c r="K196" s="1" t="n">
        <f aca="false">IFERROR(MATCH(SMALL('Prospect Tracker'!$X$5:$X$554,ROW()-4),'Prospect Tracker'!$X$5:$X$554,0),"")</f>
        <v>192</v>
      </c>
    </row>
    <row r="197" customFormat="false" ht="15" hidden="false" customHeight="true" outlineLevel="0" collapsed="false">
      <c r="A197" s="6" t="str">
        <f aca="false">IF($K197="","",IF(INDEX('Prospect Tracker'!$W$5:$W$554,$K197)="","",INDEX('Prospect Tracker'!$W$5:$W$554,$K197)))</f>
        <v/>
      </c>
      <c r="B197" s="6" t="str">
        <f aca="false">IF($K197="","",IF(INDEX('Prospect Tracker'!$A$5:$A$554,$K197)="","",INDEX('Prospect Tracker'!$A$5:$A$554,$K197)))</f>
        <v/>
      </c>
      <c r="C197" s="6" t="str">
        <f aca="false">IF($K197="","",IF(INDEX('Prospect Tracker'!$B$5:$B$554,$K197)="","",INDEX('Prospect Tracker'!$B$5:$B$554,$K197)))</f>
        <v/>
      </c>
      <c r="D197" s="6" t="str">
        <f aca="false">IF($K197="","",IF(INDEX('Prospect Tracker'!$M$5:$M$554,$K197)="","",INDEX('Prospect Tracker'!$M$5:$M$554,$K197)))</f>
        <v/>
      </c>
      <c r="E197" s="6" t="str">
        <f aca="false">IF($K197="","",IF(INDEX('Prospect Tracker'!$R$5:$R$554,$K197)="","",INDEX('Prospect Tracker'!$R$5:$R$554,$K197)))</f>
        <v/>
      </c>
      <c r="F197" s="6" t="str">
        <f aca="false">IF($K197="","",IF(INDEX('Prospect Tracker'!$J$5:$J$554,$K197)="","",INDEX('Prospect Tracker'!$J$5:$J$554,$K197)))</f>
        <v/>
      </c>
      <c r="G197" s="6" t="str">
        <f aca="false">IF($K197="","",IF(INDEX('Prospect Tracker'!$H$5:$H$554,$K197)="","",INDEX('Prospect Tracker'!$H$5:$H$554,$K197)))</f>
        <v/>
      </c>
      <c r="H197" s="7" t="str">
        <f aca="false">IF($K197="","",IF(INDEX('Prospect Tracker'!$K$5:$K$554,$K197)="","",INDEX('Prospect Tracker'!$K$5:$K$554,$K197)))</f>
        <v/>
      </c>
      <c r="I197" s="6" t="str">
        <f aca="false">IF($K197="","",IF(INDEX('Prospect Tracker'!$T$5:$T$554,$K197)="","",INDEX('Prospect Tracker'!$T$5:$T$554,$K197)))</f>
        <v/>
      </c>
      <c r="J197" s="6" t="str">
        <f aca="false">IF($K197="","",IF(INDEX('Prospect Tracker'!$L$5:$L$554,$K197)="","",INDEX('Prospect Tracker'!$L$5:$L$554,$K197)))</f>
        <v/>
      </c>
      <c r="K197" s="1" t="n">
        <f aca="false">IFERROR(MATCH(SMALL('Prospect Tracker'!$X$5:$X$554,ROW()-4),'Prospect Tracker'!$X$5:$X$554,0),"")</f>
        <v>193</v>
      </c>
    </row>
    <row r="198" customFormat="false" ht="15" hidden="false" customHeight="true" outlineLevel="0" collapsed="false">
      <c r="A198" s="11" t="str">
        <f aca="false">IF($K198="","",IF(INDEX('Prospect Tracker'!$W$5:$W$554,$K198)="","",INDEX('Prospect Tracker'!$W$5:$W$554,$K198)))</f>
        <v/>
      </c>
      <c r="B198" s="11" t="str">
        <f aca="false">IF($K198="","",IF(INDEX('Prospect Tracker'!$A$5:$A$554,$K198)="","",INDEX('Prospect Tracker'!$A$5:$A$554,$K198)))</f>
        <v/>
      </c>
      <c r="C198" s="11" t="str">
        <f aca="false">IF($K198="","",IF(INDEX('Prospect Tracker'!$B$5:$B$554,$K198)="","",INDEX('Prospect Tracker'!$B$5:$B$554,$K198)))</f>
        <v/>
      </c>
      <c r="D198" s="11" t="str">
        <f aca="false">IF($K198="","",IF(INDEX('Prospect Tracker'!$M$5:$M$554,$K198)="","",INDEX('Prospect Tracker'!$M$5:$M$554,$K198)))</f>
        <v/>
      </c>
      <c r="E198" s="11" t="str">
        <f aca="false">IF($K198="","",IF(INDEX('Prospect Tracker'!$R$5:$R$554,$K198)="","",INDEX('Prospect Tracker'!$R$5:$R$554,$K198)))</f>
        <v/>
      </c>
      <c r="F198" s="11" t="str">
        <f aca="false">IF($K198="","",IF(INDEX('Prospect Tracker'!$J$5:$J$554,$K198)="","",INDEX('Prospect Tracker'!$J$5:$J$554,$K198)))</f>
        <v/>
      </c>
      <c r="G198" s="11" t="str">
        <f aca="false">IF($K198="","",IF(INDEX('Prospect Tracker'!$H$5:$H$554,$K198)="","",INDEX('Prospect Tracker'!$H$5:$H$554,$K198)))</f>
        <v/>
      </c>
      <c r="H198" s="12" t="str">
        <f aca="false">IF($K198="","",IF(INDEX('Prospect Tracker'!$K$5:$K$554,$K198)="","",INDEX('Prospect Tracker'!$K$5:$K$554,$K198)))</f>
        <v/>
      </c>
      <c r="I198" s="11" t="str">
        <f aca="false">IF($K198="","",IF(INDEX('Prospect Tracker'!$T$5:$T$554,$K198)="","",INDEX('Prospect Tracker'!$T$5:$T$554,$K198)))</f>
        <v/>
      </c>
      <c r="J198" s="11" t="str">
        <f aca="false">IF($K198="","",IF(INDEX('Prospect Tracker'!$L$5:$L$554,$K198)="","",INDEX('Prospect Tracker'!$L$5:$L$554,$K198)))</f>
        <v/>
      </c>
      <c r="K198" s="1" t="n">
        <f aca="false">IFERROR(MATCH(SMALL('Prospect Tracker'!$X$5:$X$554,ROW()-4),'Prospect Tracker'!$X$5:$X$554,0),"")</f>
        <v>194</v>
      </c>
    </row>
    <row r="199" customFormat="false" ht="15" hidden="false" customHeight="true" outlineLevel="0" collapsed="false">
      <c r="A199" s="6" t="str">
        <f aca="false">IF($K199="","",IF(INDEX('Prospect Tracker'!$W$5:$W$554,$K199)="","",INDEX('Prospect Tracker'!$W$5:$W$554,$K199)))</f>
        <v/>
      </c>
      <c r="B199" s="6" t="str">
        <f aca="false">IF($K199="","",IF(INDEX('Prospect Tracker'!$A$5:$A$554,$K199)="","",INDEX('Prospect Tracker'!$A$5:$A$554,$K199)))</f>
        <v/>
      </c>
      <c r="C199" s="6" t="str">
        <f aca="false">IF($K199="","",IF(INDEX('Prospect Tracker'!$B$5:$B$554,$K199)="","",INDEX('Prospect Tracker'!$B$5:$B$554,$K199)))</f>
        <v/>
      </c>
      <c r="D199" s="6" t="str">
        <f aca="false">IF($K199="","",IF(INDEX('Prospect Tracker'!$M$5:$M$554,$K199)="","",INDEX('Prospect Tracker'!$M$5:$M$554,$K199)))</f>
        <v/>
      </c>
      <c r="E199" s="6" t="str">
        <f aca="false">IF($K199="","",IF(INDEX('Prospect Tracker'!$R$5:$R$554,$K199)="","",INDEX('Prospect Tracker'!$R$5:$R$554,$K199)))</f>
        <v/>
      </c>
      <c r="F199" s="6" t="str">
        <f aca="false">IF($K199="","",IF(INDEX('Prospect Tracker'!$J$5:$J$554,$K199)="","",INDEX('Prospect Tracker'!$J$5:$J$554,$K199)))</f>
        <v/>
      </c>
      <c r="G199" s="6" t="str">
        <f aca="false">IF($K199="","",IF(INDEX('Prospect Tracker'!$H$5:$H$554,$K199)="","",INDEX('Prospect Tracker'!$H$5:$H$554,$K199)))</f>
        <v/>
      </c>
      <c r="H199" s="7" t="str">
        <f aca="false">IF($K199="","",IF(INDEX('Prospect Tracker'!$K$5:$K$554,$K199)="","",INDEX('Prospect Tracker'!$K$5:$K$554,$K199)))</f>
        <v/>
      </c>
      <c r="I199" s="6" t="str">
        <f aca="false">IF($K199="","",IF(INDEX('Prospect Tracker'!$T$5:$T$554,$K199)="","",INDEX('Prospect Tracker'!$T$5:$T$554,$K199)))</f>
        <v/>
      </c>
      <c r="J199" s="6" t="str">
        <f aca="false">IF($K199="","",IF(INDEX('Prospect Tracker'!$L$5:$L$554,$K199)="","",INDEX('Prospect Tracker'!$L$5:$L$554,$K199)))</f>
        <v/>
      </c>
      <c r="K199" s="1" t="n">
        <f aca="false">IFERROR(MATCH(SMALL('Prospect Tracker'!$X$5:$X$554,ROW()-4),'Prospect Tracker'!$X$5:$X$554,0),"")</f>
        <v>195</v>
      </c>
    </row>
    <row r="200" customFormat="false" ht="15" hidden="false" customHeight="true" outlineLevel="0" collapsed="false">
      <c r="A200" s="11" t="str">
        <f aca="false">IF($K200="","",IF(INDEX('Prospect Tracker'!$W$5:$W$554,$K200)="","",INDEX('Prospect Tracker'!$W$5:$W$554,$K200)))</f>
        <v/>
      </c>
      <c r="B200" s="11" t="str">
        <f aca="false">IF($K200="","",IF(INDEX('Prospect Tracker'!$A$5:$A$554,$K200)="","",INDEX('Prospect Tracker'!$A$5:$A$554,$K200)))</f>
        <v/>
      </c>
      <c r="C200" s="11" t="str">
        <f aca="false">IF($K200="","",IF(INDEX('Prospect Tracker'!$B$5:$B$554,$K200)="","",INDEX('Prospect Tracker'!$B$5:$B$554,$K200)))</f>
        <v/>
      </c>
      <c r="D200" s="11" t="str">
        <f aca="false">IF($K200="","",IF(INDEX('Prospect Tracker'!$M$5:$M$554,$K200)="","",INDEX('Prospect Tracker'!$M$5:$M$554,$K200)))</f>
        <v/>
      </c>
      <c r="E200" s="11" t="str">
        <f aca="false">IF($K200="","",IF(INDEX('Prospect Tracker'!$R$5:$R$554,$K200)="","",INDEX('Prospect Tracker'!$R$5:$R$554,$K200)))</f>
        <v/>
      </c>
      <c r="F200" s="11" t="str">
        <f aca="false">IF($K200="","",IF(INDEX('Prospect Tracker'!$J$5:$J$554,$K200)="","",INDEX('Prospect Tracker'!$J$5:$J$554,$K200)))</f>
        <v/>
      </c>
      <c r="G200" s="11" t="str">
        <f aca="false">IF($K200="","",IF(INDEX('Prospect Tracker'!$H$5:$H$554,$K200)="","",INDEX('Prospect Tracker'!$H$5:$H$554,$K200)))</f>
        <v/>
      </c>
      <c r="H200" s="12" t="str">
        <f aca="false">IF($K200="","",IF(INDEX('Prospect Tracker'!$K$5:$K$554,$K200)="","",INDEX('Prospect Tracker'!$K$5:$K$554,$K200)))</f>
        <v/>
      </c>
      <c r="I200" s="11" t="str">
        <f aca="false">IF($K200="","",IF(INDEX('Prospect Tracker'!$T$5:$T$554,$K200)="","",INDEX('Prospect Tracker'!$T$5:$T$554,$K200)))</f>
        <v/>
      </c>
      <c r="J200" s="11" t="str">
        <f aca="false">IF($K200="","",IF(INDEX('Prospect Tracker'!$L$5:$L$554,$K200)="","",INDEX('Prospect Tracker'!$L$5:$L$554,$K200)))</f>
        <v/>
      </c>
      <c r="K200" s="1" t="n">
        <f aca="false">IFERROR(MATCH(SMALL('Prospect Tracker'!$X$5:$X$554,ROW()-4),'Prospect Tracker'!$X$5:$X$554,0),"")</f>
        <v>196</v>
      </c>
    </row>
    <row r="201" customFormat="false" ht="15" hidden="false" customHeight="true" outlineLevel="0" collapsed="false">
      <c r="A201" s="6" t="str">
        <f aca="false">IF($K201="","",IF(INDEX('Prospect Tracker'!$W$5:$W$554,$K201)="","",INDEX('Prospect Tracker'!$W$5:$W$554,$K201)))</f>
        <v/>
      </c>
      <c r="B201" s="6" t="str">
        <f aca="false">IF($K201="","",IF(INDEX('Prospect Tracker'!$A$5:$A$554,$K201)="","",INDEX('Prospect Tracker'!$A$5:$A$554,$K201)))</f>
        <v/>
      </c>
      <c r="C201" s="6" t="str">
        <f aca="false">IF($K201="","",IF(INDEX('Prospect Tracker'!$B$5:$B$554,$K201)="","",INDEX('Prospect Tracker'!$B$5:$B$554,$K201)))</f>
        <v/>
      </c>
      <c r="D201" s="6" t="str">
        <f aca="false">IF($K201="","",IF(INDEX('Prospect Tracker'!$M$5:$M$554,$K201)="","",INDEX('Prospect Tracker'!$M$5:$M$554,$K201)))</f>
        <v/>
      </c>
      <c r="E201" s="6" t="str">
        <f aca="false">IF($K201="","",IF(INDEX('Prospect Tracker'!$R$5:$R$554,$K201)="","",INDEX('Prospect Tracker'!$R$5:$R$554,$K201)))</f>
        <v/>
      </c>
      <c r="F201" s="6" t="str">
        <f aca="false">IF($K201="","",IF(INDEX('Prospect Tracker'!$J$5:$J$554,$K201)="","",INDEX('Prospect Tracker'!$J$5:$J$554,$K201)))</f>
        <v/>
      </c>
      <c r="G201" s="6" t="str">
        <f aca="false">IF($K201="","",IF(INDEX('Prospect Tracker'!$H$5:$H$554,$K201)="","",INDEX('Prospect Tracker'!$H$5:$H$554,$K201)))</f>
        <v/>
      </c>
      <c r="H201" s="7" t="str">
        <f aca="false">IF($K201="","",IF(INDEX('Prospect Tracker'!$K$5:$K$554,$K201)="","",INDEX('Prospect Tracker'!$K$5:$K$554,$K201)))</f>
        <v/>
      </c>
      <c r="I201" s="6" t="str">
        <f aca="false">IF($K201="","",IF(INDEX('Prospect Tracker'!$T$5:$T$554,$K201)="","",INDEX('Prospect Tracker'!$T$5:$T$554,$K201)))</f>
        <v/>
      </c>
      <c r="J201" s="6" t="str">
        <f aca="false">IF($K201="","",IF(INDEX('Prospect Tracker'!$L$5:$L$554,$K201)="","",INDEX('Prospect Tracker'!$L$5:$L$554,$K201)))</f>
        <v/>
      </c>
      <c r="K201" s="1" t="n">
        <f aca="false">IFERROR(MATCH(SMALL('Prospect Tracker'!$X$5:$X$554,ROW()-4),'Prospect Tracker'!$X$5:$X$554,0),"")</f>
        <v>197</v>
      </c>
    </row>
    <row r="202" customFormat="false" ht="15" hidden="false" customHeight="true" outlineLevel="0" collapsed="false">
      <c r="A202" s="11" t="str">
        <f aca="false">IF($K202="","",IF(INDEX('Prospect Tracker'!$W$5:$W$554,$K202)="","",INDEX('Prospect Tracker'!$W$5:$W$554,$K202)))</f>
        <v/>
      </c>
      <c r="B202" s="11" t="str">
        <f aca="false">IF($K202="","",IF(INDEX('Prospect Tracker'!$A$5:$A$554,$K202)="","",INDEX('Prospect Tracker'!$A$5:$A$554,$K202)))</f>
        <v/>
      </c>
      <c r="C202" s="11" t="str">
        <f aca="false">IF($K202="","",IF(INDEX('Prospect Tracker'!$B$5:$B$554,$K202)="","",INDEX('Prospect Tracker'!$B$5:$B$554,$K202)))</f>
        <v/>
      </c>
      <c r="D202" s="11" t="str">
        <f aca="false">IF($K202="","",IF(INDEX('Prospect Tracker'!$M$5:$M$554,$K202)="","",INDEX('Prospect Tracker'!$M$5:$M$554,$K202)))</f>
        <v/>
      </c>
      <c r="E202" s="11" t="str">
        <f aca="false">IF($K202="","",IF(INDEX('Prospect Tracker'!$R$5:$R$554,$K202)="","",INDEX('Prospect Tracker'!$R$5:$R$554,$K202)))</f>
        <v/>
      </c>
      <c r="F202" s="11" t="str">
        <f aca="false">IF($K202="","",IF(INDEX('Prospect Tracker'!$J$5:$J$554,$K202)="","",INDEX('Prospect Tracker'!$J$5:$J$554,$K202)))</f>
        <v/>
      </c>
      <c r="G202" s="11" t="str">
        <f aca="false">IF($K202="","",IF(INDEX('Prospect Tracker'!$H$5:$H$554,$K202)="","",INDEX('Prospect Tracker'!$H$5:$H$554,$K202)))</f>
        <v/>
      </c>
      <c r="H202" s="12" t="str">
        <f aca="false">IF($K202="","",IF(INDEX('Prospect Tracker'!$K$5:$K$554,$K202)="","",INDEX('Prospect Tracker'!$K$5:$K$554,$K202)))</f>
        <v/>
      </c>
      <c r="I202" s="11" t="str">
        <f aca="false">IF($K202="","",IF(INDEX('Prospect Tracker'!$T$5:$T$554,$K202)="","",INDEX('Prospect Tracker'!$T$5:$T$554,$K202)))</f>
        <v/>
      </c>
      <c r="J202" s="11" t="str">
        <f aca="false">IF($K202="","",IF(INDEX('Prospect Tracker'!$L$5:$L$554,$K202)="","",INDEX('Prospect Tracker'!$L$5:$L$554,$K202)))</f>
        <v/>
      </c>
      <c r="K202" s="1" t="n">
        <f aca="false">IFERROR(MATCH(SMALL('Prospect Tracker'!$X$5:$X$554,ROW()-4),'Prospect Tracker'!$X$5:$X$554,0),"")</f>
        <v>198</v>
      </c>
    </row>
    <row r="203" customFormat="false" ht="15" hidden="false" customHeight="true" outlineLevel="0" collapsed="false">
      <c r="A203" s="6" t="str">
        <f aca="false">IF($K203="","",IF(INDEX('Prospect Tracker'!$W$5:$W$554,$K203)="","",INDEX('Prospect Tracker'!$W$5:$W$554,$K203)))</f>
        <v/>
      </c>
      <c r="B203" s="6" t="str">
        <f aca="false">IF($K203="","",IF(INDEX('Prospect Tracker'!$A$5:$A$554,$K203)="","",INDEX('Prospect Tracker'!$A$5:$A$554,$K203)))</f>
        <v/>
      </c>
      <c r="C203" s="6" t="str">
        <f aca="false">IF($K203="","",IF(INDEX('Prospect Tracker'!$B$5:$B$554,$K203)="","",INDEX('Prospect Tracker'!$B$5:$B$554,$K203)))</f>
        <v/>
      </c>
      <c r="D203" s="6" t="str">
        <f aca="false">IF($K203="","",IF(INDEX('Prospect Tracker'!$M$5:$M$554,$K203)="","",INDEX('Prospect Tracker'!$M$5:$M$554,$K203)))</f>
        <v/>
      </c>
      <c r="E203" s="6" t="str">
        <f aca="false">IF($K203="","",IF(INDEX('Prospect Tracker'!$R$5:$R$554,$K203)="","",INDEX('Prospect Tracker'!$R$5:$R$554,$K203)))</f>
        <v/>
      </c>
      <c r="F203" s="6" t="str">
        <f aca="false">IF($K203="","",IF(INDEX('Prospect Tracker'!$J$5:$J$554,$K203)="","",INDEX('Prospect Tracker'!$J$5:$J$554,$K203)))</f>
        <v/>
      </c>
      <c r="G203" s="6" t="str">
        <f aca="false">IF($K203="","",IF(INDEX('Prospect Tracker'!$H$5:$H$554,$K203)="","",INDEX('Prospect Tracker'!$H$5:$H$554,$K203)))</f>
        <v/>
      </c>
      <c r="H203" s="7" t="str">
        <f aca="false">IF($K203="","",IF(INDEX('Prospect Tracker'!$K$5:$K$554,$K203)="","",INDEX('Prospect Tracker'!$K$5:$K$554,$K203)))</f>
        <v/>
      </c>
      <c r="I203" s="6" t="str">
        <f aca="false">IF($K203="","",IF(INDEX('Prospect Tracker'!$T$5:$T$554,$K203)="","",INDEX('Prospect Tracker'!$T$5:$T$554,$K203)))</f>
        <v/>
      </c>
      <c r="J203" s="6" t="str">
        <f aca="false">IF($K203="","",IF(INDEX('Prospect Tracker'!$L$5:$L$554,$K203)="","",INDEX('Prospect Tracker'!$L$5:$L$554,$K203)))</f>
        <v/>
      </c>
      <c r="K203" s="1" t="n">
        <f aca="false">IFERROR(MATCH(SMALL('Prospect Tracker'!$X$5:$X$554,ROW()-4),'Prospect Tracker'!$X$5:$X$554,0),"")</f>
        <v>199</v>
      </c>
    </row>
    <row r="204" customFormat="false" ht="15" hidden="false" customHeight="true" outlineLevel="0" collapsed="false">
      <c r="A204" s="11" t="str">
        <f aca="false">IF($K204="","",IF(INDEX('Prospect Tracker'!$W$5:$W$554,$K204)="","",INDEX('Prospect Tracker'!$W$5:$W$554,$K204)))</f>
        <v/>
      </c>
      <c r="B204" s="11" t="str">
        <f aca="false">IF($K204="","",IF(INDEX('Prospect Tracker'!$A$5:$A$554,$K204)="","",INDEX('Prospect Tracker'!$A$5:$A$554,$K204)))</f>
        <v/>
      </c>
      <c r="C204" s="11" t="str">
        <f aca="false">IF($K204="","",IF(INDEX('Prospect Tracker'!$B$5:$B$554,$K204)="","",INDEX('Prospect Tracker'!$B$5:$B$554,$K204)))</f>
        <v/>
      </c>
      <c r="D204" s="11" t="str">
        <f aca="false">IF($K204="","",IF(INDEX('Prospect Tracker'!$M$5:$M$554,$K204)="","",INDEX('Prospect Tracker'!$M$5:$M$554,$K204)))</f>
        <v/>
      </c>
      <c r="E204" s="11" t="str">
        <f aca="false">IF($K204="","",IF(INDEX('Prospect Tracker'!$R$5:$R$554,$K204)="","",INDEX('Prospect Tracker'!$R$5:$R$554,$K204)))</f>
        <v/>
      </c>
      <c r="F204" s="11" t="str">
        <f aca="false">IF($K204="","",IF(INDEX('Prospect Tracker'!$J$5:$J$554,$K204)="","",INDEX('Prospect Tracker'!$J$5:$J$554,$K204)))</f>
        <v/>
      </c>
      <c r="G204" s="11" t="str">
        <f aca="false">IF($K204="","",IF(INDEX('Prospect Tracker'!$H$5:$H$554,$K204)="","",INDEX('Prospect Tracker'!$H$5:$H$554,$K204)))</f>
        <v/>
      </c>
      <c r="H204" s="12" t="str">
        <f aca="false">IF($K204="","",IF(INDEX('Prospect Tracker'!$K$5:$K$554,$K204)="","",INDEX('Prospect Tracker'!$K$5:$K$554,$K204)))</f>
        <v/>
      </c>
      <c r="I204" s="11" t="str">
        <f aca="false">IF($K204="","",IF(INDEX('Prospect Tracker'!$T$5:$T$554,$K204)="","",INDEX('Prospect Tracker'!$T$5:$T$554,$K204)))</f>
        <v/>
      </c>
      <c r="J204" s="11" t="str">
        <f aca="false">IF($K204="","",IF(INDEX('Prospect Tracker'!$L$5:$L$554,$K204)="","",INDEX('Prospect Tracker'!$L$5:$L$554,$K204)))</f>
        <v/>
      </c>
      <c r="K204" s="1" t="n">
        <f aca="false">IFERROR(MATCH(SMALL('Prospect Tracker'!$X$5:$X$554,ROW()-4),'Prospect Tracker'!$X$5:$X$554,0),"")</f>
        <v>200</v>
      </c>
    </row>
    <row r="205" customFormat="false" ht="15" hidden="false" customHeight="true" outlineLevel="0" collapsed="false">
      <c r="A205" s="6" t="str">
        <f aca="false">IF($K205="","",IF(INDEX('Prospect Tracker'!$W$5:$W$554,$K205)="","",INDEX('Prospect Tracker'!$W$5:$W$554,$K205)))</f>
        <v/>
      </c>
      <c r="B205" s="6" t="str">
        <f aca="false">IF($K205="","",IF(INDEX('Prospect Tracker'!$A$5:$A$554,$K205)="","",INDEX('Prospect Tracker'!$A$5:$A$554,$K205)))</f>
        <v/>
      </c>
      <c r="C205" s="6" t="str">
        <f aca="false">IF($K205="","",IF(INDEX('Prospect Tracker'!$B$5:$B$554,$K205)="","",INDEX('Prospect Tracker'!$B$5:$B$554,$K205)))</f>
        <v/>
      </c>
      <c r="D205" s="6" t="str">
        <f aca="false">IF($K205="","",IF(INDEX('Prospect Tracker'!$M$5:$M$554,$K205)="","",INDEX('Prospect Tracker'!$M$5:$M$554,$K205)))</f>
        <v/>
      </c>
      <c r="E205" s="6" t="str">
        <f aca="false">IF($K205="","",IF(INDEX('Prospect Tracker'!$R$5:$R$554,$K205)="","",INDEX('Prospect Tracker'!$R$5:$R$554,$K205)))</f>
        <v/>
      </c>
      <c r="F205" s="6" t="str">
        <f aca="false">IF($K205="","",IF(INDEX('Prospect Tracker'!$J$5:$J$554,$K205)="","",INDEX('Prospect Tracker'!$J$5:$J$554,$K205)))</f>
        <v/>
      </c>
      <c r="G205" s="6" t="str">
        <f aca="false">IF($K205="","",IF(INDEX('Prospect Tracker'!$H$5:$H$554,$K205)="","",INDEX('Prospect Tracker'!$H$5:$H$554,$K205)))</f>
        <v/>
      </c>
      <c r="H205" s="7" t="str">
        <f aca="false">IF($K205="","",IF(INDEX('Prospect Tracker'!$K$5:$K$554,$K205)="","",INDEX('Prospect Tracker'!$K$5:$K$554,$K205)))</f>
        <v/>
      </c>
      <c r="I205" s="6" t="str">
        <f aca="false">IF($K205="","",IF(INDEX('Prospect Tracker'!$T$5:$T$554,$K205)="","",INDEX('Prospect Tracker'!$T$5:$T$554,$K205)))</f>
        <v/>
      </c>
      <c r="J205" s="6" t="str">
        <f aca="false">IF($K205="","",IF(INDEX('Prospect Tracker'!$L$5:$L$554,$K205)="","",INDEX('Prospect Tracker'!$L$5:$L$554,$K205)))</f>
        <v/>
      </c>
      <c r="K205" s="1" t="n">
        <f aca="false">IFERROR(MATCH(SMALL('Prospect Tracker'!$X$5:$X$554,ROW()-4),'Prospect Tracker'!$X$5:$X$554,0),"")</f>
        <v>201</v>
      </c>
    </row>
    <row r="206" customFormat="false" ht="15" hidden="false" customHeight="true" outlineLevel="0" collapsed="false">
      <c r="A206" s="11" t="str">
        <f aca="false">IF($K206="","",IF(INDEX('Prospect Tracker'!$W$5:$W$554,$K206)="","",INDEX('Prospect Tracker'!$W$5:$W$554,$K206)))</f>
        <v/>
      </c>
      <c r="B206" s="11" t="str">
        <f aca="false">IF($K206="","",IF(INDEX('Prospect Tracker'!$A$5:$A$554,$K206)="","",INDEX('Prospect Tracker'!$A$5:$A$554,$K206)))</f>
        <v/>
      </c>
      <c r="C206" s="11" t="str">
        <f aca="false">IF($K206="","",IF(INDEX('Prospect Tracker'!$B$5:$B$554,$K206)="","",INDEX('Prospect Tracker'!$B$5:$B$554,$K206)))</f>
        <v/>
      </c>
      <c r="D206" s="11" t="str">
        <f aca="false">IF($K206="","",IF(INDEX('Prospect Tracker'!$M$5:$M$554,$K206)="","",INDEX('Prospect Tracker'!$M$5:$M$554,$K206)))</f>
        <v/>
      </c>
      <c r="E206" s="11" t="str">
        <f aca="false">IF($K206="","",IF(INDEX('Prospect Tracker'!$R$5:$R$554,$K206)="","",INDEX('Prospect Tracker'!$R$5:$R$554,$K206)))</f>
        <v/>
      </c>
      <c r="F206" s="11" t="str">
        <f aca="false">IF($K206="","",IF(INDEX('Prospect Tracker'!$J$5:$J$554,$K206)="","",INDEX('Prospect Tracker'!$J$5:$J$554,$K206)))</f>
        <v/>
      </c>
      <c r="G206" s="11" t="str">
        <f aca="false">IF($K206="","",IF(INDEX('Prospect Tracker'!$H$5:$H$554,$K206)="","",INDEX('Prospect Tracker'!$H$5:$H$554,$K206)))</f>
        <v/>
      </c>
      <c r="H206" s="12" t="str">
        <f aca="false">IF($K206="","",IF(INDEX('Prospect Tracker'!$K$5:$K$554,$K206)="","",INDEX('Prospect Tracker'!$K$5:$K$554,$K206)))</f>
        <v/>
      </c>
      <c r="I206" s="11" t="str">
        <f aca="false">IF($K206="","",IF(INDEX('Prospect Tracker'!$T$5:$T$554,$K206)="","",INDEX('Prospect Tracker'!$T$5:$T$554,$K206)))</f>
        <v/>
      </c>
      <c r="J206" s="11" t="str">
        <f aca="false">IF($K206="","",IF(INDEX('Prospect Tracker'!$L$5:$L$554,$K206)="","",INDEX('Prospect Tracker'!$L$5:$L$554,$K206)))</f>
        <v/>
      </c>
      <c r="K206" s="1" t="n">
        <f aca="false">IFERROR(MATCH(SMALL('Prospect Tracker'!$X$5:$X$554,ROW()-4),'Prospect Tracker'!$X$5:$X$554,0),"")</f>
        <v>202</v>
      </c>
    </row>
    <row r="207" customFormat="false" ht="15" hidden="false" customHeight="true" outlineLevel="0" collapsed="false">
      <c r="A207" s="6" t="str">
        <f aca="false">IF($K207="","",IF(INDEX('Prospect Tracker'!$W$5:$W$554,$K207)="","",INDEX('Prospect Tracker'!$W$5:$W$554,$K207)))</f>
        <v/>
      </c>
      <c r="B207" s="6" t="str">
        <f aca="false">IF($K207="","",IF(INDEX('Prospect Tracker'!$A$5:$A$554,$K207)="","",INDEX('Prospect Tracker'!$A$5:$A$554,$K207)))</f>
        <v/>
      </c>
      <c r="C207" s="6" t="str">
        <f aca="false">IF($K207="","",IF(INDEX('Prospect Tracker'!$B$5:$B$554,$K207)="","",INDEX('Prospect Tracker'!$B$5:$B$554,$K207)))</f>
        <v/>
      </c>
      <c r="D207" s="6" t="str">
        <f aca="false">IF($K207="","",IF(INDEX('Prospect Tracker'!$M$5:$M$554,$K207)="","",INDEX('Prospect Tracker'!$M$5:$M$554,$K207)))</f>
        <v/>
      </c>
      <c r="E207" s="6" t="str">
        <f aca="false">IF($K207="","",IF(INDEX('Prospect Tracker'!$R$5:$R$554,$K207)="","",INDEX('Prospect Tracker'!$R$5:$R$554,$K207)))</f>
        <v/>
      </c>
      <c r="F207" s="6" t="str">
        <f aca="false">IF($K207="","",IF(INDEX('Prospect Tracker'!$J$5:$J$554,$K207)="","",INDEX('Prospect Tracker'!$J$5:$J$554,$K207)))</f>
        <v/>
      </c>
      <c r="G207" s="6" t="str">
        <f aca="false">IF($K207="","",IF(INDEX('Prospect Tracker'!$H$5:$H$554,$K207)="","",INDEX('Prospect Tracker'!$H$5:$H$554,$K207)))</f>
        <v/>
      </c>
      <c r="H207" s="7" t="str">
        <f aca="false">IF($K207="","",IF(INDEX('Prospect Tracker'!$K$5:$K$554,$K207)="","",INDEX('Prospect Tracker'!$K$5:$K$554,$K207)))</f>
        <v/>
      </c>
      <c r="I207" s="6" t="str">
        <f aca="false">IF($K207="","",IF(INDEX('Prospect Tracker'!$T$5:$T$554,$K207)="","",INDEX('Prospect Tracker'!$T$5:$T$554,$K207)))</f>
        <v/>
      </c>
      <c r="J207" s="6" t="str">
        <f aca="false">IF($K207="","",IF(INDEX('Prospect Tracker'!$L$5:$L$554,$K207)="","",INDEX('Prospect Tracker'!$L$5:$L$554,$K207)))</f>
        <v/>
      </c>
      <c r="K207" s="1" t="n">
        <f aca="false">IFERROR(MATCH(SMALL('Prospect Tracker'!$X$5:$X$554,ROW()-4),'Prospect Tracker'!$X$5:$X$554,0),"")</f>
        <v>203</v>
      </c>
    </row>
    <row r="208" customFormat="false" ht="15" hidden="false" customHeight="true" outlineLevel="0" collapsed="false">
      <c r="A208" s="11" t="str">
        <f aca="false">IF($K208="","",IF(INDEX('Prospect Tracker'!$W$5:$W$554,$K208)="","",INDEX('Prospect Tracker'!$W$5:$W$554,$K208)))</f>
        <v/>
      </c>
      <c r="B208" s="11" t="str">
        <f aca="false">IF($K208="","",IF(INDEX('Prospect Tracker'!$A$5:$A$554,$K208)="","",INDEX('Prospect Tracker'!$A$5:$A$554,$K208)))</f>
        <v/>
      </c>
      <c r="C208" s="11" t="str">
        <f aca="false">IF($K208="","",IF(INDEX('Prospect Tracker'!$B$5:$B$554,$K208)="","",INDEX('Prospect Tracker'!$B$5:$B$554,$K208)))</f>
        <v/>
      </c>
      <c r="D208" s="11" t="str">
        <f aca="false">IF($K208="","",IF(INDEX('Prospect Tracker'!$M$5:$M$554,$K208)="","",INDEX('Prospect Tracker'!$M$5:$M$554,$K208)))</f>
        <v/>
      </c>
      <c r="E208" s="11" t="str">
        <f aca="false">IF($K208="","",IF(INDEX('Prospect Tracker'!$R$5:$R$554,$K208)="","",INDEX('Prospect Tracker'!$R$5:$R$554,$K208)))</f>
        <v/>
      </c>
      <c r="F208" s="11" t="str">
        <f aca="false">IF($K208="","",IF(INDEX('Prospect Tracker'!$J$5:$J$554,$K208)="","",INDEX('Prospect Tracker'!$J$5:$J$554,$K208)))</f>
        <v/>
      </c>
      <c r="G208" s="11" t="str">
        <f aca="false">IF($K208="","",IF(INDEX('Prospect Tracker'!$H$5:$H$554,$K208)="","",INDEX('Prospect Tracker'!$H$5:$H$554,$K208)))</f>
        <v/>
      </c>
      <c r="H208" s="12" t="str">
        <f aca="false">IF($K208="","",IF(INDEX('Prospect Tracker'!$K$5:$K$554,$K208)="","",INDEX('Prospect Tracker'!$K$5:$K$554,$K208)))</f>
        <v/>
      </c>
      <c r="I208" s="11" t="str">
        <f aca="false">IF($K208="","",IF(INDEX('Prospect Tracker'!$T$5:$T$554,$K208)="","",INDEX('Prospect Tracker'!$T$5:$T$554,$K208)))</f>
        <v/>
      </c>
      <c r="J208" s="11" t="str">
        <f aca="false">IF($K208="","",IF(INDEX('Prospect Tracker'!$L$5:$L$554,$K208)="","",INDEX('Prospect Tracker'!$L$5:$L$554,$K208)))</f>
        <v/>
      </c>
      <c r="K208" s="1" t="n">
        <f aca="false">IFERROR(MATCH(SMALL('Prospect Tracker'!$X$5:$X$554,ROW()-4),'Prospect Tracker'!$X$5:$X$554,0),"")</f>
        <v>204</v>
      </c>
    </row>
    <row r="209" customFormat="false" ht="15" hidden="false" customHeight="true" outlineLevel="0" collapsed="false">
      <c r="A209" s="6" t="str">
        <f aca="false">IF($K209="","",IF(INDEX('Prospect Tracker'!$W$5:$W$554,$K209)="","",INDEX('Prospect Tracker'!$W$5:$W$554,$K209)))</f>
        <v/>
      </c>
      <c r="B209" s="6" t="str">
        <f aca="false">IF($K209="","",IF(INDEX('Prospect Tracker'!$A$5:$A$554,$K209)="","",INDEX('Prospect Tracker'!$A$5:$A$554,$K209)))</f>
        <v/>
      </c>
      <c r="C209" s="6" t="str">
        <f aca="false">IF($K209="","",IF(INDEX('Prospect Tracker'!$B$5:$B$554,$K209)="","",INDEX('Prospect Tracker'!$B$5:$B$554,$K209)))</f>
        <v/>
      </c>
      <c r="D209" s="6" t="str">
        <f aca="false">IF($K209="","",IF(INDEX('Prospect Tracker'!$M$5:$M$554,$K209)="","",INDEX('Prospect Tracker'!$M$5:$M$554,$K209)))</f>
        <v/>
      </c>
      <c r="E209" s="6" t="str">
        <f aca="false">IF($K209="","",IF(INDEX('Prospect Tracker'!$R$5:$R$554,$K209)="","",INDEX('Prospect Tracker'!$R$5:$R$554,$K209)))</f>
        <v/>
      </c>
      <c r="F209" s="6" t="str">
        <f aca="false">IF($K209="","",IF(INDEX('Prospect Tracker'!$J$5:$J$554,$K209)="","",INDEX('Prospect Tracker'!$J$5:$J$554,$K209)))</f>
        <v/>
      </c>
      <c r="G209" s="6" t="str">
        <f aca="false">IF($K209="","",IF(INDEX('Prospect Tracker'!$H$5:$H$554,$K209)="","",INDEX('Prospect Tracker'!$H$5:$H$554,$K209)))</f>
        <v/>
      </c>
      <c r="H209" s="7" t="str">
        <f aca="false">IF($K209="","",IF(INDEX('Prospect Tracker'!$K$5:$K$554,$K209)="","",INDEX('Prospect Tracker'!$K$5:$K$554,$K209)))</f>
        <v/>
      </c>
      <c r="I209" s="6" t="str">
        <f aca="false">IF($K209="","",IF(INDEX('Prospect Tracker'!$T$5:$T$554,$K209)="","",INDEX('Prospect Tracker'!$T$5:$T$554,$K209)))</f>
        <v/>
      </c>
      <c r="J209" s="6" t="str">
        <f aca="false">IF($K209="","",IF(INDEX('Prospect Tracker'!$L$5:$L$554,$K209)="","",INDEX('Prospect Tracker'!$L$5:$L$554,$K209)))</f>
        <v/>
      </c>
      <c r="K209" s="1" t="n">
        <f aca="false">IFERROR(MATCH(SMALL('Prospect Tracker'!$X$5:$X$554,ROW()-4),'Prospect Tracker'!$X$5:$X$554,0),"")</f>
        <v>205</v>
      </c>
    </row>
    <row r="210" customFormat="false" ht="15" hidden="false" customHeight="true" outlineLevel="0" collapsed="false">
      <c r="A210" s="11" t="str">
        <f aca="false">IF($K210="","",IF(INDEX('Prospect Tracker'!$W$5:$W$554,$K210)="","",INDEX('Prospect Tracker'!$W$5:$W$554,$K210)))</f>
        <v/>
      </c>
      <c r="B210" s="11" t="str">
        <f aca="false">IF($K210="","",IF(INDEX('Prospect Tracker'!$A$5:$A$554,$K210)="","",INDEX('Prospect Tracker'!$A$5:$A$554,$K210)))</f>
        <v/>
      </c>
      <c r="C210" s="11" t="str">
        <f aca="false">IF($K210="","",IF(INDEX('Prospect Tracker'!$B$5:$B$554,$K210)="","",INDEX('Prospect Tracker'!$B$5:$B$554,$K210)))</f>
        <v/>
      </c>
      <c r="D210" s="11" t="str">
        <f aca="false">IF($K210="","",IF(INDEX('Prospect Tracker'!$M$5:$M$554,$K210)="","",INDEX('Prospect Tracker'!$M$5:$M$554,$K210)))</f>
        <v/>
      </c>
      <c r="E210" s="11" t="str">
        <f aca="false">IF($K210="","",IF(INDEX('Prospect Tracker'!$R$5:$R$554,$K210)="","",INDEX('Prospect Tracker'!$R$5:$R$554,$K210)))</f>
        <v/>
      </c>
      <c r="F210" s="11" t="str">
        <f aca="false">IF($K210="","",IF(INDEX('Prospect Tracker'!$J$5:$J$554,$K210)="","",INDEX('Prospect Tracker'!$J$5:$J$554,$K210)))</f>
        <v/>
      </c>
      <c r="G210" s="11" t="str">
        <f aca="false">IF($K210="","",IF(INDEX('Prospect Tracker'!$H$5:$H$554,$K210)="","",INDEX('Prospect Tracker'!$H$5:$H$554,$K210)))</f>
        <v/>
      </c>
      <c r="H210" s="12" t="str">
        <f aca="false">IF($K210="","",IF(INDEX('Prospect Tracker'!$K$5:$K$554,$K210)="","",INDEX('Prospect Tracker'!$K$5:$K$554,$K210)))</f>
        <v/>
      </c>
      <c r="I210" s="11" t="str">
        <f aca="false">IF($K210="","",IF(INDEX('Prospect Tracker'!$T$5:$T$554,$K210)="","",INDEX('Prospect Tracker'!$T$5:$T$554,$K210)))</f>
        <v/>
      </c>
      <c r="J210" s="11" t="str">
        <f aca="false">IF($K210="","",IF(INDEX('Prospect Tracker'!$L$5:$L$554,$K210)="","",INDEX('Prospect Tracker'!$L$5:$L$554,$K210)))</f>
        <v/>
      </c>
      <c r="K210" s="1" t="n">
        <f aca="false">IFERROR(MATCH(SMALL('Prospect Tracker'!$X$5:$X$554,ROW()-4),'Prospect Tracker'!$X$5:$X$554,0),"")</f>
        <v>206</v>
      </c>
    </row>
    <row r="211" customFormat="false" ht="15" hidden="false" customHeight="true" outlineLevel="0" collapsed="false">
      <c r="A211" s="6" t="str">
        <f aca="false">IF($K211="","",IF(INDEX('Prospect Tracker'!$W$5:$W$554,$K211)="","",INDEX('Prospect Tracker'!$W$5:$W$554,$K211)))</f>
        <v/>
      </c>
      <c r="B211" s="6" t="str">
        <f aca="false">IF($K211="","",IF(INDEX('Prospect Tracker'!$A$5:$A$554,$K211)="","",INDEX('Prospect Tracker'!$A$5:$A$554,$K211)))</f>
        <v/>
      </c>
      <c r="C211" s="6" t="str">
        <f aca="false">IF($K211="","",IF(INDEX('Prospect Tracker'!$B$5:$B$554,$K211)="","",INDEX('Prospect Tracker'!$B$5:$B$554,$K211)))</f>
        <v/>
      </c>
      <c r="D211" s="6" t="str">
        <f aca="false">IF($K211="","",IF(INDEX('Prospect Tracker'!$M$5:$M$554,$K211)="","",INDEX('Prospect Tracker'!$M$5:$M$554,$K211)))</f>
        <v/>
      </c>
      <c r="E211" s="6" t="str">
        <f aca="false">IF($K211="","",IF(INDEX('Prospect Tracker'!$R$5:$R$554,$K211)="","",INDEX('Prospect Tracker'!$R$5:$R$554,$K211)))</f>
        <v/>
      </c>
      <c r="F211" s="6" t="str">
        <f aca="false">IF($K211="","",IF(INDEX('Prospect Tracker'!$J$5:$J$554,$K211)="","",INDEX('Prospect Tracker'!$J$5:$J$554,$K211)))</f>
        <v/>
      </c>
      <c r="G211" s="6" t="str">
        <f aca="false">IF($K211="","",IF(INDEX('Prospect Tracker'!$H$5:$H$554,$K211)="","",INDEX('Prospect Tracker'!$H$5:$H$554,$K211)))</f>
        <v/>
      </c>
      <c r="H211" s="7" t="str">
        <f aca="false">IF($K211="","",IF(INDEX('Prospect Tracker'!$K$5:$K$554,$K211)="","",INDEX('Prospect Tracker'!$K$5:$K$554,$K211)))</f>
        <v/>
      </c>
      <c r="I211" s="6" t="str">
        <f aca="false">IF($K211="","",IF(INDEX('Prospect Tracker'!$T$5:$T$554,$K211)="","",INDEX('Prospect Tracker'!$T$5:$T$554,$K211)))</f>
        <v/>
      </c>
      <c r="J211" s="6" t="str">
        <f aca="false">IF($K211="","",IF(INDEX('Prospect Tracker'!$L$5:$L$554,$K211)="","",INDEX('Prospect Tracker'!$L$5:$L$554,$K211)))</f>
        <v/>
      </c>
      <c r="K211" s="1" t="n">
        <f aca="false">IFERROR(MATCH(SMALL('Prospect Tracker'!$X$5:$X$554,ROW()-4),'Prospect Tracker'!$X$5:$X$554,0),"")</f>
        <v>207</v>
      </c>
    </row>
    <row r="212" customFormat="false" ht="15" hidden="false" customHeight="true" outlineLevel="0" collapsed="false">
      <c r="A212" s="11" t="str">
        <f aca="false">IF($K212="","",IF(INDEX('Prospect Tracker'!$W$5:$W$554,$K212)="","",INDEX('Prospect Tracker'!$W$5:$W$554,$K212)))</f>
        <v/>
      </c>
      <c r="B212" s="11" t="str">
        <f aca="false">IF($K212="","",IF(INDEX('Prospect Tracker'!$A$5:$A$554,$K212)="","",INDEX('Prospect Tracker'!$A$5:$A$554,$K212)))</f>
        <v/>
      </c>
      <c r="C212" s="11" t="str">
        <f aca="false">IF($K212="","",IF(INDEX('Prospect Tracker'!$B$5:$B$554,$K212)="","",INDEX('Prospect Tracker'!$B$5:$B$554,$K212)))</f>
        <v/>
      </c>
      <c r="D212" s="11" t="str">
        <f aca="false">IF($K212="","",IF(INDEX('Prospect Tracker'!$M$5:$M$554,$K212)="","",INDEX('Prospect Tracker'!$M$5:$M$554,$K212)))</f>
        <v/>
      </c>
      <c r="E212" s="11" t="str">
        <f aca="false">IF($K212="","",IF(INDEX('Prospect Tracker'!$R$5:$R$554,$K212)="","",INDEX('Prospect Tracker'!$R$5:$R$554,$K212)))</f>
        <v/>
      </c>
      <c r="F212" s="11" t="str">
        <f aca="false">IF($K212="","",IF(INDEX('Prospect Tracker'!$J$5:$J$554,$K212)="","",INDEX('Prospect Tracker'!$J$5:$J$554,$K212)))</f>
        <v/>
      </c>
      <c r="G212" s="11" t="str">
        <f aca="false">IF($K212="","",IF(INDEX('Prospect Tracker'!$H$5:$H$554,$K212)="","",INDEX('Prospect Tracker'!$H$5:$H$554,$K212)))</f>
        <v/>
      </c>
      <c r="H212" s="12" t="str">
        <f aca="false">IF($K212="","",IF(INDEX('Prospect Tracker'!$K$5:$K$554,$K212)="","",INDEX('Prospect Tracker'!$K$5:$K$554,$K212)))</f>
        <v/>
      </c>
      <c r="I212" s="11" t="str">
        <f aca="false">IF($K212="","",IF(INDEX('Prospect Tracker'!$T$5:$T$554,$K212)="","",INDEX('Prospect Tracker'!$T$5:$T$554,$K212)))</f>
        <v/>
      </c>
      <c r="J212" s="11" t="str">
        <f aca="false">IF($K212="","",IF(INDEX('Prospect Tracker'!$L$5:$L$554,$K212)="","",INDEX('Prospect Tracker'!$L$5:$L$554,$K212)))</f>
        <v/>
      </c>
      <c r="K212" s="1" t="n">
        <f aca="false">IFERROR(MATCH(SMALL('Prospect Tracker'!$X$5:$X$554,ROW()-4),'Prospect Tracker'!$X$5:$X$554,0),"")</f>
        <v>208</v>
      </c>
    </row>
    <row r="213" customFormat="false" ht="15" hidden="false" customHeight="true" outlineLevel="0" collapsed="false">
      <c r="A213" s="6" t="str">
        <f aca="false">IF($K213="","",IF(INDEX('Prospect Tracker'!$W$5:$W$554,$K213)="","",INDEX('Prospect Tracker'!$W$5:$W$554,$K213)))</f>
        <v/>
      </c>
      <c r="B213" s="6" t="str">
        <f aca="false">IF($K213="","",IF(INDEX('Prospect Tracker'!$A$5:$A$554,$K213)="","",INDEX('Prospect Tracker'!$A$5:$A$554,$K213)))</f>
        <v/>
      </c>
      <c r="C213" s="6" t="str">
        <f aca="false">IF($K213="","",IF(INDEX('Prospect Tracker'!$B$5:$B$554,$K213)="","",INDEX('Prospect Tracker'!$B$5:$B$554,$K213)))</f>
        <v/>
      </c>
      <c r="D213" s="6" t="str">
        <f aca="false">IF($K213="","",IF(INDEX('Prospect Tracker'!$M$5:$M$554,$K213)="","",INDEX('Prospect Tracker'!$M$5:$M$554,$K213)))</f>
        <v/>
      </c>
      <c r="E213" s="6" t="str">
        <f aca="false">IF($K213="","",IF(INDEX('Prospect Tracker'!$R$5:$R$554,$K213)="","",INDEX('Prospect Tracker'!$R$5:$R$554,$K213)))</f>
        <v/>
      </c>
      <c r="F213" s="6" t="str">
        <f aca="false">IF($K213="","",IF(INDEX('Prospect Tracker'!$J$5:$J$554,$K213)="","",INDEX('Prospect Tracker'!$J$5:$J$554,$K213)))</f>
        <v/>
      </c>
      <c r="G213" s="6" t="str">
        <f aca="false">IF($K213="","",IF(INDEX('Prospect Tracker'!$H$5:$H$554,$K213)="","",INDEX('Prospect Tracker'!$H$5:$H$554,$K213)))</f>
        <v/>
      </c>
      <c r="H213" s="7" t="str">
        <f aca="false">IF($K213="","",IF(INDEX('Prospect Tracker'!$K$5:$K$554,$K213)="","",INDEX('Prospect Tracker'!$K$5:$K$554,$K213)))</f>
        <v/>
      </c>
      <c r="I213" s="6" t="str">
        <f aca="false">IF($K213="","",IF(INDEX('Prospect Tracker'!$T$5:$T$554,$K213)="","",INDEX('Prospect Tracker'!$T$5:$T$554,$K213)))</f>
        <v/>
      </c>
      <c r="J213" s="6" t="str">
        <f aca="false">IF($K213="","",IF(INDEX('Prospect Tracker'!$L$5:$L$554,$K213)="","",INDEX('Prospect Tracker'!$L$5:$L$554,$K213)))</f>
        <v/>
      </c>
      <c r="K213" s="1" t="n">
        <f aca="false">IFERROR(MATCH(SMALL('Prospect Tracker'!$X$5:$X$554,ROW()-4),'Prospect Tracker'!$X$5:$X$554,0),"")</f>
        <v>209</v>
      </c>
    </row>
    <row r="214" customFormat="false" ht="15" hidden="false" customHeight="true" outlineLevel="0" collapsed="false">
      <c r="A214" s="11" t="str">
        <f aca="false">IF($K214="","",IF(INDEX('Prospect Tracker'!$W$5:$W$554,$K214)="","",INDEX('Prospect Tracker'!$W$5:$W$554,$K214)))</f>
        <v/>
      </c>
      <c r="B214" s="11" t="str">
        <f aca="false">IF($K214="","",IF(INDEX('Prospect Tracker'!$A$5:$A$554,$K214)="","",INDEX('Prospect Tracker'!$A$5:$A$554,$K214)))</f>
        <v/>
      </c>
      <c r="C214" s="11" t="str">
        <f aca="false">IF($K214="","",IF(INDEX('Prospect Tracker'!$B$5:$B$554,$K214)="","",INDEX('Prospect Tracker'!$B$5:$B$554,$K214)))</f>
        <v/>
      </c>
      <c r="D214" s="11" t="str">
        <f aca="false">IF($K214="","",IF(INDEX('Prospect Tracker'!$M$5:$M$554,$K214)="","",INDEX('Prospect Tracker'!$M$5:$M$554,$K214)))</f>
        <v/>
      </c>
      <c r="E214" s="11" t="str">
        <f aca="false">IF($K214="","",IF(INDEX('Prospect Tracker'!$R$5:$R$554,$K214)="","",INDEX('Prospect Tracker'!$R$5:$R$554,$K214)))</f>
        <v/>
      </c>
      <c r="F214" s="11" t="str">
        <f aca="false">IF($K214="","",IF(INDEX('Prospect Tracker'!$J$5:$J$554,$K214)="","",INDEX('Prospect Tracker'!$J$5:$J$554,$K214)))</f>
        <v/>
      </c>
      <c r="G214" s="11" t="str">
        <f aca="false">IF($K214="","",IF(INDEX('Prospect Tracker'!$H$5:$H$554,$K214)="","",INDEX('Prospect Tracker'!$H$5:$H$554,$K214)))</f>
        <v/>
      </c>
      <c r="H214" s="12" t="str">
        <f aca="false">IF($K214="","",IF(INDEX('Prospect Tracker'!$K$5:$K$554,$K214)="","",INDEX('Prospect Tracker'!$K$5:$K$554,$K214)))</f>
        <v/>
      </c>
      <c r="I214" s="11" t="str">
        <f aca="false">IF($K214="","",IF(INDEX('Prospect Tracker'!$T$5:$T$554,$K214)="","",INDEX('Prospect Tracker'!$T$5:$T$554,$K214)))</f>
        <v/>
      </c>
      <c r="J214" s="11" t="str">
        <f aca="false">IF($K214="","",IF(INDEX('Prospect Tracker'!$L$5:$L$554,$K214)="","",INDEX('Prospect Tracker'!$L$5:$L$554,$K214)))</f>
        <v/>
      </c>
      <c r="K214" s="1" t="n">
        <f aca="false">IFERROR(MATCH(SMALL('Prospect Tracker'!$X$5:$X$554,ROW()-4),'Prospect Tracker'!$X$5:$X$554,0),"")</f>
        <v>210</v>
      </c>
    </row>
    <row r="215" customFormat="false" ht="15" hidden="false" customHeight="true" outlineLevel="0" collapsed="false">
      <c r="A215" s="6" t="str">
        <f aca="false">IF($K215="","",IF(INDEX('Prospect Tracker'!$W$5:$W$554,$K215)="","",INDEX('Prospect Tracker'!$W$5:$W$554,$K215)))</f>
        <v/>
      </c>
      <c r="B215" s="6" t="str">
        <f aca="false">IF($K215="","",IF(INDEX('Prospect Tracker'!$A$5:$A$554,$K215)="","",INDEX('Prospect Tracker'!$A$5:$A$554,$K215)))</f>
        <v/>
      </c>
      <c r="C215" s="6" t="str">
        <f aca="false">IF($K215="","",IF(INDEX('Prospect Tracker'!$B$5:$B$554,$K215)="","",INDEX('Prospect Tracker'!$B$5:$B$554,$K215)))</f>
        <v/>
      </c>
      <c r="D215" s="6" t="str">
        <f aca="false">IF($K215="","",IF(INDEX('Prospect Tracker'!$M$5:$M$554,$K215)="","",INDEX('Prospect Tracker'!$M$5:$M$554,$K215)))</f>
        <v/>
      </c>
      <c r="E215" s="6" t="str">
        <f aca="false">IF($K215="","",IF(INDEX('Prospect Tracker'!$R$5:$R$554,$K215)="","",INDEX('Prospect Tracker'!$R$5:$R$554,$K215)))</f>
        <v/>
      </c>
      <c r="F215" s="6" t="str">
        <f aca="false">IF($K215="","",IF(INDEX('Prospect Tracker'!$J$5:$J$554,$K215)="","",INDEX('Prospect Tracker'!$J$5:$J$554,$K215)))</f>
        <v/>
      </c>
      <c r="G215" s="6" t="str">
        <f aca="false">IF($K215="","",IF(INDEX('Prospect Tracker'!$H$5:$H$554,$K215)="","",INDEX('Prospect Tracker'!$H$5:$H$554,$K215)))</f>
        <v/>
      </c>
      <c r="H215" s="7" t="str">
        <f aca="false">IF($K215="","",IF(INDEX('Prospect Tracker'!$K$5:$K$554,$K215)="","",INDEX('Prospect Tracker'!$K$5:$K$554,$K215)))</f>
        <v/>
      </c>
      <c r="I215" s="6" t="str">
        <f aca="false">IF($K215="","",IF(INDEX('Prospect Tracker'!$T$5:$T$554,$K215)="","",INDEX('Prospect Tracker'!$T$5:$T$554,$K215)))</f>
        <v/>
      </c>
      <c r="J215" s="6" t="str">
        <f aca="false">IF($K215="","",IF(INDEX('Prospect Tracker'!$L$5:$L$554,$K215)="","",INDEX('Prospect Tracker'!$L$5:$L$554,$K215)))</f>
        <v/>
      </c>
      <c r="K215" s="1" t="n">
        <f aca="false">IFERROR(MATCH(SMALL('Prospect Tracker'!$X$5:$X$554,ROW()-4),'Prospect Tracker'!$X$5:$X$554,0),"")</f>
        <v>211</v>
      </c>
    </row>
    <row r="216" customFormat="false" ht="15" hidden="false" customHeight="true" outlineLevel="0" collapsed="false">
      <c r="A216" s="11" t="str">
        <f aca="false">IF($K216="","",IF(INDEX('Prospect Tracker'!$W$5:$W$554,$K216)="","",INDEX('Prospect Tracker'!$W$5:$W$554,$K216)))</f>
        <v/>
      </c>
      <c r="B216" s="11" t="str">
        <f aca="false">IF($K216="","",IF(INDEX('Prospect Tracker'!$A$5:$A$554,$K216)="","",INDEX('Prospect Tracker'!$A$5:$A$554,$K216)))</f>
        <v/>
      </c>
      <c r="C216" s="11" t="str">
        <f aca="false">IF($K216="","",IF(INDEX('Prospect Tracker'!$B$5:$B$554,$K216)="","",INDEX('Prospect Tracker'!$B$5:$B$554,$K216)))</f>
        <v/>
      </c>
      <c r="D216" s="11" t="str">
        <f aca="false">IF($K216="","",IF(INDEX('Prospect Tracker'!$M$5:$M$554,$K216)="","",INDEX('Prospect Tracker'!$M$5:$M$554,$K216)))</f>
        <v/>
      </c>
      <c r="E216" s="11" t="str">
        <f aca="false">IF($K216="","",IF(INDEX('Prospect Tracker'!$R$5:$R$554,$K216)="","",INDEX('Prospect Tracker'!$R$5:$R$554,$K216)))</f>
        <v/>
      </c>
      <c r="F216" s="11" t="str">
        <f aca="false">IF($K216="","",IF(INDEX('Prospect Tracker'!$J$5:$J$554,$K216)="","",INDEX('Prospect Tracker'!$J$5:$J$554,$K216)))</f>
        <v/>
      </c>
      <c r="G216" s="11" t="str">
        <f aca="false">IF($K216="","",IF(INDEX('Prospect Tracker'!$H$5:$H$554,$K216)="","",INDEX('Prospect Tracker'!$H$5:$H$554,$K216)))</f>
        <v/>
      </c>
      <c r="H216" s="12" t="str">
        <f aca="false">IF($K216="","",IF(INDEX('Prospect Tracker'!$K$5:$K$554,$K216)="","",INDEX('Prospect Tracker'!$K$5:$K$554,$K216)))</f>
        <v/>
      </c>
      <c r="I216" s="11" t="str">
        <f aca="false">IF($K216="","",IF(INDEX('Prospect Tracker'!$T$5:$T$554,$K216)="","",INDEX('Prospect Tracker'!$T$5:$T$554,$K216)))</f>
        <v/>
      </c>
      <c r="J216" s="11" t="str">
        <f aca="false">IF($K216="","",IF(INDEX('Prospect Tracker'!$L$5:$L$554,$K216)="","",INDEX('Prospect Tracker'!$L$5:$L$554,$K216)))</f>
        <v/>
      </c>
      <c r="K216" s="1" t="n">
        <f aca="false">IFERROR(MATCH(SMALL('Prospect Tracker'!$X$5:$X$554,ROW()-4),'Prospect Tracker'!$X$5:$X$554,0),"")</f>
        <v>212</v>
      </c>
    </row>
    <row r="217" customFormat="false" ht="15" hidden="false" customHeight="true" outlineLevel="0" collapsed="false">
      <c r="A217" s="6" t="str">
        <f aca="false">IF($K217="","",IF(INDEX('Prospect Tracker'!$W$5:$W$554,$K217)="","",INDEX('Prospect Tracker'!$W$5:$W$554,$K217)))</f>
        <v/>
      </c>
      <c r="B217" s="6" t="str">
        <f aca="false">IF($K217="","",IF(INDEX('Prospect Tracker'!$A$5:$A$554,$K217)="","",INDEX('Prospect Tracker'!$A$5:$A$554,$K217)))</f>
        <v/>
      </c>
      <c r="C217" s="6" t="str">
        <f aca="false">IF($K217="","",IF(INDEX('Prospect Tracker'!$B$5:$B$554,$K217)="","",INDEX('Prospect Tracker'!$B$5:$B$554,$K217)))</f>
        <v/>
      </c>
      <c r="D217" s="6" t="str">
        <f aca="false">IF($K217="","",IF(INDEX('Prospect Tracker'!$M$5:$M$554,$K217)="","",INDEX('Prospect Tracker'!$M$5:$M$554,$K217)))</f>
        <v/>
      </c>
      <c r="E217" s="6" t="str">
        <f aca="false">IF($K217="","",IF(INDEX('Prospect Tracker'!$R$5:$R$554,$K217)="","",INDEX('Prospect Tracker'!$R$5:$R$554,$K217)))</f>
        <v/>
      </c>
      <c r="F217" s="6" t="str">
        <f aca="false">IF($K217="","",IF(INDEX('Prospect Tracker'!$J$5:$J$554,$K217)="","",INDEX('Prospect Tracker'!$J$5:$J$554,$K217)))</f>
        <v/>
      </c>
      <c r="G217" s="6" t="str">
        <f aca="false">IF($K217="","",IF(INDEX('Prospect Tracker'!$H$5:$H$554,$K217)="","",INDEX('Prospect Tracker'!$H$5:$H$554,$K217)))</f>
        <v/>
      </c>
      <c r="H217" s="7" t="str">
        <f aca="false">IF($K217="","",IF(INDEX('Prospect Tracker'!$K$5:$K$554,$K217)="","",INDEX('Prospect Tracker'!$K$5:$K$554,$K217)))</f>
        <v/>
      </c>
      <c r="I217" s="6" t="str">
        <f aca="false">IF($K217="","",IF(INDEX('Prospect Tracker'!$T$5:$T$554,$K217)="","",INDEX('Prospect Tracker'!$T$5:$T$554,$K217)))</f>
        <v/>
      </c>
      <c r="J217" s="6" t="str">
        <f aca="false">IF($K217="","",IF(INDEX('Prospect Tracker'!$L$5:$L$554,$K217)="","",INDEX('Prospect Tracker'!$L$5:$L$554,$K217)))</f>
        <v/>
      </c>
      <c r="K217" s="1" t="n">
        <f aca="false">IFERROR(MATCH(SMALL('Prospect Tracker'!$X$5:$X$554,ROW()-4),'Prospect Tracker'!$X$5:$X$554,0),"")</f>
        <v>213</v>
      </c>
    </row>
    <row r="218" customFormat="false" ht="15" hidden="false" customHeight="true" outlineLevel="0" collapsed="false">
      <c r="A218" s="11" t="str">
        <f aca="false">IF($K218="","",IF(INDEX('Prospect Tracker'!$W$5:$W$554,$K218)="","",INDEX('Prospect Tracker'!$W$5:$W$554,$K218)))</f>
        <v/>
      </c>
      <c r="B218" s="11" t="str">
        <f aca="false">IF($K218="","",IF(INDEX('Prospect Tracker'!$A$5:$A$554,$K218)="","",INDEX('Prospect Tracker'!$A$5:$A$554,$K218)))</f>
        <v/>
      </c>
      <c r="C218" s="11" t="str">
        <f aca="false">IF($K218="","",IF(INDEX('Prospect Tracker'!$B$5:$B$554,$K218)="","",INDEX('Prospect Tracker'!$B$5:$B$554,$K218)))</f>
        <v/>
      </c>
      <c r="D218" s="11" t="str">
        <f aca="false">IF($K218="","",IF(INDEX('Prospect Tracker'!$M$5:$M$554,$K218)="","",INDEX('Prospect Tracker'!$M$5:$M$554,$K218)))</f>
        <v/>
      </c>
      <c r="E218" s="11" t="str">
        <f aca="false">IF($K218="","",IF(INDEX('Prospect Tracker'!$R$5:$R$554,$K218)="","",INDEX('Prospect Tracker'!$R$5:$R$554,$K218)))</f>
        <v/>
      </c>
      <c r="F218" s="11" t="str">
        <f aca="false">IF($K218="","",IF(INDEX('Prospect Tracker'!$J$5:$J$554,$K218)="","",INDEX('Prospect Tracker'!$J$5:$J$554,$K218)))</f>
        <v/>
      </c>
      <c r="G218" s="11" t="str">
        <f aca="false">IF($K218="","",IF(INDEX('Prospect Tracker'!$H$5:$H$554,$K218)="","",INDEX('Prospect Tracker'!$H$5:$H$554,$K218)))</f>
        <v/>
      </c>
      <c r="H218" s="12" t="str">
        <f aca="false">IF($K218="","",IF(INDEX('Prospect Tracker'!$K$5:$K$554,$K218)="","",INDEX('Prospect Tracker'!$K$5:$K$554,$K218)))</f>
        <v/>
      </c>
      <c r="I218" s="11" t="str">
        <f aca="false">IF($K218="","",IF(INDEX('Prospect Tracker'!$T$5:$T$554,$K218)="","",INDEX('Prospect Tracker'!$T$5:$T$554,$K218)))</f>
        <v/>
      </c>
      <c r="J218" s="11" t="str">
        <f aca="false">IF($K218="","",IF(INDEX('Prospect Tracker'!$L$5:$L$554,$K218)="","",INDEX('Prospect Tracker'!$L$5:$L$554,$K218)))</f>
        <v/>
      </c>
      <c r="K218" s="1" t="n">
        <f aca="false">IFERROR(MATCH(SMALL('Prospect Tracker'!$X$5:$X$554,ROW()-4),'Prospect Tracker'!$X$5:$X$554,0),"")</f>
        <v>214</v>
      </c>
    </row>
    <row r="219" customFormat="false" ht="15" hidden="false" customHeight="true" outlineLevel="0" collapsed="false">
      <c r="A219" s="6" t="str">
        <f aca="false">IF($K219="","",IF(INDEX('Prospect Tracker'!$W$5:$W$554,$K219)="","",INDEX('Prospect Tracker'!$W$5:$W$554,$K219)))</f>
        <v/>
      </c>
      <c r="B219" s="6" t="str">
        <f aca="false">IF($K219="","",IF(INDEX('Prospect Tracker'!$A$5:$A$554,$K219)="","",INDEX('Prospect Tracker'!$A$5:$A$554,$K219)))</f>
        <v/>
      </c>
      <c r="C219" s="6" t="str">
        <f aca="false">IF($K219="","",IF(INDEX('Prospect Tracker'!$B$5:$B$554,$K219)="","",INDEX('Prospect Tracker'!$B$5:$B$554,$K219)))</f>
        <v/>
      </c>
      <c r="D219" s="6" t="str">
        <f aca="false">IF($K219="","",IF(INDEX('Prospect Tracker'!$M$5:$M$554,$K219)="","",INDEX('Prospect Tracker'!$M$5:$M$554,$K219)))</f>
        <v/>
      </c>
      <c r="E219" s="6" t="str">
        <f aca="false">IF($K219="","",IF(INDEX('Prospect Tracker'!$R$5:$R$554,$K219)="","",INDEX('Prospect Tracker'!$R$5:$R$554,$K219)))</f>
        <v/>
      </c>
      <c r="F219" s="6" t="str">
        <f aca="false">IF($K219="","",IF(INDEX('Prospect Tracker'!$J$5:$J$554,$K219)="","",INDEX('Prospect Tracker'!$J$5:$J$554,$K219)))</f>
        <v/>
      </c>
      <c r="G219" s="6" t="str">
        <f aca="false">IF($K219="","",IF(INDEX('Prospect Tracker'!$H$5:$H$554,$K219)="","",INDEX('Prospect Tracker'!$H$5:$H$554,$K219)))</f>
        <v/>
      </c>
      <c r="H219" s="7" t="str">
        <f aca="false">IF($K219="","",IF(INDEX('Prospect Tracker'!$K$5:$K$554,$K219)="","",INDEX('Prospect Tracker'!$K$5:$K$554,$K219)))</f>
        <v/>
      </c>
      <c r="I219" s="6" t="str">
        <f aca="false">IF($K219="","",IF(INDEX('Prospect Tracker'!$T$5:$T$554,$K219)="","",INDEX('Prospect Tracker'!$T$5:$T$554,$K219)))</f>
        <v/>
      </c>
      <c r="J219" s="6" t="str">
        <f aca="false">IF($K219="","",IF(INDEX('Prospect Tracker'!$L$5:$L$554,$K219)="","",INDEX('Prospect Tracker'!$L$5:$L$554,$K219)))</f>
        <v/>
      </c>
      <c r="K219" s="1" t="n">
        <f aca="false">IFERROR(MATCH(SMALL('Prospect Tracker'!$X$5:$X$554,ROW()-4),'Prospect Tracker'!$X$5:$X$554,0),"")</f>
        <v>215</v>
      </c>
    </row>
    <row r="220" customFormat="false" ht="15" hidden="false" customHeight="true" outlineLevel="0" collapsed="false">
      <c r="A220" s="11" t="str">
        <f aca="false">IF($K220="","",IF(INDEX('Prospect Tracker'!$W$5:$W$554,$K220)="","",INDEX('Prospect Tracker'!$W$5:$W$554,$K220)))</f>
        <v/>
      </c>
      <c r="B220" s="11" t="str">
        <f aca="false">IF($K220="","",IF(INDEX('Prospect Tracker'!$A$5:$A$554,$K220)="","",INDEX('Prospect Tracker'!$A$5:$A$554,$K220)))</f>
        <v/>
      </c>
      <c r="C220" s="11" t="str">
        <f aca="false">IF($K220="","",IF(INDEX('Prospect Tracker'!$B$5:$B$554,$K220)="","",INDEX('Prospect Tracker'!$B$5:$B$554,$K220)))</f>
        <v/>
      </c>
      <c r="D220" s="11" t="str">
        <f aca="false">IF($K220="","",IF(INDEX('Prospect Tracker'!$M$5:$M$554,$K220)="","",INDEX('Prospect Tracker'!$M$5:$M$554,$K220)))</f>
        <v/>
      </c>
      <c r="E220" s="11" t="str">
        <f aca="false">IF($K220="","",IF(INDEX('Prospect Tracker'!$R$5:$R$554,$K220)="","",INDEX('Prospect Tracker'!$R$5:$R$554,$K220)))</f>
        <v/>
      </c>
      <c r="F220" s="11" t="str">
        <f aca="false">IF($K220="","",IF(INDEX('Prospect Tracker'!$J$5:$J$554,$K220)="","",INDEX('Prospect Tracker'!$J$5:$J$554,$K220)))</f>
        <v/>
      </c>
      <c r="G220" s="11" t="str">
        <f aca="false">IF($K220="","",IF(INDEX('Prospect Tracker'!$H$5:$H$554,$K220)="","",INDEX('Prospect Tracker'!$H$5:$H$554,$K220)))</f>
        <v/>
      </c>
      <c r="H220" s="12" t="str">
        <f aca="false">IF($K220="","",IF(INDEX('Prospect Tracker'!$K$5:$K$554,$K220)="","",INDEX('Prospect Tracker'!$K$5:$K$554,$K220)))</f>
        <v/>
      </c>
      <c r="I220" s="11" t="str">
        <f aca="false">IF($K220="","",IF(INDEX('Prospect Tracker'!$T$5:$T$554,$K220)="","",INDEX('Prospect Tracker'!$T$5:$T$554,$K220)))</f>
        <v/>
      </c>
      <c r="J220" s="11" t="str">
        <f aca="false">IF($K220="","",IF(INDEX('Prospect Tracker'!$L$5:$L$554,$K220)="","",INDEX('Prospect Tracker'!$L$5:$L$554,$K220)))</f>
        <v/>
      </c>
      <c r="K220" s="1" t="n">
        <f aca="false">IFERROR(MATCH(SMALL('Prospect Tracker'!$X$5:$X$554,ROW()-4),'Prospect Tracker'!$X$5:$X$554,0),"")</f>
        <v>216</v>
      </c>
    </row>
    <row r="221" customFormat="false" ht="15" hidden="false" customHeight="true" outlineLevel="0" collapsed="false">
      <c r="A221" s="6" t="str">
        <f aca="false">IF($K221="","",IF(INDEX('Prospect Tracker'!$W$5:$W$554,$K221)="","",INDEX('Prospect Tracker'!$W$5:$W$554,$K221)))</f>
        <v/>
      </c>
      <c r="B221" s="6" t="str">
        <f aca="false">IF($K221="","",IF(INDEX('Prospect Tracker'!$A$5:$A$554,$K221)="","",INDEX('Prospect Tracker'!$A$5:$A$554,$K221)))</f>
        <v/>
      </c>
      <c r="C221" s="6" t="str">
        <f aca="false">IF($K221="","",IF(INDEX('Prospect Tracker'!$B$5:$B$554,$K221)="","",INDEX('Prospect Tracker'!$B$5:$B$554,$K221)))</f>
        <v/>
      </c>
      <c r="D221" s="6" t="str">
        <f aca="false">IF($K221="","",IF(INDEX('Prospect Tracker'!$M$5:$M$554,$K221)="","",INDEX('Prospect Tracker'!$M$5:$M$554,$K221)))</f>
        <v/>
      </c>
      <c r="E221" s="6" t="str">
        <f aca="false">IF($K221="","",IF(INDEX('Prospect Tracker'!$R$5:$R$554,$K221)="","",INDEX('Prospect Tracker'!$R$5:$R$554,$K221)))</f>
        <v/>
      </c>
      <c r="F221" s="6" t="str">
        <f aca="false">IF($K221="","",IF(INDEX('Prospect Tracker'!$J$5:$J$554,$K221)="","",INDEX('Prospect Tracker'!$J$5:$J$554,$K221)))</f>
        <v/>
      </c>
      <c r="G221" s="6" t="str">
        <f aca="false">IF($K221="","",IF(INDEX('Prospect Tracker'!$H$5:$H$554,$K221)="","",INDEX('Prospect Tracker'!$H$5:$H$554,$K221)))</f>
        <v/>
      </c>
      <c r="H221" s="7" t="str">
        <f aca="false">IF($K221="","",IF(INDEX('Prospect Tracker'!$K$5:$K$554,$K221)="","",INDEX('Prospect Tracker'!$K$5:$K$554,$K221)))</f>
        <v/>
      </c>
      <c r="I221" s="6" t="str">
        <f aca="false">IF($K221="","",IF(INDEX('Prospect Tracker'!$T$5:$T$554,$K221)="","",INDEX('Prospect Tracker'!$T$5:$T$554,$K221)))</f>
        <v/>
      </c>
      <c r="J221" s="6" t="str">
        <f aca="false">IF($K221="","",IF(INDEX('Prospect Tracker'!$L$5:$L$554,$K221)="","",INDEX('Prospect Tracker'!$L$5:$L$554,$K221)))</f>
        <v/>
      </c>
      <c r="K221" s="1" t="n">
        <f aca="false">IFERROR(MATCH(SMALL('Prospect Tracker'!$X$5:$X$554,ROW()-4),'Prospect Tracker'!$X$5:$X$554,0),"")</f>
        <v>217</v>
      </c>
    </row>
    <row r="222" customFormat="false" ht="15" hidden="false" customHeight="true" outlineLevel="0" collapsed="false">
      <c r="A222" s="11" t="str">
        <f aca="false">IF($K222="","",IF(INDEX('Prospect Tracker'!$W$5:$W$554,$K222)="","",INDEX('Prospect Tracker'!$W$5:$W$554,$K222)))</f>
        <v/>
      </c>
      <c r="B222" s="11" t="str">
        <f aca="false">IF($K222="","",IF(INDEX('Prospect Tracker'!$A$5:$A$554,$K222)="","",INDEX('Prospect Tracker'!$A$5:$A$554,$K222)))</f>
        <v/>
      </c>
      <c r="C222" s="11" t="str">
        <f aca="false">IF($K222="","",IF(INDEX('Prospect Tracker'!$B$5:$B$554,$K222)="","",INDEX('Prospect Tracker'!$B$5:$B$554,$K222)))</f>
        <v/>
      </c>
      <c r="D222" s="11" t="str">
        <f aca="false">IF($K222="","",IF(INDEX('Prospect Tracker'!$M$5:$M$554,$K222)="","",INDEX('Prospect Tracker'!$M$5:$M$554,$K222)))</f>
        <v/>
      </c>
      <c r="E222" s="11" t="str">
        <f aca="false">IF($K222="","",IF(INDEX('Prospect Tracker'!$R$5:$R$554,$K222)="","",INDEX('Prospect Tracker'!$R$5:$R$554,$K222)))</f>
        <v/>
      </c>
      <c r="F222" s="11" t="str">
        <f aca="false">IF($K222="","",IF(INDEX('Prospect Tracker'!$J$5:$J$554,$K222)="","",INDEX('Prospect Tracker'!$J$5:$J$554,$K222)))</f>
        <v/>
      </c>
      <c r="G222" s="11" t="str">
        <f aca="false">IF($K222="","",IF(INDEX('Prospect Tracker'!$H$5:$H$554,$K222)="","",INDEX('Prospect Tracker'!$H$5:$H$554,$K222)))</f>
        <v/>
      </c>
      <c r="H222" s="12" t="str">
        <f aca="false">IF($K222="","",IF(INDEX('Prospect Tracker'!$K$5:$K$554,$K222)="","",INDEX('Prospect Tracker'!$K$5:$K$554,$K222)))</f>
        <v/>
      </c>
      <c r="I222" s="11" t="str">
        <f aca="false">IF($K222="","",IF(INDEX('Prospect Tracker'!$T$5:$T$554,$K222)="","",INDEX('Prospect Tracker'!$T$5:$T$554,$K222)))</f>
        <v/>
      </c>
      <c r="J222" s="11" t="str">
        <f aca="false">IF($K222="","",IF(INDEX('Prospect Tracker'!$L$5:$L$554,$K222)="","",INDEX('Prospect Tracker'!$L$5:$L$554,$K222)))</f>
        <v/>
      </c>
      <c r="K222" s="1" t="n">
        <f aca="false">IFERROR(MATCH(SMALL('Prospect Tracker'!$X$5:$X$554,ROW()-4),'Prospect Tracker'!$X$5:$X$554,0),"")</f>
        <v>218</v>
      </c>
    </row>
    <row r="223" customFormat="false" ht="15" hidden="false" customHeight="true" outlineLevel="0" collapsed="false">
      <c r="A223" s="6" t="str">
        <f aca="false">IF($K223="","",IF(INDEX('Prospect Tracker'!$W$5:$W$554,$K223)="","",INDEX('Prospect Tracker'!$W$5:$W$554,$K223)))</f>
        <v/>
      </c>
      <c r="B223" s="6" t="str">
        <f aca="false">IF($K223="","",IF(INDEX('Prospect Tracker'!$A$5:$A$554,$K223)="","",INDEX('Prospect Tracker'!$A$5:$A$554,$K223)))</f>
        <v/>
      </c>
      <c r="C223" s="6" t="str">
        <f aca="false">IF($K223="","",IF(INDEX('Prospect Tracker'!$B$5:$B$554,$K223)="","",INDEX('Prospect Tracker'!$B$5:$B$554,$K223)))</f>
        <v/>
      </c>
      <c r="D223" s="6" t="str">
        <f aca="false">IF($K223="","",IF(INDEX('Prospect Tracker'!$M$5:$M$554,$K223)="","",INDEX('Prospect Tracker'!$M$5:$M$554,$K223)))</f>
        <v/>
      </c>
      <c r="E223" s="6" t="str">
        <f aca="false">IF($K223="","",IF(INDEX('Prospect Tracker'!$R$5:$R$554,$K223)="","",INDEX('Prospect Tracker'!$R$5:$R$554,$K223)))</f>
        <v/>
      </c>
      <c r="F223" s="6" t="str">
        <f aca="false">IF($K223="","",IF(INDEX('Prospect Tracker'!$J$5:$J$554,$K223)="","",INDEX('Prospect Tracker'!$J$5:$J$554,$K223)))</f>
        <v/>
      </c>
      <c r="G223" s="6" t="str">
        <f aca="false">IF($K223="","",IF(INDEX('Prospect Tracker'!$H$5:$H$554,$K223)="","",INDEX('Prospect Tracker'!$H$5:$H$554,$K223)))</f>
        <v/>
      </c>
      <c r="H223" s="7" t="str">
        <f aca="false">IF($K223="","",IF(INDEX('Prospect Tracker'!$K$5:$K$554,$K223)="","",INDEX('Prospect Tracker'!$K$5:$K$554,$K223)))</f>
        <v/>
      </c>
      <c r="I223" s="6" t="str">
        <f aca="false">IF($K223="","",IF(INDEX('Prospect Tracker'!$T$5:$T$554,$K223)="","",INDEX('Prospect Tracker'!$T$5:$T$554,$K223)))</f>
        <v/>
      </c>
      <c r="J223" s="6" t="str">
        <f aca="false">IF($K223="","",IF(INDEX('Prospect Tracker'!$L$5:$L$554,$K223)="","",INDEX('Prospect Tracker'!$L$5:$L$554,$K223)))</f>
        <v/>
      </c>
      <c r="K223" s="1" t="n">
        <f aca="false">IFERROR(MATCH(SMALL('Prospect Tracker'!$X$5:$X$554,ROW()-4),'Prospect Tracker'!$X$5:$X$554,0),"")</f>
        <v>219</v>
      </c>
    </row>
    <row r="224" customFormat="false" ht="15" hidden="false" customHeight="true" outlineLevel="0" collapsed="false">
      <c r="A224" s="11" t="str">
        <f aca="false">IF($K224="","",IF(INDEX('Prospect Tracker'!$W$5:$W$554,$K224)="","",INDEX('Prospect Tracker'!$W$5:$W$554,$K224)))</f>
        <v/>
      </c>
      <c r="B224" s="11" t="str">
        <f aca="false">IF($K224="","",IF(INDEX('Prospect Tracker'!$A$5:$A$554,$K224)="","",INDEX('Prospect Tracker'!$A$5:$A$554,$K224)))</f>
        <v/>
      </c>
      <c r="C224" s="11" t="str">
        <f aca="false">IF($K224="","",IF(INDEX('Prospect Tracker'!$B$5:$B$554,$K224)="","",INDEX('Prospect Tracker'!$B$5:$B$554,$K224)))</f>
        <v/>
      </c>
      <c r="D224" s="11" t="str">
        <f aca="false">IF($K224="","",IF(INDEX('Prospect Tracker'!$M$5:$M$554,$K224)="","",INDEX('Prospect Tracker'!$M$5:$M$554,$K224)))</f>
        <v/>
      </c>
      <c r="E224" s="11" t="str">
        <f aca="false">IF($K224="","",IF(INDEX('Prospect Tracker'!$R$5:$R$554,$K224)="","",INDEX('Prospect Tracker'!$R$5:$R$554,$K224)))</f>
        <v/>
      </c>
      <c r="F224" s="11" t="str">
        <f aca="false">IF($K224="","",IF(INDEX('Prospect Tracker'!$J$5:$J$554,$K224)="","",INDEX('Prospect Tracker'!$J$5:$J$554,$K224)))</f>
        <v/>
      </c>
      <c r="G224" s="11" t="str">
        <f aca="false">IF($K224="","",IF(INDEX('Prospect Tracker'!$H$5:$H$554,$K224)="","",INDEX('Prospect Tracker'!$H$5:$H$554,$K224)))</f>
        <v/>
      </c>
      <c r="H224" s="12" t="str">
        <f aca="false">IF($K224="","",IF(INDEX('Prospect Tracker'!$K$5:$K$554,$K224)="","",INDEX('Prospect Tracker'!$K$5:$K$554,$K224)))</f>
        <v/>
      </c>
      <c r="I224" s="11" t="str">
        <f aca="false">IF($K224="","",IF(INDEX('Prospect Tracker'!$T$5:$T$554,$K224)="","",INDEX('Prospect Tracker'!$T$5:$T$554,$K224)))</f>
        <v/>
      </c>
      <c r="J224" s="11" t="str">
        <f aca="false">IF($K224="","",IF(INDEX('Prospect Tracker'!$L$5:$L$554,$K224)="","",INDEX('Prospect Tracker'!$L$5:$L$554,$K224)))</f>
        <v/>
      </c>
      <c r="K224" s="1" t="n">
        <f aca="false">IFERROR(MATCH(SMALL('Prospect Tracker'!$X$5:$X$554,ROW()-4),'Prospect Tracker'!$X$5:$X$554,0),"")</f>
        <v>220</v>
      </c>
    </row>
    <row r="225" customFormat="false" ht="15" hidden="false" customHeight="true" outlineLevel="0" collapsed="false">
      <c r="A225" s="6" t="str">
        <f aca="false">IF($K225="","",IF(INDEX('Prospect Tracker'!$W$5:$W$554,$K225)="","",INDEX('Prospect Tracker'!$W$5:$W$554,$K225)))</f>
        <v/>
      </c>
      <c r="B225" s="6" t="str">
        <f aca="false">IF($K225="","",IF(INDEX('Prospect Tracker'!$A$5:$A$554,$K225)="","",INDEX('Prospect Tracker'!$A$5:$A$554,$K225)))</f>
        <v/>
      </c>
      <c r="C225" s="6" t="str">
        <f aca="false">IF($K225="","",IF(INDEX('Prospect Tracker'!$B$5:$B$554,$K225)="","",INDEX('Prospect Tracker'!$B$5:$B$554,$K225)))</f>
        <v/>
      </c>
      <c r="D225" s="6" t="str">
        <f aca="false">IF($K225="","",IF(INDEX('Prospect Tracker'!$M$5:$M$554,$K225)="","",INDEX('Prospect Tracker'!$M$5:$M$554,$K225)))</f>
        <v/>
      </c>
      <c r="E225" s="6" t="str">
        <f aca="false">IF($K225="","",IF(INDEX('Prospect Tracker'!$R$5:$R$554,$K225)="","",INDEX('Prospect Tracker'!$R$5:$R$554,$K225)))</f>
        <v/>
      </c>
      <c r="F225" s="6" t="str">
        <f aca="false">IF($K225="","",IF(INDEX('Prospect Tracker'!$J$5:$J$554,$K225)="","",INDEX('Prospect Tracker'!$J$5:$J$554,$K225)))</f>
        <v/>
      </c>
      <c r="G225" s="6" t="str">
        <f aca="false">IF($K225="","",IF(INDEX('Prospect Tracker'!$H$5:$H$554,$K225)="","",INDEX('Prospect Tracker'!$H$5:$H$554,$K225)))</f>
        <v/>
      </c>
      <c r="H225" s="7" t="str">
        <f aca="false">IF($K225="","",IF(INDEX('Prospect Tracker'!$K$5:$K$554,$K225)="","",INDEX('Prospect Tracker'!$K$5:$K$554,$K225)))</f>
        <v/>
      </c>
      <c r="I225" s="6" t="str">
        <f aca="false">IF($K225="","",IF(INDEX('Prospect Tracker'!$T$5:$T$554,$K225)="","",INDEX('Prospect Tracker'!$T$5:$T$554,$K225)))</f>
        <v/>
      </c>
      <c r="J225" s="6" t="str">
        <f aca="false">IF($K225="","",IF(INDEX('Prospect Tracker'!$L$5:$L$554,$K225)="","",INDEX('Prospect Tracker'!$L$5:$L$554,$K225)))</f>
        <v/>
      </c>
      <c r="K225" s="1" t="n">
        <f aca="false">IFERROR(MATCH(SMALL('Prospect Tracker'!$X$5:$X$554,ROW()-4),'Prospect Tracker'!$X$5:$X$554,0),"")</f>
        <v>221</v>
      </c>
    </row>
    <row r="226" customFormat="false" ht="15" hidden="false" customHeight="true" outlineLevel="0" collapsed="false">
      <c r="A226" s="11" t="str">
        <f aca="false">IF($K226="","",IF(INDEX('Prospect Tracker'!$W$5:$W$554,$K226)="","",INDEX('Prospect Tracker'!$W$5:$W$554,$K226)))</f>
        <v/>
      </c>
      <c r="B226" s="11" t="str">
        <f aca="false">IF($K226="","",IF(INDEX('Prospect Tracker'!$A$5:$A$554,$K226)="","",INDEX('Prospect Tracker'!$A$5:$A$554,$K226)))</f>
        <v/>
      </c>
      <c r="C226" s="11" t="str">
        <f aca="false">IF($K226="","",IF(INDEX('Prospect Tracker'!$B$5:$B$554,$K226)="","",INDEX('Prospect Tracker'!$B$5:$B$554,$K226)))</f>
        <v/>
      </c>
      <c r="D226" s="11" t="str">
        <f aca="false">IF($K226="","",IF(INDEX('Prospect Tracker'!$M$5:$M$554,$K226)="","",INDEX('Prospect Tracker'!$M$5:$M$554,$K226)))</f>
        <v/>
      </c>
      <c r="E226" s="11" t="str">
        <f aca="false">IF($K226="","",IF(INDEX('Prospect Tracker'!$R$5:$R$554,$K226)="","",INDEX('Prospect Tracker'!$R$5:$R$554,$K226)))</f>
        <v/>
      </c>
      <c r="F226" s="11" t="str">
        <f aca="false">IF($K226="","",IF(INDEX('Prospect Tracker'!$J$5:$J$554,$K226)="","",INDEX('Prospect Tracker'!$J$5:$J$554,$K226)))</f>
        <v/>
      </c>
      <c r="G226" s="11" t="str">
        <f aca="false">IF($K226="","",IF(INDEX('Prospect Tracker'!$H$5:$H$554,$K226)="","",INDEX('Prospect Tracker'!$H$5:$H$554,$K226)))</f>
        <v/>
      </c>
      <c r="H226" s="12" t="str">
        <f aca="false">IF($K226="","",IF(INDEX('Prospect Tracker'!$K$5:$K$554,$K226)="","",INDEX('Prospect Tracker'!$K$5:$K$554,$K226)))</f>
        <v/>
      </c>
      <c r="I226" s="11" t="str">
        <f aca="false">IF($K226="","",IF(INDEX('Prospect Tracker'!$T$5:$T$554,$K226)="","",INDEX('Prospect Tracker'!$T$5:$T$554,$K226)))</f>
        <v/>
      </c>
      <c r="J226" s="11" t="str">
        <f aca="false">IF($K226="","",IF(INDEX('Prospect Tracker'!$L$5:$L$554,$K226)="","",INDEX('Prospect Tracker'!$L$5:$L$554,$K226)))</f>
        <v/>
      </c>
      <c r="K226" s="1" t="n">
        <f aca="false">IFERROR(MATCH(SMALL('Prospect Tracker'!$X$5:$X$554,ROW()-4),'Prospect Tracker'!$X$5:$X$554,0),"")</f>
        <v>222</v>
      </c>
    </row>
    <row r="227" customFormat="false" ht="15" hidden="false" customHeight="true" outlineLevel="0" collapsed="false">
      <c r="A227" s="6" t="str">
        <f aca="false">IF($K227="","",IF(INDEX('Prospect Tracker'!$W$5:$W$554,$K227)="","",INDEX('Prospect Tracker'!$W$5:$W$554,$K227)))</f>
        <v/>
      </c>
      <c r="B227" s="6" t="str">
        <f aca="false">IF($K227="","",IF(INDEX('Prospect Tracker'!$A$5:$A$554,$K227)="","",INDEX('Prospect Tracker'!$A$5:$A$554,$K227)))</f>
        <v/>
      </c>
      <c r="C227" s="6" t="str">
        <f aca="false">IF($K227="","",IF(INDEX('Prospect Tracker'!$B$5:$B$554,$K227)="","",INDEX('Prospect Tracker'!$B$5:$B$554,$K227)))</f>
        <v/>
      </c>
      <c r="D227" s="6" t="str">
        <f aca="false">IF($K227="","",IF(INDEX('Prospect Tracker'!$M$5:$M$554,$K227)="","",INDEX('Prospect Tracker'!$M$5:$M$554,$K227)))</f>
        <v/>
      </c>
      <c r="E227" s="6" t="str">
        <f aca="false">IF($K227="","",IF(INDEX('Prospect Tracker'!$R$5:$R$554,$K227)="","",INDEX('Prospect Tracker'!$R$5:$R$554,$K227)))</f>
        <v/>
      </c>
      <c r="F227" s="6" t="str">
        <f aca="false">IF($K227="","",IF(INDEX('Prospect Tracker'!$J$5:$J$554,$K227)="","",INDEX('Prospect Tracker'!$J$5:$J$554,$K227)))</f>
        <v/>
      </c>
      <c r="G227" s="6" t="str">
        <f aca="false">IF($K227="","",IF(INDEX('Prospect Tracker'!$H$5:$H$554,$K227)="","",INDEX('Prospect Tracker'!$H$5:$H$554,$K227)))</f>
        <v/>
      </c>
      <c r="H227" s="7" t="str">
        <f aca="false">IF($K227="","",IF(INDEX('Prospect Tracker'!$K$5:$K$554,$K227)="","",INDEX('Prospect Tracker'!$K$5:$K$554,$K227)))</f>
        <v/>
      </c>
      <c r="I227" s="6" t="str">
        <f aca="false">IF($K227="","",IF(INDEX('Prospect Tracker'!$T$5:$T$554,$K227)="","",INDEX('Prospect Tracker'!$T$5:$T$554,$K227)))</f>
        <v/>
      </c>
      <c r="J227" s="6" t="str">
        <f aca="false">IF($K227="","",IF(INDEX('Prospect Tracker'!$L$5:$L$554,$K227)="","",INDEX('Prospect Tracker'!$L$5:$L$554,$K227)))</f>
        <v/>
      </c>
      <c r="K227" s="1" t="n">
        <f aca="false">IFERROR(MATCH(SMALL('Prospect Tracker'!$X$5:$X$554,ROW()-4),'Prospect Tracker'!$X$5:$X$554,0),"")</f>
        <v>223</v>
      </c>
    </row>
    <row r="228" customFormat="false" ht="15" hidden="false" customHeight="true" outlineLevel="0" collapsed="false">
      <c r="A228" s="11" t="str">
        <f aca="false">IF($K228="","",IF(INDEX('Prospect Tracker'!$W$5:$W$554,$K228)="","",INDEX('Prospect Tracker'!$W$5:$W$554,$K228)))</f>
        <v/>
      </c>
      <c r="B228" s="11" t="str">
        <f aca="false">IF($K228="","",IF(INDEX('Prospect Tracker'!$A$5:$A$554,$K228)="","",INDEX('Prospect Tracker'!$A$5:$A$554,$K228)))</f>
        <v/>
      </c>
      <c r="C228" s="11" t="str">
        <f aca="false">IF($K228="","",IF(INDEX('Prospect Tracker'!$B$5:$B$554,$K228)="","",INDEX('Prospect Tracker'!$B$5:$B$554,$K228)))</f>
        <v/>
      </c>
      <c r="D228" s="11" t="str">
        <f aca="false">IF($K228="","",IF(INDEX('Prospect Tracker'!$M$5:$M$554,$K228)="","",INDEX('Prospect Tracker'!$M$5:$M$554,$K228)))</f>
        <v/>
      </c>
      <c r="E228" s="11" t="str">
        <f aca="false">IF($K228="","",IF(INDEX('Prospect Tracker'!$R$5:$R$554,$K228)="","",INDEX('Prospect Tracker'!$R$5:$R$554,$K228)))</f>
        <v/>
      </c>
      <c r="F228" s="11" t="str">
        <f aca="false">IF($K228="","",IF(INDEX('Prospect Tracker'!$J$5:$J$554,$K228)="","",INDEX('Prospect Tracker'!$J$5:$J$554,$K228)))</f>
        <v/>
      </c>
      <c r="G228" s="11" t="str">
        <f aca="false">IF($K228="","",IF(INDEX('Prospect Tracker'!$H$5:$H$554,$K228)="","",INDEX('Prospect Tracker'!$H$5:$H$554,$K228)))</f>
        <v/>
      </c>
      <c r="H228" s="12" t="str">
        <f aca="false">IF($K228="","",IF(INDEX('Prospect Tracker'!$K$5:$K$554,$K228)="","",INDEX('Prospect Tracker'!$K$5:$K$554,$K228)))</f>
        <v/>
      </c>
      <c r="I228" s="11" t="str">
        <f aca="false">IF($K228="","",IF(INDEX('Prospect Tracker'!$T$5:$T$554,$K228)="","",INDEX('Prospect Tracker'!$T$5:$T$554,$K228)))</f>
        <v/>
      </c>
      <c r="J228" s="11" t="str">
        <f aca="false">IF($K228="","",IF(INDEX('Prospect Tracker'!$L$5:$L$554,$K228)="","",INDEX('Prospect Tracker'!$L$5:$L$554,$K228)))</f>
        <v/>
      </c>
      <c r="K228" s="1" t="n">
        <f aca="false">IFERROR(MATCH(SMALL('Prospect Tracker'!$X$5:$X$554,ROW()-4),'Prospect Tracker'!$X$5:$X$554,0),"")</f>
        <v>224</v>
      </c>
    </row>
    <row r="229" customFormat="false" ht="15" hidden="false" customHeight="true" outlineLevel="0" collapsed="false">
      <c r="A229" s="6" t="str">
        <f aca="false">IF($K229="","",IF(INDEX('Prospect Tracker'!$W$5:$W$554,$K229)="","",INDEX('Prospect Tracker'!$W$5:$W$554,$K229)))</f>
        <v/>
      </c>
      <c r="B229" s="6" t="str">
        <f aca="false">IF($K229="","",IF(INDEX('Prospect Tracker'!$A$5:$A$554,$K229)="","",INDEX('Prospect Tracker'!$A$5:$A$554,$K229)))</f>
        <v/>
      </c>
      <c r="C229" s="6" t="str">
        <f aca="false">IF($K229="","",IF(INDEX('Prospect Tracker'!$B$5:$B$554,$K229)="","",INDEX('Prospect Tracker'!$B$5:$B$554,$K229)))</f>
        <v/>
      </c>
      <c r="D229" s="6" t="str">
        <f aca="false">IF($K229="","",IF(INDEX('Prospect Tracker'!$M$5:$M$554,$K229)="","",INDEX('Prospect Tracker'!$M$5:$M$554,$K229)))</f>
        <v/>
      </c>
      <c r="E229" s="6" t="str">
        <f aca="false">IF($K229="","",IF(INDEX('Prospect Tracker'!$R$5:$R$554,$K229)="","",INDEX('Prospect Tracker'!$R$5:$R$554,$K229)))</f>
        <v/>
      </c>
      <c r="F229" s="6" t="str">
        <f aca="false">IF($K229="","",IF(INDEX('Prospect Tracker'!$J$5:$J$554,$K229)="","",INDEX('Prospect Tracker'!$J$5:$J$554,$K229)))</f>
        <v/>
      </c>
      <c r="G229" s="6" t="str">
        <f aca="false">IF($K229="","",IF(INDEX('Prospect Tracker'!$H$5:$H$554,$K229)="","",INDEX('Prospect Tracker'!$H$5:$H$554,$K229)))</f>
        <v/>
      </c>
      <c r="H229" s="7" t="str">
        <f aca="false">IF($K229="","",IF(INDEX('Prospect Tracker'!$K$5:$K$554,$K229)="","",INDEX('Prospect Tracker'!$K$5:$K$554,$K229)))</f>
        <v/>
      </c>
      <c r="I229" s="6" t="str">
        <f aca="false">IF($K229="","",IF(INDEX('Prospect Tracker'!$T$5:$T$554,$K229)="","",INDEX('Prospect Tracker'!$T$5:$T$554,$K229)))</f>
        <v/>
      </c>
      <c r="J229" s="6" t="str">
        <f aca="false">IF($K229="","",IF(INDEX('Prospect Tracker'!$L$5:$L$554,$K229)="","",INDEX('Prospect Tracker'!$L$5:$L$554,$K229)))</f>
        <v/>
      </c>
      <c r="K229" s="1" t="n">
        <f aca="false">IFERROR(MATCH(SMALL('Prospect Tracker'!$X$5:$X$554,ROW()-4),'Prospect Tracker'!$X$5:$X$554,0),"")</f>
        <v>225</v>
      </c>
    </row>
    <row r="230" customFormat="false" ht="15" hidden="false" customHeight="true" outlineLevel="0" collapsed="false">
      <c r="A230" s="11" t="str">
        <f aca="false">IF($K230="","",IF(INDEX('Prospect Tracker'!$W$5:$W$554,$K230)="","",INDEX('Prospect Tracker'!$W$5:$W$554,$K230)))</f>
        <v/>
      </c>
      <c r="B230" s="11" t="str">
        <f aca="false">IF($K230="","",IF(INDEX('Prospect Tracker'!$A$5:$A$554,$K230)="","",INDEX('Prospect Tracker'!$A$5:$A$554,$K230)))</f>
        <v/>
      </c>
      <c r="C230" s="11" t="str">
        <f aca="false">IF($K230="","",IF(INDEX('Prospect Tracker'!$B$5:$B$554,$K230)="","",INDEX('Prospect Tracker'!$B$5:$B$554,$K230)))</f>
        <v/>
      </c>
      <c r="D230" s="11" t="str">
        <f aca="false">IF($K230="","",IF(INDEX('Prospect Tracker'!$M$5:$M$554,$K230)="","",INDEX('Prospect Tracker'!$M$5:$M$554,$K230)))</f>
        <v/>
      </c>
      <c r="E230" s="11" t="str">
        <f aca="false">IF($K230="","",IF(INDEX('Prospect Tracker'!$R$5:$R$554,$K230)="","",INDEX('Prospect Tracker'!$R$5:$R$554,$K230)))</f>
        <v/>
      </c>
      <c r="F230" s="11" t="str">
        <f aca="false">IF($K230="","",IF(INDEX('Prospect Tracker'!$J$5:$J$554,$K230)="","",INDEX('Prospect Tracker'!$J$5:$J$554,$K230)))</f>
        <v/>
      </c>
      <c r="G230" s="11" t="str">
        <f aca="false">IF($K230="","",IF(INDEX('Prospect Tracker'!$H$5:$H$554,$K230)="","",INDEX('Prospect Tracker'!$H$5:$H$554,$K230)))</f>
        <v/>
      </c>
      <c r="H230" s="12" t="str">
        <f aca="false">IF($K230="","",IF(INDEX('Prospect Tracker'!$K$5:$K$554,$K230)="","",INDEX('Prospect Tracker'!$K$5:$K$554,$K230)))</f>
        <v/>
      </c>
      <c r="I230" s="11" t="str">
        <f aca="false">IF($K230="","",IF(INDEX('Prospect Tracker'!$T$5:$T$554,$K230)="","",INDEX('Prospect Tracker'!$T$5:$T$554,$K230)))</f>
        <v/>
      </c>
      <c r="J230" s="11" t="str">
        <f aca="false">IF($K230="","",IF(INDEX('Prospect Tracker'!$L$5:$L$554,$K230)="","",INDEX('Prospect Tracker'!$L$5:$L$554,$K230)))</f>
        <v/>
      </c>
      <c r="K230" s="1" t="n">
        <f aca="false">IFERROR(MATCH(SMALL('Prospect Tracker'!$X$5:$X$554,ROW()-4),'Prospect Tracker'!$X$5:$X$554,0),"")</f>
        <v>226</v>
      </c>
    </row>
    <row r="231" customFormat="false" ht="15" hidden="false" customHeight="true" outlineLevel="0" collapsed="false">
      <c r="A231" s="6" t="str">
        <f aca="false">IF($K231="","",IF(INDEX('Prospect Tracker'!$W$5:$W$554,$K231)="","",INDEX('Prospect Tracker'!$W$5:$W$554,$K231)))</f>
        <v/>
      </c>
      <c r="B231" s="6" t="str">
        <f aca="false">IF($K231="","",IF(INDEX('Prospect Tracker'!$A$5:$A$554,$K231)="","",INDEX('Prospect Tracker'!$A$5:$A$554,$K231)))</f>
        <v/>
      </c>
      <c r="C231" s="6" t="str">
        <f aca="false">IF($K231="","",IF(INDEX('Prospect Tracker'!$B$5:$B$554,$K231)="","",INDEX('Prospect Tracker'!$B$5:$B$554,$K231)))</f>
        <v/>
      </c>
      <c r="D231" s="6" t="str">
        <f aca="false">IF($K231="","",IF(INDEX('Prospect Tracker'!$M$5:$M$554,$K231)="","",INDEX('Prospect Tracker'!$M$5:$M$554,$K231)))</f>
        <v/>
      </c>
      <c r="E231" s="6" t="str">
        <f aca="false">IF($K231="","",IF(INDEX('Prospect Tracker'!$R$5:$R$554,$K231)="","",INDEX('Prospect Tracker'!$R$5:$R$554,$K231)))</f>
        <v/>
      </c>
      <c r="F231" s="6" t="str">
        <f aca="false">IF($K231="","",IF(INDEX('Prospect Tracker'!$J$5:$J$554,$K231)="","",INDEX('Prospect Tracker'!$J$5:$J$554,$K231)))</f>
        <v/>
      </c>
      <c r="G231" s="6" t="str">
        <f aca="false">IF($K231="","",IF(INDEX('Prospect Tracker'!$H$5:$H$554,$K231)="","",INDEX('Prospect Tracker'!$H$5:$H$554,$K231)))</f>
        <v/>
      </c>
      <c r="H231" s="7" t="str">
        <f aca="false">IF($K231="","",IF(INDEX('Prospect Tracker'!$K$5:$K$554,$K231)="","",INDEX('Prospect Tracker'!$K$5:$K$554,$K231)))</f>
        <v/>
      </c>
      <c r="I231" s="6" t="str">
        <f aca="false">IF($K231="","",IF(INDEX('Prospect Tracker'!$T$5:$T$554,$K231)="","",INDEX('Prospect Tracker'!$T$5:$T$554,$K231)))</f>
        <v/>
      </c>
      <c r="J231" s="6" t="str">
        <f aca="false">IF($K231="","",IF(INDEX('Prospect Tracker'!$L$5:$L$554,$K231)="","",INDEX('Prospect Tracker'!$L$5:$L$554,$K231)))</f>
        <v/>
      </c>
      <c r="K231" s="1" t="n">
        <f aca="false">IFERROR(MATCH(SMALL('Prospect Tracker'!$X$5:$X$554,ROW()-4),'Prospect Tracker'!$X$5:$X$554,0),"")</f>
        <v>227</v>
      </c>
    </row>
    <row r="232" customFormat="false" ht="15" hidden="false" customHeight="true" outlineLevel="0" collapsed="false">
      <c r="A232" s="11" t="str">
        <f aca="false">IF($K232="","",IF(INDEX('Prospect Tracker'!$W$5:$W$554,$K232)="","",INDEX('Prospect Tracker'!$W$5:$W$554,$K232)))</f>
        <v/>
      </c>
      <c r="B232" s="11" t="str">
        <f aca="false">IF($K232="","",IF(INDEX('Prospect Tracker'!$A$5:$A$554,$K232)="","",INDEX('Prospect Tracker'!$A$5:$A$554,$K232)))</f>
        <v/>
      </c>
      <c r="C232" s="11" t="str">
        <f aca="false">IF($K232="","",IF(INDEX('Prospect Tracker'!$B$5:$B$554,$K232)="","",INDEX('Prospect Tracker'!$B$5:$B$554,$K232)))</f>
        <v/>
      </c>
      <c r="D232" s="11" t="str">
        <f aca="false">IF($K232="","",IF(INDEX('Prospect Tracker'!$M$5:$M$554,$K232)="","",INDEX('Prospect Tracker'!$M$5:$M$554,$K232)))</f>
        <v/>
      </c>
      <c r="E232" s="11" t="str">
        <f aca="false">IF($K232="","",IF(INDEX('Prospect Tracker'!$R$5:$R$554,$K232)="","",INDEX('Prospect Tracker'!$R$5:$R$554,$K232)))</f>
        <v/>
      </c>
      <c r="F232" s="11" t="str">
        <f aca="false">IF($K232="","",IF(INDEX('Prospect Tracker'!$J$5:$J$554,$K232)="","",INDEX('Prospect Tracker'!$J$5:$J$554,$K232)))</f>
        <v/>
      </c>
      <c r="G232" s="11" t="str">
        <f aca="false">IF($K232="","",IF(INDEX('Prospect Tracker'!$H$5:$H$554,$K232)="","",INDEX('Prospect Tracker'!$H$5:$H$554,$K232)))</f>
        <v/>
      </c>
      <c r="H232" s="12" t="str">
        <f aca="false">IF($K232="","",IF(INDEX('Prospect Tracker'!$K$5:$K$554,$K232)="","",INDEX('Prospect Tracker'!$K$5:$K$554,$K232)))</f>
        <v/>
      </c>
      <c r="I232" s="11" t="str">
        <f aca="false">IF($K232="","",IF(INDEX('Prospect Tracker'!$T$5:$T$554,$K232)="","",INDEX('Prospect Tracker'!$T$5:$T$554,$K232)))</f>
        <v/>
      </c>
      <c r="J232" s="11" t="str">
        <f aca="false">IF($K232="","",IF(INDEX('Prospect Tracker'!$L$5:$L$554,$K232)="","",INDEX('Prospect Tracker'!$L$5:$L$554,$K232)))</f>
        <v/>
      </c>
      <c r="K232" s="1" t="n">
        <f aca="false">IFERROR(MATCH(SMALL('Prospect Tracker'!$X$5:$X$554,ROW()-4),'Prospect Tracker'!$X$5:$X$554,0),"")</f>
        <v>228</v>
      </c>
    </row>
    <row r="233" customFormat="false" ht="15" hidden="false" customHeight="true" outlineLevel="0" collapsed="false">
      <c r="A233" s="6" t="str">
        <f aca="false">IF($K233="","",IF(INDEX('Prospect Tracker'!$W$5:$W$554,$K233)="","",INDEX('Prospect Tracker'!$W$5:$W$554,$K233)))</f>
        <v/>
      </c>
      <c r="B233" s="6" t="str">
        <f aca="false">IF($K233="","",IF(INDEX('Prospect Tracker'!$A$5:$A$554,$K233)="","",INDEX('Prospect Tracker'!$A$5:$A$554,$K233)))</f>
        <v/>
      </c>
      <c r="C233" s="6" t="str">
        <f aca="false">IF($K233="","",IF(INDEX('Prospect Tracker'!$B$5:$B$554,$K233)="","",INDEX('Prospect Tracker'!$B$5:$B$554,$K233)))</f>
        <v/>
      </c>
      <c r="D233" s="6" t="str">
        <f aca="false">IF($K233="","",IF(INDEX('Prospect Tracker'!$M$5:$M$554,$K233)="","",INDEX('Prospect Tracker'!$M$5:$M$554,$K233)))</f>
        <v/>
      </c>
      <c r="E233" s="6" t="str">
        <f aca="false">IF($K233="","",IF(INDEX('Prospect Tracker'!$R$5:$R$554,$K233)="","",INDEX('Prospect Tracker'!$R$5:$R$554,$K233)))</f>
        <v/>
      </c>
      <c r="F233" s="6" t="str">
        <f aca="false">IF($K233="","",IF(INDEX('Prospect Tracker'!$J$5:$J$554,$K233)="","",INDEX('Prospect Tracker'!$J$5:$J$554,$K233)))</f>
        <v/>
      </c>
      <c r="G233" s="6" t="str">
        <f aca="false">IF($K233="","",IF(INDEX('Prospect Tracker'!$H$5:$H$554,$K233)="","",INDEX('Prospect Tracker'!$H$5:$H$554,$K233)))</f>
        <v/>
      </c>
      <c r="H233" s="7" t="str">
        <f aca="false">IF($K233="","",IF(INDEX('Prospect Tracker'!$K$5:$K$554,$K233)="","",INDEX('Prospect Tracker'!$K$5:$K$554,$K233)))</f>
        <v/>
      </c>
      <c r="I233" s="6" t="str">
        <f aca="false">IF($K233="","",IF(INDEX('Prospect Tracker'!$T$5:$T$554,$K233)="","",INDEX('Prospect Tracker'!$T$5:$T$554,$K233)))</f>
        <v/>
      </c>
      <c r="J233" s="6" t="str">
        <f aca="false">IF($K233="","",IF(INDEX('Prospect Tracker'!$L$5:$L$554,$K233)="","",INDEX('Prospect Tracker'!$L$5:$L$554,$K233)))</f>
        <v/>
      </c>
      <c r="K233" s="1" t="n">
        <f aca="false">IFERROR(MATCH(SMALL('Prospect Tracker'!$X$5:$X$554,ROW()-4),'Prospect Tracker'!$X$5:$X$554,0),"")</f>
        <v>229</v>
      </c>
    </row>
    <row r="234" customFormat="false" ht="15" hidden="false" customHeight="true" outlineLevel="0" collapsed="false">
      <c r="A234" s="11" t="str">
        <f aca="false">IF($K234="","",IF(INDEX('Prospect Tracker'!$W$5:$W$554,$K234)="","",INDEX('Prospect Tracker'!$W$5:$W$554,$K234)))</f>
        <v/>
      </c>
      <c r="B234" s="11" t="str">
        <f aca="false">IF($K234="","",IF(INDEX('Prospect Tracker'!$A$5:$A$554,$K234)="","",INDEX('Prospect Tracker'!$A$5:$A$554,$K234)))</f>
        <v/>
      </c>
      <c r="C234" s="11" t="str">
        <f aca="false">IF($K234="","",IF(INDEX('Prospect Tracker'!$B$5:$B$554,$K234)="","",INDEX('Prospect Tracker'!$B$5:$B$554,$K234)))</f>
        <v/>
      </c>
      <c r="D234" s="11" t="str">
        <f aca="false">IF($K234="","",IF(INDEX('Prospect Tracker'!$M$5:$M$554,$K234)="","",INDEX('Prospect Tracker'!$M$5:$M$554,$K234)))</f>
        <v/>
      </c>
      <c r="E234" s="11" t="str">
        <f aca="false">IF($K234="","",IF(INDEX('Prospect Tracker'!$R$5:$R$554,$K234)="","",INDEX('Prospect Tracker'!$R$5:$R$554,$K234)))</f>
        <v/>
      </c>
      <c r="F234" s="11" t="str">
        <f aca="false">IF($K234="","",IF(INDEX('Prospect Tracker'!$J$5:$J$554,$K234)="","",INDEX('Prospect Tracker'!$J$5:$J$554,$K234)))</f>
        <v/>
      </c>
      <c r="G234" s="11" t="str">
        <f aca="false">IF($K234="","",IF(INDEX('Prospect Tracker'!$H$5:$H$554,$K234)="","",INDEX('Prospect Tracker'!$H$5:$H$554,$K234)))</f>
        <v/>
      </c>
      <c r="H234" s="12" t="str">
        <f aca="false">IF($K234="","",IF(INDEX('Prospect Tracker'!$K$5:$K$554,$K234)="","",INDEX('Prospect Tracker'!$K$5:$K$554,$K234)))</f>
        <v/>
      </c>
      <c r="I234" s="11" t="str">
        <f aca="false">IF($K234="","",IF(INDEX('Prospect Tracker'!$T$5:$T$554,$K234)="","",INDEX('Prospect Tracker'!$T$5:$T$554,$K234)))</f>
        <v/>
      </c>
      <c r="J234" s="11" t="str">
        <f aca="false">IF($K234="","",IF(INDEX('Prospect Tracker'!$L$5:$L$554,$K234)="","",INDEX('Prospect Tracker'!$L$5:$L$554,$K234)))</f>
        <v/>
      </c>
      <c r="K234" s="1" t="n">
        <f aca="false">IFERROR(MATCH(SMALL('Prospect Tracker'!$X$5:$X$554,ROW()-4),'Prospect Tracker'!$X$5:$X$554,0),"")</f>
        <v>230</v>
      </c>
    </row>
    <row r="235" customFormat="false" ht="15" hidden="false" customHeight="true" outlineLevel="0" collapsed="false">
      <c r="A235" s="6" t="str">
        <f aca="false">IF($K235="","",IF(INDEX('Prospect Tracker'!$W$5:$W$554,$K235)="","",INDEX('Prospect Tracker'!$W$5:$W$554,$K235)))</f>
        <v/>
      </c>
      <c r="B235" s="6" t="str">
        <f aca="false">IF($K235="","",IF(INDEX('Prospect Tracker'!$A$5:$A$554,$K235)="","",INDEX('Prospect Tracker'!$A$5:$A$554,$K235)))</f>
        <v/>
      </c>
      <c r="C235" s="6" t="str">
        <f aca="false">IF($K235="","",IF(INDEX('Prospect Tracker'!$B$5:$B$554,$K235)="","",INDEX('Prospect Tracker'!$B$5:$B$554,$K235)))</f>
        <v/>
      </c>
      <c r="D235" s="6" t="str">
        <f aca="false">IF($K235="","",IF(INDEX('Prospect Tracker'!$M$5:$M$554,$K235)="","",INDEX('Prospect Tracker'!$M$5:$M$554,$K235)))</f>
        <v/>
      </c>
      <c r="E235" s="6" t="str">
        <f aca="false">IF($K235="","",IF(INDEX('Prospect Tracker'!$R$5:$R$554,$K235)="","",INDEX('Prospect Tracker'!$R$5:$R$554,$K235)))</f>
        <v/>
      </c>
      <c r="F235" s="6" t="str">
        <f aca="false">IF($K235="","",IF(INDEX('Prospect Tracker'!$J$5:$J$554,$K235)="","",INDEX('Prospect Tracker'!$J$5:$J$554,$K235)))</f>
        <v/>
      </c>
      <c r="G235" s="6" t="str">
        <f aca="false">IF($K235="","",IF(INDEX('Prospect Tracker'!$H$5:$H$554,$K235)="","",INDEX('Prospect Tracker'!$H$5:$H$554,$K235)))</f>
        <v/>
      </c>
      <c r="H235" s="7" t="str">
        <f aca="false">IF($K235="","",IF(INDEX('Prospect Tracker'!$K$5:$K$554,$K235)="","",INDEX('Prospect Tracker'!$K$5:$K$554,$K235)))</f>
        <v/>
      </c>
      <c r="I235" s="6" t="str">
        <f aca="false">IF($K235="","",IF(INDEX('Prospect Tracker'!$T$5:$T$554,$K235)="","",INDEX('Prospect Tracker'!$T$5:$T$554,$K235)))</f>
        <v/>
      </c>
      <c r="J235" s="6" t="str">
        <f aca="false">IF($K235="","",IF(INDEX('Prospect Tracker'!$L$5:$L$554,$K235)="","",INDEX('Prospect Tracker'!$L$5:$L$554,$K235)))</f>
        <v/>
      </c>
      <c r="K235" s="1" t="n">
        <f aca="false">IFERROR(MATCH(SMALL('Prospect Tracker'!$X$5:$X$554,ROW()-4),'Prospect Tracker'!$X$5:$X$554,0),"")</f>
        <v>231</v>
      </c>
    </row>
    <row r="236" customFormat="false" ht="15" hidden="false" customHeight="true" outlineLevel="0" collapsed="false">
      <c r="A236" s="11" t="str">
        <f aca="false">IF($K236="","",IF(INDEX('Prospect Tracker'!$W$5:$W$554,$K236)="","",INDEX('Prospect Tracker'!$W$5:$W$554,$K236)))</f>
        <v/>
      </c>
      <c r="B236" s="11" t="str">
        <f aca="false">IF($K236="","",IF(INDEX('Prospect Tracker'!$A$5:$A$554,$K236)="","",INDEX('Prospect Tracker'!$A$5:$A$554,$K236)))</f>
        <v/>
      </c>
      <c r="C236" s="11" t="str">
        <f aca="false">IF($K236="","",IF(INDEX('Prospect Tracker'!$B$5:$B$554,$K236)="","",INDEX('Prospect Tracker'!$B$5:$B$554,$K236)))</f>
        <v/>
      </c>
      <c r="D236" s="11" t="str">
        <f aca="false">IF($K236="","",IF(INDEX('Prospect Tracker'!$M$5:$M$554,$K236)="","",INDEX('Prospect Tracker'!$M$5:$M$554,$K236)))</f>
        <v/>
      </c>
      <c r="E236" s="11" t="str">
        <f aca="false">IF($K236="","",IF(INDEX('Prospect Tracker'!$R$5:$R$554,$K236)="","",INDEX('Prospect Tracker'!$R$5:$R$554,$K236)))</f>
        <v/>
      </c>
      <c r="F236" s="11" t="str">
        <f aca="false">IF($K236="","",IF(INDEX('Prospect Tracker'!$J$5:$J$554,$K236)="","",INDEX('Prospect Tracker'!$J$5:$J$554,$K236)))</f>
        <v/>
      </c>
      <c r="G236" s="11" t="str">
        <f aca="false">IF($K236="","",IF(INDEX('Prospect Tracker'!$H$5:$H$554,$K236)="","",INDEX('Prospect Tracker'!$H$5:$H$554,$K236)))</f>
        <v/>
      </c>
      <c r="H236" s="12" t="str">
        <f aca="false">IF($K236="","",IF(INDEX('Prospect Tracker'!$K$5:$K$554,$K236)="","",INDEX('Prospect Tracker'!$K$5:$K$554,$K236)))</f>
        <v/>
      </c>
      <c r="I236" s="11" t="str">
        <f aca="false">IF($K236="","",IF(INDEX('Prospect Tracker'!$T$5:$T$554,$K236)="","",INDEX('Prospect Tracker'!$T$5:$T$554,$K236)))</f>
        <v/>
      </c>
      <c r="J236" s="11" t="str">
        <f aca="false">IF($K236="","",IF(INDEX('Prospect Tracker'!$L$5:$L$554,$K236)="","",INDEX('Prospect Tracker'!$L$5:$L$554,$K236)))</f>
        <v/>
      </c>
      <c r="K236" s="1" t="n">
        <f aca="false">IFERROR(MATCH(SMALL('Prospect Tracker'!$X$5:$X$554,ROW()-4),'Prospect Tracker'!$X$5:$X$554,0),"")</f>
        <v>232</v>
      </c>
    </row>
    <row r="237" customFormat="false" ht="15" hidden="false" customHeight="true" outlineLevel="0" collapsed="false">
      <c r="A237" s="6" t="str">
        <f aca="false">IF($K237="","",IF(INDEX('Prospect Tracker'!$W$5:$W$554,$K237)="","",INDEX('Prospect Tracker'!$W$5:$W$554,$K237)))</f>
        <v/>
      </c>
      <c r="B237" s="6" t="str">
        <f aca="false">IF($K237="","",IF(INDEX('Prospect Tracker'!$A$5:$A$554,$K237)="","",INDEX('Prospect Tracker'!$A$5:$A$554,$K237)))</f>
        <v/>
      </c>
      <c r="C237" s="6" t="str">
        <f aca="false">IF($K237="","",IF(INDEX('Prospect Tracker'!$B$5:$B$554,$K237)="","",INDEX('Prospect Tracker'!$B$5:$B$554,$K237)))</f>
        <v/>
      </c>
      <c r="D237" s="6" t="str">
        <f aca="false">IF($K237="","",IF(INDEX('Prospect Tracker'!$M$5:$M$554,$K237)="","",INDEX('Prospect Tracker'!$M$5:$M$554,$K237)))</f>
        <v/>
      </c>
      <c r="E237" s="6" t="str">
        <f aca="false">IF($K237="","",IF(INDEX('Prospect Tracker'!$R$5:$R$554,$K237)="","",INDEX('Prospect Tracker'!$R$5:$R$554,$K237)))</f>
        <v/>
      </c>
      <c r="F237" s="6" t="str">
        <f aca="false">IF($K237="","",IF(INDEX('Prospect Tracker'!$J$5:$J$554,$K237)="","",INDEX('Prospect Tracker'!$J$5:$J$554,$K237)))</f>
        <v/>
      </c>
      <c r="G237" s="6" t="str">
        <f aca="false">IF($K237="","",IF(INDEX('Prospect Tracker'!$H$5:$H$554,$K237)="","",INDEX('Prospect Tracker'!$H$5:$H$554,$K237)))</f>
        <v/>
      </c>
      <c r="H237" s="7" t="str">
        <f aca="false">IF($K237="","",IF(INDEX('Prospect Tracker'!$K$5:$K$554,$K237)="","",INDEX('Prospect Tracker'!$K$5:$K$554,$K237)))</f>
        <v/>
      </c>
      <c r="I237" s="6" t="str">
        <f aca="false">IF($K237="","",IF(INDEX('Prospect Tracker'!$T$5:$T$554,$K237)="","",INDEX('Prospect Tracker'!$T$5:$T$554,$K237)))</f>
        <v/>
      </c>
      <c r="J237" s="6" t="str">
        <f aca="false">IF($K237="","",IF(INDEX('Prospect Tracker'!$L$5:$L$554,$K237)="","",INDEX('Prospect Tracker'!$L$5:$L$554,$K237)))</f>
        <v/>
      </c>
      <c r="K237" s="1" t="n">
        <f aca="false">IFERROR(MATCH(SMALL('Prospect Tracker'!$X$5:$X$554,ROW()-4),'Prospect Tracker'!$X$5:$X$554,0),"")</f>
        <v>233</v>
      </c>
    </row>
    <row r="238" customFormat="false" ht="15" hidden="false" customHeight="true" outlineLevel="0" collapsed="false">
      <c r="A238" s="11" t="str">
        <f aca="false">IF($K238="","",IF(INDEX('Prospect Tracker'!$W$5:$W$554,$K238)="","",INDEX('Prospect Tracker'!$W$5:$W$554,$K238)))</f>
        <v/>
      </c>
      <c r="B238" s="11" t="str">
        <f aca="false">IF($K238="","",IF(INDEX('Prospect Tracker'!$A$5:$A$554,$K238)="","",INDEX('Prospect Tracker'!$A$5:$A$554,$K238)))</f>
        <v/>
      </c>
      <c r="C238" s="11" t="str">
        <f aca="false">IF($K238="","",IF(INDEX('Prospect Tracker'!$B$5:$B$554,$K238)="","",INDEX('Prospect Tracker'!$B$5:$B$554,$K238)))</f>
        <v/>
      </c>
      <c r="D238" s="11" t="str">
        <f aca="false">IF($K238="","",IF(INDEX('Prospect Tracker'!$M$5:$M$554,$K238)="","",INDEX('Prospect Tracker'!$M$5:$M$554,$K238)))</f>
        <v/>
      </c>
      <c r="E238" s="11" t="str">
        <f aca="false">IF($K238="","",IF(INDEX('Prospect Tracker'!$R$5:$R$554,$K238)="","",INDEX('Prospect Tracker'!$R$5:$R$554,$K238)))</f>
        <v/>
      </c>
      <c r="F238" s="11" t="str">
        <f aca="false">IF($K238="","",IF(INDEX('Prospect Tracker'!$J$5:$J$554,$K238)="","",INDEX('Prospect Tracker'!$J$5:$J$554,$K238)))</f>
        <v/>
      </c>
      <c r="G238" s="11" t="str">
        <f aca="false">IF($K238="","",IF(INDEX('Prospect Tracker'!$H$5:$H$554,$K238)="","",INDEX('Prospect Tracker'!$H$5:$H$554,$K238)))</f>
        <v/>
      </c>
      <c r="H238" s="12" t="str">
        <f aca="false">IF($K238="","",IF(INDEX('Prospect Tracker'!$K$5:$K$554,$K238)="","",INDEX('Prospect Tracker'!$K$5:$K$554,$K238)))</f>
        <v/>
      </c>
      <c r="I238" s="11" t="str">
        <f aca="false">IF($K238="","",IF(INDEX('Prospect Tracker'!$T$5:$T$554,$K238)="","",INDEX('Prospect Tracker'!$T$5:$T$554,$K238)))</f>
        <v/>
      </c>
      <c r="J238" s="11" t="str">
        <f aca="false">IF($K238="","",IF(INDEX('Prospect Tracker'!$L$5:$L$554,$K238)="","",INDEX('Prospect Tracker'!$L$5:$L$554,$K238)))</f>
        <v/>
      </c>
      <c r="K238" s="1" t="n">
        <f aca="false">IFERROR(MATCH(SMALL('Prospect Tracker'!$X$5:$X$554,ROW()-4),'Prospect Tracker'!$X$5:$X$554,0),"")</f>
        <v>234</v>
      </c>
    </row>
    <row r="239" customFormat="false" ht="15" hidden="false" customHeight="true" outlineLevel="0" collapsed="false">
      <c r="A239" s="6" t="str">
        <f aca="false">IF($K239="","",IF(INDEX('Prospect Tracker'!$W$5:$W$554,$K239)="","",INDEX('Prospect Tracker'!$W$5:$W$554,$K239)))</f>
        <v/>
      </c>
      <c r="B239" s="6" t="str">
        <f aca="false">IF($K239="","",IF(INDEX('Prospect Tracker'!$A$5:$A$554,$K239)="","",INDEX('Prospect Tracker'!$A$5:$A$554,$K239)))</f>
        <v/>
      </c>
      <c r="C239" s="6" t="str">
        <f aca="false">IF($K239="","",IF(INDEX('Prospect Tracker'!$B$5:$B$554,$K239)="","",INDEX('Prospect Tracker'!$B$5:$B$554,$K239)))</f>
        <v/>
      </c>
      <c r="D239" s="6" t="str">
        <f aca="false">IF($K239="","",IF(INDEX('Prospect Tracker'!$M$5:$M$554,$K239)="","",INDEX('Prospect Tracker'!$M$5:$M$554,$K239)))</f>
        <v/>
      </c>
      <c r="E239" s="6" t="str">
        <f aca="false">IF($K239="","",IF(INDEX('Prospect Tracker'!$R$5:$R$554,$K239)="","",INDEX('Prospect Tracker'!$R$5:$R$554,$K239)))</f>
        <v/>
      </c>
      <c r="F239" s="6" t="str">
        <f aca="false">IF($K239="","",IF(INDEX('Prospect Tracker'!$J$5:$J$554,$K239)="","",INDEX('Prospect Tracker'!$J$5:$J$554,$K239)))</f>
        <v/>
      </c>
      <c r="G239" s="6" t="str">
        <f aca="false">IF($K239="","",IF(INDEX('Prospect Tracker'!$H$5:$H$554,$K239)="","",INDEX('Prospect Tracker'!$H$5:$H$554,$K239)))</f>
        <v/>
      </c>
      <c r="H239" s="7" t="str">
        <f aca="false">IF($K239="","",IF(INDEX('Prospect Tracker'!$K$5:$K$554,$K239)="","",INDEX('Prospect Tracker'!$K$5:$K$554,$K239)))</f>
        <v/>
      </c>
      <c r="I239" s="6" t="str">
        <f aca="false">IF($K239="","",IF(INDEX('Prospect Tracker'!$T$5:$T$554,$K239)="","",INDEX('Prospect Tracker'!$T$5:$T$554,$K239)))</f>
        <v/>
      </c>
      <c r="J239" s="6" t="str">
        <f aca="false">IF($K239="","",IF(INDEX('Prospect Tracker'!$L$5:$L$554,$K239)="","",INDEX('Prospect Tracker'!$L$5:$L$554,$K239)))</f>
        <v/>
      </c>
      <c r="K239" s="1" t="n">
        <f aca="false">IFERROR(MATCH(SMALL('Prospect Tracker'!$X$5:$X$554,ROW()-4),'Prospect Tracker'!$X$5:$X$554,0),"")</f>
        <v>235</v>
      </c>
    </row>
    <row r="240" customFormat="false" ht="15" hidden="false" customHeight="true" outlineLevel="0" collapsed="false">
      <c r="A240" s="11" t="str">
        <f aca="false">IF($K240="","",IF(INDEX('Prospect Tracker'!$W$5:$W$554,$K240)="","",INDEX('Prospect Tracker'!$W$5:$W$554,$K240)))</f>
        <v/>
      </c>
      <c r="B240" s="11" t="str">
        <f aca="false">IF($K240="","",IF(INDEX('Prospect Tracker'!$A$5:$A$554,$K240)="","",INDEX('Prospect Tracker'!$A$5:$A$554,$K240)))</f>
        <v/>
      </c>
      <c r="C240" s="11" t="str">
        <f aca="false">IF($K240="","",IF(INDEX('Prospect Tracker'!$B$5:$B$554,$K240)="","",INDEX('Prospect Tracker'!$B$5:$B$554,$K240)))</f>
        <v/>
      </c>
      <c r="D240" s="11" t="str">
        <f aca="false">IF($K240="","",IF(INDEX('Prospect Tracker'!$M$5:$M$554,$K240)="","",INDEX('Prospect Tracker'!$M$5:$M$554,$K240)))</f>
        <v/>
      </c>
      <c r="E240" s="11" t="str">
        <f aca="false">IF($K240="","",IF(INDEX('Prospect Tracker'!$R$5:$R$554,$K240)="","",INDEX('Prospect Tracker'!$R$5:$R$554,$K240)))</f>
        <v/>
      </c>
      <c r="F240" s="11" t="str">
        <f aca="false">IF($K240="","",IF(INDEX('Prospect Tracker'!$J$5:$J$554,$K240)="","",INDEX('Prospect Tracker'!$J$5:$J$554,$K240)))</f>
        <v/>
      </c>
      <c r="G240" s="11" t="str">
        <f aca="false">IF($K240="","",IF(INDEX('Prospect Tracker'!$H$5:$H$554,$K240)="","",INDEX('Prospect Tracker'!$H$5:$H$554,$K240)))</f>
        <v/>
      </c>
      <c r="H240" s="12" t="str">
        <f aca="false">IF($K240="","",IF(INDEX('Prospect Tracker'!$K$5:$K$554,$K240)="","",INDEX('Prospect Tracker'!$K$5:$K$554,$K240)))</f>
        <v/>
      </c>
      <c r="I240" s="11" t="str">
        <f aca="false">IF($K240="","",IF(INDEX('Prospect Tracker'!$T$5:$T$554,$K240)="","",INDEX('Prospect Tracker'!$T$5:$T$554,$K240)))</f>
        <v/>
      </c>
      <c r="J240" s="11" t="str">
        <f aca="false">IF($K240="","",IF(INDEX('Prospect Tracker'!$L$5:$L$554,$K240)="","",INDEX('Prospect Tracker'!$L$5:$L$554,$K240)))</f>
        <v/>
      </c>
      <c r="K240" s="1" t="n">
        <f aca="false">IFERROR(MATCH(SMALL('Prospect Tracker'!$X$5:$X$554,ROW()-4),'Prospect Tracker'!$X$5:$X$554,0),"")</f>
        <v>236</v>
      </c>
    </row>
    <row r="241" customFormat="false" ht="15" hidden="false" customHeight="true" outlineLevel="0" collapsed="false">
      <c r="A241" s="6" t="str">
        <f aca="false">IF($K241="","",IF(INDEX('Prospect Tracker'!$W$5:$W$554,$K241)="","",INDEX('Prospect Tracker'!$W$5:$W$554,$K241)))</f>
        <v/>
      </c>
      <c r="B241" s="6" t="str">
        <f aca="false">IF($K241="","",IF(INDEX('Prospect Tracker'!$A$5:$A$554,$K241)="","",INDEX('Prospect Tracker'!$A$5:$A$554,$K241)))</f>
        <v/>
      </c>
      <c r="C241" s="6" t="str">
        <f aca="false">IF($K241="","",IF(INDEX('Prospect Tracker'!$B$5:$B$554,$K241)="","",INDEX('Prospect Tracker'!$B$5:$B$554,$K241)))</f>
        <v/>
      </c>
      <c r="D241" s="6" t="str">
        <f aca="false">IF($K241="","",IF(INDEX('Prospect Tracker'!$M$5:$M$554,$K241)="","",INDEX('Prospect Tracker'!$M$5:$M$554,$K241)))</f>
        <v/>
      </c>
      <c r="E241" s="6" t="str">
        <f aca="false">IF($K241="","",IF(INDEX('Prospect Tracker'!$R$5:$R$554,$K241)="","",INDEX('Prospect Tracker'!$R$5:$R$554,$K241)))</f>
        <v/>
      </c>
      <c r="F241" s="6" t="str">
        <f aca="false">IF($K241="","",IF(INDEX('Prospect Tracker'!$J$5:$J$554,$K241)="","",INDEX('Prospect Tracker'!$J$5:$J$554,$K241)))</f>
        <v/>
      </c>
      <c r="G241" s="6" t="str">
        <f aca="false">IF($K241="","",IF(INDEX('Prospect Tracker'!$H$5:$H$554,$K241)="","",INDEX('Prospect Tracker'!$H$5:$H$554,$K241)))</f>
        <v/>
      </c>
      <c r="H241" s="7" t="str">
        <f aca="false">IF($K241="","",IF(INDEX('Prospect Tracker'!$K$5:$K$554,$K241)="","",INDEX('Prospect Tracker'!$K$5:$K$554,$K241)))</f>
        <v/>
      </c>
      <c r="I241" s="6" t="str">
        <f aca="false">IF($K241="","",IF(INDEX('Prospect Tracker'!$T$5:$T$554,$K241)="","",INDEX('Prospect Tracker'!$T$5:$T$554,$K241)))</f>
        <v/>
      </c>
      <c r="J241" s="6" t="str">
        <f aca="false">IF($K241="","",IF(INDEX('Prospect Tracker'!$L$5:$L$554,$K241)="","",INDEX('Prospect Tracker'!$L$5:$L$554,$K241)))</f>
        <v/>
      </c>
      <c r="K241" s="1" t="n">
        <f aca="false">IFERROR(MATCH(SMALL('Prospect Tracker'!$X$5:$X$554,ROW()-4),'Prospect Tracker'!$X$5:$X$554,0),"")</f>
        <v>237</v>
      </c>
    </row>
    <row r="242" customFormat="false" ht="15" hidden="false" customHeight="true" outlineLevel="0" collapsed="false">
      <c r="A242" s="11" t="str">
        <f aca="false">IF($K242="","",IF(INDEX('Prospect Tracker'!$W$5:$W$554,$K242)="","",INDEX('Prospect Tracker'!$W$5:$W$554,$K242)))</f>
        <v/>
      </c>
      <c r="B242" s="11" t="str">
        <f aca="false">IF($K242="","",IF(INDEX('Prospect Tracker'!$A$5:$A$554,$K242)="","",INDEX('Prospect Tracker'!$A$5:$A$554,$K242)))</f>
        <v/>
      </c>
      <c r="C242" s="11" t="str">
        <f aca="false">IF($K242="","",IF(INDEX('Prospect Tracker'!$B$5:$B$554,$K242)="","",INDEX('Prospect Tracker'!$B$5:$B$554,$K242)))</f>
        <v/>
      </c>
      <c r="D242" s="11" t="str">
        <f aca="false">IF($K242="","",IF(INDEX('Prospect Tracker'!$M$5:$M$554,$K242)="","",INDEX('Prospect Tracker'!$M$5:$M$554,$K242)))</f>
        <v/>
      </c>
      <c r="E242" s="11" t="str">
        <f aca="false">IF($K242="","",IF(INDEX('Prospect Tracker'!$R$5:$R$554,$K242)="","",INDEX('Prospect Tracker'!$R$5:$R$554,$K242)))</f>
        <v/>
      </c>
      <c r="F242" s="11" t="str">
        <f aca="false">IF($K242="","",IF(INDEX('Prospect Tracker'!$J$5:$J$554,$K242)="","",INDEX('Prospect Tracker'!$J$5:$J$554,$K242)))</f>
        <v/>
      </c>
      <c r="G242" s="11" t="str">
        <f aca="false">IF($K242="","",IF(INDEX('Prospect Tracker'!$H$5:$H$554,$K242)="","",INDEX('Prospect Tracker'!$H$5:$H$554,$K242)))</f>
        <v/>
      </c>
      <c r="H242" s="12" t="str">
        <f aca="false">IF($K242="","",IF(INDEX('Prospect Tracker'!$K$5:$K$554,$K242)="","",INDEX('Prospect Tracker'!$K$5:$K$554,$K242)))</f>
        <v/>
      </c>
      <c r="I242" s="11" t="str">
        <f aca="false">IF($K242="","",IF(INDEX('Prospect Tracker'!$T$5:$T$554,$K242)="","",INDEX('Prospect Tracker'!$T$5:$T$554,$K242)))</f>
        <v/>
      </c>
      <c r="J242" s="11" t="str">
        <f aca="false">IF($K242="","",IF(INDEX('Prospect Tracker'!$L$5:$L$554,$K242)="","",INDEX('Prospect Tracker'!$L$5:$L$554,$K242)))</f>
        <v/>
      </c>
      <c r="K242" s="1" t="n">
        <f aca="false">IFERROR(MATCH(SMALL('Prospect Tracker'!$X$5:$X$554,ROW()-4),'Prospect Tracker'!$X$5:$X$554,0),"")</f>
        <v>238</v>
      </c>
    </row>
    <row r="243" customFormat="false" ht="15" hidden="false" customHeight="true" outlineLevel="0" collapsed="false">
      <c r="A243" s="6" t="str">
        <f aca="false">IF($K243="","",IF(INDEX('Prospect Tracker'!$W$5:$W$554,$K243)="","",INDEX('Prospect Tracker'!$W$5:$W$554,$K243)))</f>
        <v/>
      </c>
      <c r="B243" s="6" t="str">
        <f aca="false">IF($K243="","",IF(INDEX('Prospect Tracker'!$A$5:$A$554,$K243)="","",INDEX('Prospect Tracker'!$A$5:$A$554,$K243)))</f>
        <v/>
      </c>
      <c r="C243" s="6" t="str">
        <f aca="false">IF($K243="","",IF(INDEX('Prospect Tracker'!$B$5:$B$554,$K243)="","",INDEX('Prospect Tracker'!$B$5:$B$554,$K243)))</f>
        <v/>
      </c>
      <c r="D243" s="6" t="str">
        <f aca="false">IF($K243="","",IF(INDEX('Prospect Tracker'!$M$5:$M$554,$K243)="","",INDEX('Prospect Tracker'!$M$5:$M$554,$K243)))</f>
        <v/>
      </c>
      <c r="E243" s="6" t="str">
        <f aca="false">IF($K243="","",IF(INDEX('Prospect Tracker'!$R$5:$R$554,$K243)="","",INDEX('Prospect Tracker'!$R$5:$R$554,$K243)))</f>
        <v/>
      </c>
      <c r="F243" s="6" t="str">
        <f aca="false">IF($K243="","",IF(INDEX('Prospect Tracker'!$J$5:$J$554,$K243)="","",INDEX('Prospect Tracker'!$J$5:$J$554,$K243)))</f>
        <v/>
      </c>
      <c r="G243" s="6" t="str">
        <f aca="false">IF($K243="","",IF(INDEX('Prospect Tracker'!$H$5:$H$554,$K243)="","",INDEX('Prospect Tracker'!$H$5:$H$554,$K243)))</f>
        <v/>
      </c>
      <c r="H243" s="7" t="str">
        <f aca="false">IF($K243="","",IF(INDEX('Prospect Tracker'!$K$5:$K$554,$K243)="","",INDEX('Prospect Tracker'!$K$5:$K$554,$K243)))</f>
        <v/>
      </c>
      <c r="I243" s="6" t="str">
        <f aca="false">IF($K243="","",IF(INDEX('Prospect Tracker'!$T$5:$T$554,$K243)="","",INDEX('Prospect Tracker'!$T$5:$T$554,$K243)))</f>
        <v/>
      </c>
      <c r="J243" s="6" t="str">
        <f aca="false">IF($K243="","",IF(INDEX('Prospect Tracker'!$L$5:$L$554,$K243)="","",INDEX('Prospect Tracker'!$L$5:$L$554,$K243)))</f>
        <v/>
      </c>
      <c r="K243" s="1" t="n">
        <f aca="false">IFERROR(MATCH(SMALL('Prospect Tracker'!$X$5:$X$554,ROW()-4),'Prospect Tracker'!$X$5:$X$554,0),"")</f>
        <v>239</v>
      </c>
    </row>
    <row r="244" customFormat="false" ht="15" hidden="false" customHeight="true" outlineLevel="0" collapsed="false">
      <c r="A244" s="11" t="str">
        <f aca="false">IF($K244="","",IF(INDEX('Prospect Tracker'!$W$5:$W$554,$K244)="","",INDEX('Prospect Tracker'!$W$5:$W$554,$K244)))</f>
        <v/>
      </c>
      <c r="B244" s="11" t="str">
        <f aca="false">IF($K244="","",IF(INDEX('Prospect Tracker'!$A$5:$A$554,$K244)="","",INDEX('Prospect Tracker'!$A$5:$A$554,$K244)))</f>
        <v/>
      </c>
      <c r="C244" s="11" t="str">
        <f aca="false">IF($K244="","",IF(INDEX('Prospect Tracker'!$B$5:$B$554,$K244)="","",INDEX('Prospect Tracker'!$B$5:$B$554,$K244)))</f>
        <v/>
      </c>
      <c r="D244" s="11" t="str">
        <f aca="false">IF($K244="","",IF(INDEX('Prospect Tracker'!$M$5:$M$554,$K244)="","",INDEX('Prospect Tracker'!$M$5:$M$554,$K244)))</f>
        <v/>
      </c>
      <c r="E244" s="11" t="str">
        <f aca="false">IF($K244="","",IF(INDEX('Prospect Tracker'!$R$5:$R$554,$K244)="","",INDEX('Prospect Tracker'!$R$5:$R$554,$K244)))</f>
        <v/>
      </c>
      <c r="F244" s="11" t="str">
        <f aca="false">IF($K244="","",IF(INDEX('Prospect Tracker'!$J$5:$J$554,$K244)="","",INDEX('Prospect Tracker'!$J$5:$J$554,$K244)))</f>
        <v/>
      </c>
      <c r="G244" s="11" t="str">
        <f aca="false">IF($K244="","",IF(INDEX('Prospect Tracker'!$H$5:$H$554,$K244)="","",INDEX('Prospect Tracker'!$H$5:$H$554,$K244)))</f>
        <v/>
      </c>
      <c r="H244" s="12" t="str">
        <f aca="false">IF($K244="","",IF(INDEX('Prospect Tracker'!$K$5:$K$554,$K244)="","",INDEX('Prospect Tracker'!$K$5:$K$554,$K244)))</f>
        <v/>
      </c>
      <c r="I244" s="11" t="str">
        <f aca="false">IF($K244="","",IF(INDEX('Prospect Tracker'!$T$5:$T$554,$K244)="","",INDEX('Prospect Tracker'!$T$5:$T$554,$K244)))</f>
        <v/>
      </c>
      <c r="J244" s="11" t="str">
        <f aca="false">IF($K244="","",IF(INDEX('Prospect Tracker'!$L$5:$L$554,$K244)="","",INDEX('Prospect Tracker'!$L$5:$L$554,$K244)))</f>
        <v/>
      </c>
      <c r="K244" s="1" t="n">
        <f aca="false">IFERROR(MATCH(SMALL('Prospect Tracker'!$X$5:$X$554,ROW()-4),'Prospect Tracker'!$X$5:$X$554,0),"")</f>
        <v>240</v>
      </c>
    </row>
    <row r="245" customFormat="false" ht="15" hidden="false" customHeight="true" outlineLevel="0" collapsed="false">
      <c r="A245" s="6" t="str">
        <f aca="false">IF($K245="","",IF(INDEX('Prospect Tracker'!$W$5:$W$554,$K245)="","",INDEX('Prospect Tracker'!$W$5:$W$554,$K245)))</f>
        <v/>
      </c>
      <c r="B245" s="6" t="str">
        <f aca="false">IF($K245="","",IF(INDEX('Prospect Tracker'!$A$5:$A$554,$K245)="","",INDEX('Prospect Tracker'!$A$5:$A$554,$K245)))</f>
        <v/>
      </c>
      <c r="C245" s="6" t="str">
        <f aca="false">IF($K245="","",IF(INDEX('Prospect Tracker'!$B$5:$B$554,$K245)="","",INDEX('Prospect Tracker'!$B$5:$B$554,$K245)))</f>
        <v/>
      </c>
      <c r="D245" s="6" t="str">
        <f aca="false">IF($K245="","",IF(INDEX('Prospect Tracker'!$M$5:$M$554,$K245)="","",INDEX('Prospect Tracker'!$M$5:$M$554,$K245)))</f>
        <v/>
      </c>
      <c r="E245" s="6" t="str">
        <f aca="false">IF($K245="","",IF(INDEX('Prospect Tracker'!$R$5:$R$554,$K245)="","",INDEX('Prospect Tracker'!$R$5:$R$554,$K245)))</f>
        <v/>
      </c>
      <c r="F245" s="6" t="str">
        <f aca="false">IF($K245="","",IF(INDEX('Prospect Tracker'!$J$5:$J$554,$K245)="","",INDEX('Prospect Tracker'!$J$5:$J$554,$K245)))</f>
        <v/>
      </c>
      <c r="G245" s="6" t="str">
        <f aca="false">IF($K245="","",IF(INDEX('Prospect Tracker'!$H$5:$H$554,$K245)="","",INDEX('Prospect Tracker'!$H$5:$H$554,$K245)))</f>
        <v/>
      </c>
      <c r="H245" s="7" t="str">
        <f aca="false">IF($K245="","",IF(INDEX('Prospect Tracker'!$K$5:$K$554,$K245)="","",INDEX('Prospect Tracker'!$K$5:$K$554,$K245)))</f>
        <v/>
      </c>
      <c r="I245" s="6" t="str">
        <f aca="false">IF($K245="","",IF(INDEX('Prospect Tracker'!$T$5:$T$554,$K245)="","",INDEX('Prospect Tracker'!$T$5:$T$554,$K245)))</f>
        <v/>
      </c>
      <c r="J245" s="6" t="str">
        <f aca="false">IF($K245="","",IF(INDEX('Prospect Tracker'!$L$5:$L$554,$K245)="","",INDEX('Prospect Tracker'!$L$5:$L$554,$K245)))</f>
        <v/>
      </c>
      <c r="K245" s="1" t="n">
        <f aca="false">IFERROR(MATCH(SMALL('Prospect Tracker'!$X$5:$X$554,ROW()-4),'Prospect Tracker'!$X$5:$X$554,0),"")</f>
        <v>241</v>
      </c>
    </row>
    <row r="246" customFormat="false" ht="15" hidden="false" customHeight="true" outlineLevel="0" collapsed="false">
      <c r="A246" s="11" t="str">
        <f aca="false">IF($K246="","",IF(INDEX('Prospect Tracker'!$W$5:$W$554,$K246)="","",INDEX('Prospect Tracker'!$W$5:$W$554,$K246)))</f>
        <v/>
      </c>
      <c r="B246" s="11" t="str">
        <f aca="false">IF($K246="","",IF(INDEX('Prospect Tracker'!$A$5:$A$554,$K246)="","",INDEX('Prospect Tracker'!$A$5:$A$554,$K246)))</f>
        <v/>
      </c>
      <c r="C246" s="11" t="str">
        <f aca="false">IF($K246="","",IF(INDEX('Prospect Tracker'!$B$5:$B$554,$K246)="","",INDEX('Prospect Tracker'!$B$5:$B$554,$K246)))</f>
        <v/>
      </c>
      <c r="D246" s="11" t="str">
        <f aca="false">IF($K246="","",IF(INDEX('Prospect Tracker'!$M$5:$M$554,$K246)="","",INDEX('Prospect Tracker'!$M$5:$M$554,$K246)))</f>
        <v/>
      </c>
      <c r="E246" s="11" t="str">
        <f aca="false">IF($K246="","",IF(INDEX('Prospect Tracker'!$R$5:$R$554,$K246)="","",INDEX('Prospect Tracker'!$R$5:$R$554,$K246)))</f>
        <v/>
      </c>
      <c r="F246" s="11" t="str">
        <f aca="false">IF($K246="","",IF(INDEX('Prospect Tracker'!$J$5:$J$554,$K246)="","",INDEX('Prospect Tracker'!$J$5:$J$554,$K246)))</f>
        <v/>
      </c>
      <c r="G246" s="11" t="str">
        <f aca="false">IF($K246="","",IF(INDEX('Prospect Tracker'!$H$5:$H$554,$K246)="","",INDEX('Prospect Tracker'!$H$5:$H$554,$K246)))</f>
        <v/>
      </c>
      <c r="H246" s="12" t="str">
        <f aca="false">IF($K246="","",IF(INDEX('Prospect Tracker'!$K$5:$K$554,$K246)="","",INDEX('Prospect Tracker'!$K$5:$K$554,$K246)))</f>
        <v/>
      </c>
      <c r="I246" s="11" t="str">
        <f aca="false">IF($K246="","",IF(INDEX('Prospect Tracker'!$T$5:$T$554,$K246)="","",INDEX('Prospect Tracker'!$T$5:$T$554,$K246)))</f>
        <v/>
      </c>
      <c r="J246" s="11" t="str">
        <f aca="false">IF($K246="","",IF(INDEX('Prospect Tracker'!$L$5:$L$554,$K246)="","",INDEX('Prospect Tracker'!$L$5:$L$554,$K246)))</f>
        <v/>
      </c>
      <c r="K246" s="1" t="n">
        <f aca="false">IFERROR(MATCH(SMALL('Prospect Tracker'!$X$5:$X$554,ROW()-4),'Prospect Tracker'!$X$5:$X$554,0),"")</f>
        <v>242</v>
      </c>
    </row>
    <row r="247" customFormat="false" ht="15" hidden="false" customHeight="true" outlineLevel="0" collapsed="false">
      <c r="A247" s="6" t="str">
        <f aca="false">IF($K247="","",IF(INDEX('Prospect Tracker'!$W$5:$W$554,$K247)="","",INDEX('Prospect Tracker'!$W$5:$W$554,$K247)))</f>
        <v/>
      </c>
      <c r="B247" s="6" t="str">
        <f aca="false">IF($K247="","",IF(INDEX('Prospect Tracker'!$A$5:$A$554,$K247)="","",INDEX('Prospect Tracker'!$A$5:$A$554,$K247)))</f>
        <v/>
      </c>
      <c r="C247" s="6" t="str">
        <f aca="false">IF($K247="","",IF(INDEX('Prospect Tracker'!$B$5:$B$554,$K247)="","",INDEX('Prospect Tracker'!$B$5:$B$554,$K247)))</f>
        <v/>
      </c>
      <c r="D247" s="6" t="str">
        <f aca="false">IF($K247="","",IF(INDEX('Prospect Tracker'!$M$5:$M$554,$K247)="","",INDEX('Prospect Tracker'!$M$5:$M$554,$K247)))</f>
        <v/>
      </c>
      <c r="E247" s="6" t="str">
        <f aca="false">IF($K247="","",IF(INDEX('Prospect Tracker'!$R$5:$R$554,$K247)="","",INDEX('Prospect Tracker'!$R$5:$R$554,$K247)))</f>
        <v/>
      </c>
      <c r="F247" s="6" t="str">
        <f aca="false">IF($K247="","",IF(INDEX('Prospect Tracker'!$J$5:$J$554,$K247)="","",INDEX('Prospect Tracker'!$J$5:$J$554,$K247)))</f>
        <v/>
      </c>
      <c r="G247" s="6" t="str">
        <f aca="false">IF($K247="","",IF(INDEX('Prospect Tracker'!$H$5:$H$554,$K247)="","",INDEX('Prospect Tracker'!$H$5:$H$554,$K247)))</f>
        <v/>
      </c>
      <c r="H247" s="7" t="str">
        <f aca="false">IF($K247="","",IF(INDEX('Prospect Tracker'!$K$5:$K$554,$K247)="","",INDEX('Prospect Tracker'!$K$5:$K$554,$K247)))</f>
        <v/>
      </c>
      <c r="I247" s="6" t="str">
        <f aca="false">IF($K247="","",IF(INDEX('Prospect Tracker'!$T$5:$T$554,$K247)="","",INDEX('Prospect Tracker'!$T$5:$T$554,$K247)))</f>
        <v/>
      </c>
      <c r="J247" s="6" t="str">
        <f aca="false">IF($K247="","",IF(INDEX('Prospect Tracker'!$L$5:$L$554,$K247)="","",INDEX('Prospect Tracker'!$L$5:$L$554,$K247)))</f>
        <v/>
      </c>
      <c r="K247" s="1" t="n">
        <f aca="false">IFERROR(MATCH(SMALL('Prospect Tracker'!$X$5:$X$554,ROW()-4),'Prospect Tracker'!$X$5:$X$554,0),"")</f>
        <v>243</v>
      </c>
    </row>
    <row r="248" customFormat="false" ht="15" hidden="false" customHeight="true" outlineLevel="0" collapsed="false">
      <c r="A248" s="11" t="str">
        <f aca="false">IF($K248="","",IF(INDEX('Prospect Tracker'!$W$5:$W$554,$K248)="","",INDEX('Prospect Tracker'!$W$5:$W$554,$K248)))</f>
        <v/>
      </c>
      <c r="B248" s="11" t="str">
        <f aca="false">IF($K248="","",IF(INDEX('Prospect Tracker'!$A$5:$A$554,$K248)="","",INDEX('Prospect Tracker'!$A$5:$A$554,$K248)))</f>
        <v/>
      </c>
      <c r="C248" s="11" t="str">
        <f aca="false">IF($K248="","",IF(INDEX('Prospect Tracker'!$B$5:$B$554,$K248)="","",INDEX('Prospect Tracker'!$B$5:$B$554,$K248)))</f>
        <v/>
      </c>
      <c r="D248" s="11" t="str">
        <f aca="false">IF($K248="","",IF(INDEX('Prospect Tracker'!$M$5:$M$554,$K248)="","",INDEX('Prospect Tracker'!$M$5:$M$554,$K248)))</f>
        <v/>
      </c>
      <c r="E248" s="11" t="str">
        <f aca="false">IF($K248="","",IF(INDEX('Prospect Tracker'!$R$5:$R$554,$K248)="","",INDEX('Prospect Tracker'!$R$5:$R$554,$K248)))</f>
        <v/>
      </c>
      <c r="F248" s="11" t="str">
        <f aca="false">IF($K248="","",IF(INDEX('Prospect Tracker'!$J$5:$J$554,$K248)="","",INDEX('Prospect Tracker'!$J$5:$J$554,$K248)))</f>
        <v/>
      </c>
      <c r="G248" s="11" t="str">
        <f aca="false">IF($K248="","",IF(INDEX('Prospect Tracker'!$H$5:$H$554,$K248)="","",INDEX('Prospect Tracker'!$H$5:$H$554,$K248)))</f>
        <v/>
      </c>
      <c r="H248" s="12" t="str">
        <f aca="false">IF($K248="","",IF(INDEX('Prospect Tracker'!$K$5:$K$554,$K248)="","",INDEX('Prospect Tracker'!$K$5:$K$554,$K248)))</f>
        <v/>
      </c>
      <c r="I248" s="11" t="str">
        <f aca="false">IF($K248="","",IF(INDEX('Prospect Tracker'!$T$5:$T$554,$K248)="","",INDEX('Prospect Tracker'!$T$5:$T$554,$K248)))</f>
        <v/>
      </c>
      <c r="J248" s="11" t="str">
        <f aca="false">IF($K248="","",IF(INDEX('Prospect Tracker'!$L$5:$L$554,$K248)="","",INDEX('Prospect Tracker'!$L$5:$L$554,$K248)))</f>
        <v/>
      </c>
      <c r="K248" s="1" t="n">
        <f aca="false">IFERROR(MATCH(SMALL('Prospect Tracker'!$X$5:$X$554,ROW()-4),'Prospect Tracker'!$X$5:$X$554,0),"")</f>
        <v>244</v>
      </c>
    </row>
    <row r="249" customFormat="false" ht="15" hidden="false" customHeight="true" outlineLevel="0" collapsed="false">
      <c r="A249" s="6" t="str">
        <f aca="false">IF($K249="","",IF(INDEX('Prospect Tracker'!$W$5:$W$554,$K249)="","",INDEX('Prospect Tracker'!$W$5:$W$554,$K249)))</f>
        <v/>
      </c>
      <c r="B249" s="6" t="str">
        <f aca="false">IF($K249="","",IF(INDEX('Prospect Tracker'!$A$5:$A$554,$K249)="","",INDEX('Prospect Tracker'!$A$5:$A$554,$K249)))</f>
        <v/>
      </c>
      <c r="C249" s="6" t="str">
        <f aca="false">IF($K249="","",IF(INDEX('Prospect Tracker'!$B$5:$B$554,$K249)="","",INDEX('Prospect Tracker'!$B$5:$B$554,$K249)))</f>
        <v/>
      </c>
      <c r="D249" s="6" t="str">
        <f aca="false">IF($K249="","",IF(INDEX('Prospect Tracker'!$M$5:$M$554,$K249)="","",INDEX('Prospect Tracker'!$M$5:$M$554,$K249)))</f>
        <v/>
      </c>
      <c r="E249" s="6" t="str">
        <f aca="false">IF($K249="","",IF(INDEX('Prospect Tracker'!$R$5:$R$554,$K249)="","",INDEX('Prospect Tracker'!$R$5:$R$554,$K249)))</f>
        <v/>
      </c>
      <c r="F249" s="6" t="str">
        <f aca="false">IF($K249="","",IF(INDEX('Prospect Tracker'!$J$5:$J$554,$K249)="","",INDEX('Prospect Tracker'!$J$5:$J$554,$K249)))</f>
        <v/>
      </c>
      <c r="G249" s="6" t="str">
        <f aca="false">IF($K249="","",IF(INDEX('Prospect Tracker'!$H$5:$H$554,$K249)="","",INDEX('Prospect Tracker'!$H$5:$H$554,$K249)))</f>
        <v/>
      </c>
      <c r="H249" s="7" t="str">
        <f aca="false">IF($K249="","",IF(INDEX('Prospect Tracker'!$K$5:$K$554,$K249)="","",INDEX('Prospect Tracker'!$K$5:$K$554,$K249)))</f>
        <v/>
      </c>
      <c r="I249" s="6" t="str">
        <f aca="false">IF($K249="","",IF(INDEX('Prospect Tracker'!$T$5:$T$554,$K249)="","",INDEX('Prospect Tracker'!$T$5:$T$554,$K249)))</f>
        <v/>
      </c>
      <c r="J249" s="6" t="str">
        <f aca="false">IF($K249="","",IF(INDEX('Prospect Tracker'!$L$5:$L$554,$K249)="","",INDEX('Prospect Tracker'!$L$5:$L$554,$K249)))</f>
        <v/>
      </c>
      <c r="K249" s="1" t="n">
        <f aca="false">IFERROR(MATCH(SMALL('Prospect Tracker'!$X$5:$X$554,ROW()-4),'Prospect Tracker'!$X$5:$X$554,0),"")</f>
        <v>245</v>
      </c>
    </row>
    <row r="250" customFormat="false" ht="15" hidden="false" customHeight="true" outlineLevel="0" collapsed="false">
      <c r="A250" s="11" t="str">
        <f aca="false">IF($K250="","",IF(INDEX('Prospect Tracker'!$W$5:$W$554,$K250)="","",INDEX('Prospect Tracker'!$W$5:$W$554,$K250)))</f>
        <v/>
      </c>
      <c r="B250" s="11" t="str">
        <f aca="false">IF($K250="","",IF(INDEX('Prospect Tracker'!$A$5:$A$554,$K250)="","",INDEX('Prospect Tracker'!$A$5:$A$554,$K250)))</f>
        <v/>
      </c>
      <c r="C250" s="11" t="str">
        <f aca="false">IF($K250="","",IF(INDEX('Prospect Tracker'!$B$5:$B$554,$K250)="","",INDEX('Prospect Tracker'!$B$5:$B$554,$K250)))</f>
        <v/>
      </c>
      <c r="D250" s="11" t="str">
        <f aca="false">IF($K250="","",IF(INDEX('Prospect Tracker'!$M$5:$M$554,$K250)="","",INDEX('Prospect Tracker'!$M$5:$M$554,$K250)))</f>
        <v/>
      </c>
      <c r="E250" s="11" t="str">
        <f aca="false">IF($K250="","",IF(INDEX('Prospect Tracker'!$R$5:$R$554,$K250)="","",INDEX('Prospect Tracker'!$R$5:$R$554,$K250)))</f>
        <v/>
      </c>
      <c r="F250" s="11" t="str">
        <f aca="false">IF($K250="","",IF(INDEX('Prospect Tracker'!$J$5:$J$554,$K250)="","",INDEX('Prospect Tracker'!$J$5:$J$554,$K250)))</f>
        <v/>
      </c>
      <c r="G250" s="11" t="str">
        <f aca="false">IF($K250="","",IF(INDEX('Prospect Tracker'!$H$5:$H$554,$K250)="","",INDEX('Prospect Tracker'!$H$5:$H$554,$K250)))</f>
        <v/>
      </c>
      <c r="H250" s="12" t="str">
        <f aca="false">IF($K250="","",IF(INDEX('Prospect Tracker'!$K$5:$K$554,$K250)="","",INDEX('Prospect Tracker'!$K$5:$K$554,$K250)))</f>
        <v/>
      </c>
      <c r="I250" s="11" t="str">
        <f aca="false">IF($K250="","",IF(INDEX('Prospect Tracker'!$T$5:$T$554,$K250)="","",INDEX('Prospect Tracker'!$T$5:$T$554,$K250)))</f>
        <v/>
      </c>
      <c r="J250" s="11" t="str">
        <f aca="false">IF($K250="","",IF(INDEX('Prospect Tracker'!$L$5:$L$554,$K250)="","",INDEX('Prospect Tracker'!$L$5:$L$554,$K250)))</f>
        <v/>
      </c>
      <c r="K250" s="1" t="n">
        <f aca="false">IFERROR(MATCH(SMALL('Prospect Tracker'!$X$5:$X$554,ROW()-4),'Prospect Tracker'!$X$5:$X$554,0),"")</f>
        <v>246</v>
      </c>
    </row>
    <row r="251" customFormat="false" ht="15" hidden="false" customHeight="true" outlineLevel="0" collapsed="false">
      <c r="A251" s="6" t="str">
        <f aca="false">IF($K251="","",IF(INDEX('Prospect Tracker'!$W$5:$W$554,$K251)="","",INDEX('Prospect Tracker'!$W$5:$W$554,$K251)))</f>
        <v/>
      </c>
      <c r="B251" s="6" t="str">
        <f aca="false">IF($K251="","",IF(INDEX('Prospect Tracker'!$A$5:$A$554,$K251)="","",INDEX('Prospect Tracker'!$A$5:$A$554,$K251)))</f>
        <v/>
      </c>
      <c r="C251" s="6" t="str">
        <f aca="false">IF($K251="","",IF(INDEX('Prospect Tracker'!$B$5:$B$554,$K251)="","",INDEX('Prospect Tracker'!$B$5:$B$554,$K251)))</f>
        <v/>
      </c>
      <c r="D251" s="6" t="str">
        <f aca="false">IF($K251="","",IF(INDEX('Prospect Tracker'!$M$5:$M$554,$K251)="","",INDEX('Prospect Tracker'!$M$5:$M$554,$K251)))</f>
        <v/>
      </c>
      <c r="E251" s="6" t="str">
        <f aca="false">IF($K251="","",IF(INDEX('Prospect Tracker'!$R$5:$R$554,$K251)="","",INDEX('Prospect Tracker'!$R$5:$R$554,$K251)))</f>
        <v/>
      </c>
      <c r="F251" s="6" t="str">
        <f aca="false">IF($K251="","",IF(INDEX('Prospect Tracker'!$J$5:$J$554,$K251)="","",INDEX('Prospect Tracker'!$J$5:$J$554,$K251)))</f>
        <v/>
      </c>
      <c r="G251" s="6" t="str">
        <f aca="false">IF($K251="","",IF(INDEX('Prospect Tracker'!$H$5:$H$554,$K251)="","",INDEX('Prospect Tracker'!$H$5:$H$554,$K251)))</f>
        <v/>
      </c>
      <c r="H251" s="7" t="str">
        <f aca="false">IF($K251="","",IF(INDEX('Prospect Tracker'!$K$5:$K$554,$K251)="","",INDEX('Prospect Tracker'!$K$5:$K$554,$K251)))</f>
        <v/>
      </c>
      <c r="I251" s="6" t="str">
        <f aca="false">IF($K251="","",IF(INDEX('Prospect Tracker'!$T$5:$T$554,$K251)="","",INDEX('Prospect Tracker'!$T$5:$T$554,$K251)))</f>
        <v/>
      </c>
      <c r="J251" s="6" t="str">
        <f aca="false">IF($K251="","",IF(INDEX('Prospect Tracker'!$L$5:$L$554,$K251)="","",INDEX('Prospect Tracker'!$L$5:$L$554,$K251)))</f>
        <v/>
      </c>
      <c r="K251" s="1" t="n">
        <f aca="false">IFERROR(MATCH(SMALL('Prospect Tracker'!$X$5:$X$554,ROW()-4),'Prospect Tracker'!$X$5:$X$554,0),"")</f>
        <v>247</v>
      </c>
    </row>
    <row r="252" customFormat="false" ht="15" hidden="false" customHeight="true" outlineLevel="0" collapsed="false">
      <c r="A252" s="11" t="str">
        <f aca="false">IF($K252="","",IF(INDEX('Prospect Tracker'!$W$5:$W$554,$K252)="","",INDEX('Prospect Tracker'!$W$5:$W$554,$K252)))</f>
        <v/>
      </c>
      <c r="B252" s="11" t="str">
        <f aca="false">IF($K252="","",IF(INDEX('Prospect Tracker'!$A$5:$A$554,$K252)="","",INDEX('Prospect Tracker'!$A$5:$A$554,$K252)))</f>
        <v/>
      </c>
      <c r="C252" s="11" t="str">
        <f aca="false">IF($K252="","",IF(INDEX('Prospect Tracker'!$B$5:$B$554,$K252)="","",INDEX('Prospect Tracker'!$B$5:$B$554,$K252)))</f>
        <v/>
      </c>
      <c r="D252" s="11" t="str">
        <f aca="false">IF($K252="","",IF(INDEX('Prospect Tracker'!$M$5:$M$554,$K252)="","",INDEX('Prospect Tracker'!$M$5:$M$554,$K252)))</f>
        <v/>
      </c>
      <c r="E252" s="11" t="str">
        <f aca="false">IF($K252="","",IF(INDEX('Prospect Tracker'!$R$5:$R$554,$K252)="","",INDEX('Prospect Tracker'!$R$5:$R$554,$K252)))</f>
        <v/>
      </c>
      <c r="F252" s="11" t="str">
        <f aca="false">IF($K252="","",IF(INDEX('Prospect Tracker'!$J$5:$J$554,$K252)="","",INDEX('Prospect Tracker'!$J$5:$J$554,$K252)))</f>
        <v/>
      </c>
      <c r="G252" s="11" t="str">
        <f aca="false">IF($K252="","",IF(INDEX('Prospect Tracker'!$H$5:$H$554,$K252)="","",INDEX('Prospect Tracker'!$H$5:$H$554,$K252)))</f>
        <v/>
      </c>
      <c r="H252" s="12" t="str">
        <f aca="false">IF($K252="","",IF(INDEX('Prospect Tracker'!$K$5:$K$554,$K252)="","",INDEX('Prospect Tracker'!$K$5:$K$554,$K252)))</f>
        <v/>
      </c>
      <c r="I252" s="11" t="str">
        <f aca="false">IF($K252="","",IF(INDEX('Prospect Tracker'!$T$5:$T$554,$K252)="","",INDEX('Prospect Tracker'!$T$5:$T$554,$K252)))</f>
        <v/>
      </c>
      <c r="J252" s="11" t="str">
        <f aca="false">IF($K252="","",IF(INDEX('Prospect Tracker'!$L$5:$L$554,$K252)="","",INDEX('Prospect Tracker'!$L$5:$L$554,$K252)))</f>
        <v/>
      </c>
      <c r="K252" s="1" t="n">
        <f aca="false">IFERROR(MATCH(SMALL('Prospect Tracker'!$X$5:$X$554,ROW()-4),'Prospect Tracker'!$X$5:$X$554,0),"")</f>
        <v>248</v>
      </c>
    </row>
    <row r="253" customFormat="false" ht="15" hidden="false" customHeight="true" outlineLevel="0" collapsed="false">
      <c r="A253" s="6" t="str">
        <f aca="false">IF($K253="","",IF(INDEX('Prospect Tracker'!$W$5:$W$554,$K253)="","",INDEX('Prospect Tracker'!$W$5:$W$554,$K253)))</f>
        <v/>
      </c>
      <c r="B253" s="6" t="str">
        <f aca="false">IF($K253="","",IF(INDEX('Prospect Tracker'!$A$5:$A$554,$K253)="","",INDEX('Prospect Tracker'!$A$5:$A$554,$K253)))</f>
        <v/>
      </c>
      <c r="C253" s="6" t="str">
        <f aca="false">IF($K253="","",IF(INDEX('Prospect Tracker'!$B$5:$B$554,$K253)="","",INDEX('Prospect Tracker'!$B$5:$B$554,$K253)))</f>
        <v/>
      </c>
      <c r="D253" s="6" t="str">
        <f aca="false">IF($K253="","",IF(INDEX('Prospect Tracker'!$M$5:$M$554,$K253)="","",INDEX('Prospect Tracker'!$M$5:$M$554,$K253)))</f>
        <v/>
      </c>
      <c r="E253" s="6" t="str">
        <f aca="false">IF($K253="","",IF(INDEX('Prospect Tracker'!$R$5:$R$554,$K253)="","",INDEX('Prospect Tracker'!$R$5:$R$554,$K253)))</f>
        <v/>
      </c>
      <c r="F253" s="6" t="str">
        <f aca="false">IF($K253="","",IF(INDEX('Prospect Tracker'!$J$5:$J$554,$K253)="","",INDEX('Prospect Tracker'!$J$5:$J$554,$K253)))</f>
        <v/>
      </c>
      <c r="G253" s="6" t="str">
        <f aca="false">IF($K253="","",IF(INDEX('Prospect Tracker'!$H$5:$H$554,$K253)="","",INDEX('Prospect Tracker'!$H$5:$H$554,$K253)))</f>
        <v/>
      </c>
      <c r="H253" s="7" t="str">
        <f aca="false">IF($K253="","",IF(INDEX('Prospect Tracker'!$K$5:$K$554,$K253)="","",INDEX('Prospect Tracker'!$K$5:$K$554,$K253)))</f>
        <v/>
      </c>
      <c r="I253" s="6" t="str">
        <f aca="false">IF($K253="","",IF(INDEX('Prospect Tracker'!$T$5:$T$554,$K253)="","",INDEX('Prospect Tracker'!$T$5:$T$554,$K253)))</f>
        <v/>
      </c>
      <c r="J253" s="6" t="str">
        <f aca="false">IF($K253="","",IF(INDEX('Prospect Tracker'!$L$5:$L$554,$K253)="","",INDEX('Prospect Tracker'!$L$5:$L$554,$K253)))</f>
        <v/>
      </c>
      <c r="K253" s="1" t="n">
        <f aca="false">IFERROR(MATCH(SMALL('Prospect Tracker'!$X$5:$X$554,ROW()-4),'Prospect Tracker'!$X$5:$X$554,0),"")</f>
        <v>249</v>
      </c>
    </row>
    <row r="254" customFormat="false" ht="15" hidden="false" customHeight="true" outlineLevel="0" collapsed="false">
      <c r="A254" s="11" t="str">
        <f aca="false">IF($K254="","",IF(INDEX('Prospect Tracker'!$W$5:$W$554,$K254)="","",INDEX('Prospect Tracker'!$W$5:$W$554,$K254)))</f>
        <v/>
      </c>
      <c r="B254" s="11" t="str">
        <f aca="false">IF($K254="","",IF(INDEX('Prospect Tracker'!$A$5:$A$554,$K254)="","",INDEX('Prospect Tracker'!$A$5:$A$554,$K254)))</f>
        <v/>
      </c>
      <c r="C254" s="11" t="str">
        <f aca="false">IF($K254="","",IF(INDEX('Prospect Tracker'!$B$5:$B$554,$K254)="","",INDEX('Prospect Tracker'!$B$5:$B$554,$K254)))</f>
        <v/>
      </c>
      <c r="D254" s="11" t="str">
        <f aca="false">IF($K254="","",IF(INDEX('Prospect Tracker'!$M$5:$M$554,$K254)="","",INDEX('Prospect Tracker'!$M$5:$M$554,$K254)))</f>
        <v/>
      </c>
      <c r="E254" s="11" t="str">
        <f aca="false">IF($K254="","",IF(INDEX('Prospect Tracker'!$R$5:$R$554,$K254)="","",INDEX('Prospect Tracker'!$R$5:$R$554,$K254)))</f>
        <v/>
      </c>
      <c r="F254" s="11" t="str">
        <f aca="false">IF($K254="","",IF(INDEX('Prospect Tracker'!$J$5:$J$554,$K254)="","",INDEX('Prospect Tracker'!$J$5:$J$554,$K254)))</f>
        <v/>
      </c>
      <c r="G254" s="11" t="str">
        <f aca="false">IF($K254="","",IF(INDEX('Prospect Tracker'!$H$5:$H$554,$K254)="","",INDEX('Prospect Tracker'!$H$5:$H$554,$K254)))</f>
        <v/>
      </c>
      <c r="H254" s="12" t="str">
        <f aca="false">IF($K254="","",IF(INDEX('Prospect Tracker'!$K$5:$K$554,$K254)="","",INDEX('Prospect Tracker'!$K$5:$K$554,$K254)))</f>
        <v/>
      </c>
      <c r="I254" s="11" t="str">
        <f aca="false">IF($K254="","",IF(INDEX('Prospect Tracker'!$T$5:$T$554,$K254)="","",INDEX('Prospect Tracker'!$T$5:$T$554,$K254)))</f>
        <v/>
      </c>
      <c r="J254" s="11" t="str">
        <f aca="false">IF($K254="","",IF(INDEX('Prospect Tracker'!$L$5:$L$554,$K254)="","",INDEX('Prospect Tracker'!$L$5:$L$554,$K254)))</f>
        <v/>
      </c>
      <c r="K254" s="1" t="n">
        <f aca="false">IFERROR(MATCH(SMALL('Prospect Tracker'!$X$5:$X$554,ROW()-4),'Prospect Tracker'!$X$5:$X$554,0),"")</f>
        <v>250</v>
      </c>
    </row>
    <row r="255" customFormat="false" ht="15" hidden="false" customHeight="true" outlineLevel="0" collapsed="false">
      <c r="A255" s="6" t="str">
        <f aca="false">IF($K255="","",IF(INDEX('Prospect Tracker'!$W$5:$W$554,$K255)="","",INDEX('Prospect Tracker'!$W$5:$W$554,$K255)))</f>
        <v/>
      </c>
      <c r="B255" s="6" t="str">
        <f aca="false">IF($K255="","",IF(INDEX('Prospect Tracker'!$A$5:$A$554,$K255)="","",INDEX('Prospect Tracker'!$A$5:$A$554,$K255)))</f>
        <v/>
      </c>
      <c r="C255" s="6" t="str">
        <f aca="false">IF($K255="","",IF(INDEX('Prospect Tracker'!$B$5:$B$554,$K255)="","",INDEX('Prospect Tracker'!$B$5:$B$554,$K255)))</f>
        <v/>
      </c>
      <c r="D255" s="6" t="str">
        <f aca="false">IF($K255="","",IF(INDEX('Prospect Tracker'!$M$5:$M$554,$K255)="","",INDEX('Prospect Tracker'!$M$5:$M$554,$K255)))</f>
        <v/>
      </c>
      <c r="E255" s="6" t="str">
        <f aca="false">IF($K255="","",IF(INDEX('Prospect Tracker'!$R$5:$R$554,$K255)="","",INDEX('Prospect Tracker'!$R$5:$R$554,$K255)))</f>
        <v/>
      </c>
      <c r="F255" s="6" t="str">
        <f aca="false">IF($K255="","",IF(INDEX('Prospect Tracker'!$J$5:$J$554,$K255)="","",INDEX('Prospect Tracker'!$J$5:$J$554,$K255)))</f>
        <v/>
      </c>
      <c r="G255" s="6" t="str">
        <f aca="false">IF($K255="","",IF(INDEX('Prospect Tracker'!$H$5:$H$554,$K255)="","",INDEX('Prospect Tracker'!$H$5:$H$554,$K255)))</f>
        <v/>
      </c>
      <c r="H255" s="7" t="str">
        <f aca="false">IF($K255="","",IF(INDEX('Prospect Tracker'!$K$5:$K$554,$K255)="","",INDEX('Prospect Tracker'!$K$5:$K$554,$K255)))</f>
        <v/>
      </c>
      <c r="I255" s="6" t="str">
        <f aca="false">IF($K255="","",IF(INDEX('Prospect Tracker'!$T$5:$T$554,$K255)="","",INDEX('Prospect Tracker'!$T$5:$T$554,$K255)))</f>
        <v/>
      </c>
      <c r="J255" s="6" t="str">
        <f aca="false">IF($K255="","",IF(INDEX('Prospect Tracker'!$L$5:$L$554,$K255)="","",INDEX('Prospect Tracker'!$L$5:$L$554,$K255)))</f>
        <v/>
      </c>
      <c r="K255" s="1" t="n">
        <f aca="false">IFERROR(MATCH(SMALL('Prospect Tracker'!$X$5:$X$554,ROW()-4),'Prospect Tracker'!$X$5:$X$554,0),"")</f>
        <v>251</v>
      </c>
    </row>
    <row r="256" customFormat="false" ht="15" hidden="false" customHeight="true" outlineLevel="0" collapsed="false">
      <c r="A256" s="11" t="str">
        <f aca="false">IF($K256="","",IF(INDEX('Prospect Tracker'!$W$5:$W$554,$K256)="","",INDEX('Prospect Tracker'!$W$5:$W$554,$K256)))</f>
        <v/>
      </c>
      <c r="B256" s="11" t="str">
        <f aca="false">IF($K256="","",IF(INDEX('Prospect Tracker'!$A$5:$A$554,$K256)="","",INDEX('Prospect Tracker'!$A$5:$A$554,$K256)))</f>
        <v/>
      </c>
      <c r="C256" s="11" t="str">
        <f aca="false">IF($K256="","",IF(INDEX('Prospect Tracker'!$B$5:$B$554,$K256)="","",INDEX('Prospect Tracker'!$B$5:$B$554,$K256)))</f>
        <v/>
      </c>
      <c r="D256" s="11" t="str">
        <f aca="false">IF($K256="","",IF(INDEX('Prospect Tracker'!$M$5:$M$554,$K256)="","",INDEX('Prospect Tracker'!$M$5:$M$554,$K256)))</f>
        <v/>
      </c>
      <c r="E256" s="11" t="str">
        <f aca="false">IF($K256="","",IF(INDEX('Prospect Tracker'!$R$5:$R$554,$K256)="","",INDEX('Prospect Tracker'!$R$5:$R$554,$K256)))</f>
        <v/>
      </c>
      <c r="F256" s="11" t="str">
        <f aca="false">IF($K256="","",IF(INDEX('Prospect Tracker'!$J$5:$J$554,$K256)="","",INDEX('Prospect Tracker'!$J$5:$J$554,$K256)))</f>
        <v/>
      </c>
      <c r="G256" s="11" t="str">
        <f aca="false">IF($K256="","",IF(INDEX('Prospect Tracker'!$H$5:$H$554,$K256)="","",INDEX('Prospect Tracker'!$H$5:$H$554,$K256)))</f>
        <v/>
      </c>
      <c r="H256" s="12" t="str">
        <f aca="false">IF($K256="","",IF(INDEX('Prospect Tracker'!$K$5:$K$554,$K256)="","",INDEX('Prospect Tracker'!$K$5:$K$554,$K256)))</f>
        <v/>
      </c>
      <c r="I256" s="11" t="str">
        <f aca="false">IF($K256="","",IF(INDEX('Prospect Tracker'!$T$5:$T$554,$K256)="","",INDEX('Prospect Tracker'!$T$5:$T$554,$K256)))</f>
        <v/>
      </c>
      <c r="J256" s="11" t="str">
        <f aca="false">IF($K256="","",IF(INDEX('Prospect Tracker'!$L$5:$L$554,$K256)="","",INDEX('Prospect Tracker'!$L$5:$L$554,$K256)))</f>
        <v/>
      </c>
      <c r="K256" s="1" t="n">
        <f aca="false">IFERROR(MATCH(SMALL('Prospect Tracker'!$X$5:$X$554,ROW()-4),'Prospect Tracker'!$X$5:$X$554,0),"")</f>
        <v>252</v>
      </c>
    </row>
    <row r="257" customFormat="false" ht="15" hidden="false" customHeight="true" outlineLevel="0" collapsed="false">
      <c r="A257" s="6" t="str">
        <f aca="false">IF($K257="","",IF(INDEX('Prospect Tracker'!$W$5:$W$554,$K257)="","",INDEX('Prospect Tracker'!$W$5:$W$554,$K257)))</f>
        <v/>
      </c>
      <c r="B257" s="6" t="str">
        <f aca="false">IF($K257="","",IF(INDEX('Prospect Tracker'!$A$5:$A$554,$K257)="","",INDEX('Prospect Tracker'!$A$5:$A$554,$K257)))</f>
        <v/>
      </c>
      <c r="C257" s="6" t="str">
        <f aca="false">IF($K257="","",IF(INDEX('Prospect Tracker'!$B$5:$B$554,$K257)="","",INDEX('Prospect Tracker'!$B$5:$B$554,$K257)))</f>
        <v/>
      </c>
      <c r="D257" s="6" t="str">
        <f aca="false">IF($K257="","",IF(INDEX('Prospect Tracker'!$M$5:$M$554,$K257)="","",INDEX('Prospect Tracker'!$M$5:$M$554,$K257)))</f>
        <v/>
      </c>
      <c r="E257" s="6" t="str">
        <f aca="false">IF($K257="","",IF(INDEX('Prospect Tracker'!$R$5:$R$554,$K257)="","",INDEX('Prospect Tracker'!$R$5:$R$554,$K257)))</f>
        <v/>
      </c>
      <c r="F257" s="6" t="str">
        <f aca="false">IF($K257="","",IF(INDEX('Prospect Tracker'!$J$5:$J$554,$K257)="","",INDEX('Prospect Tracker'!$J$5:$J$554,$K257)))</f>
        <v/>
      </c>
      <c r="G257" s="6" t="str">
        <f aca="false">IF($K257="","",IF(INDEX('Prospect Tracker'!$H$5:$H$554,$K257)="","",INDEX('Prospect Tracker'!$H$5:$H$554,$K257)))</f>
        <v/>
      </c>
      <c r="H257" s="7" t="str">
        <f aca="false">IF($K257="","",IF(INDEX('Prospect Tracker'!$K$5:$K$554,$K257)="","",INDEX('Prospect Tracker'!$K$5:$K$554,$K257)))</f>
        <v/>
      </c>
      <c r="I257" s="6" t="str">
        <f aca="false">IF($K257="","",IF(INDEX('Prospect Tracker'!$T$5:$T$554,$K257)="","",INDEX('Prospect Tracker'!$T$5:$T$554,$K257)))</f>
        <v/>
      </c>
      <c r="J257" s="6" t="str">
        <f aca="false">IF($K257="","",IF(INDEX('Prospect Tracker'!$L$5:$L$554,$K257)="","",INDEX('Prospect Tracker'!$L$5:$L$554,$K257)))</f>
        <v/>
      </c>
      <c r="K257" s="1" t="n">
        <f aca="false">IFERROR(MATCH(SMALL('Prospect Tracker'!$X$5:$X$554,ROW()-4),'Prospect Tracker'!$X$5:$X$554,0),"")</f>
        <v>253</v>
      </c>
    </row>
    <row r="258" customFormat="false" ht="15" hidden="false" customHeight="true" outlineLevel="0" collapsed="false">
      <c r="A258" s="11" t="str">
        <f aca="false">IF($K258="","",IF(INDEX('Prospect Tracker'!$W$5:$W$554,$K258)="","",INDEX('Prospect Tracker'!$W$5:$W$554,$K258)))</f>
        <v/>
      </c>
      <c r="B258" s="11" t="str">
        <f aca="false">IF($K258="","",IF(INDEX('Prospect Tracker'!$A$5:$A$554,$K258)="","",INDEX('Prospect Tracker'!$A$5:$A$554,$K258)))</f>
        <v/>
      </c>
      <c r="C258" s="11" t="str">
        <f aca="false">IF($K258="","",IF(INDEX('Prospect Tracker'!$B$5:$B$554,$K258)="","",INDEX('Prospect Tracker'!$B$5:$B$554,$K258)))</f>
        <v/>
      </c>
      <c r="D258" s="11" t="str">
        <f aca="false">IF($K258="","",IF(INDEX('Prospect Tracker'!$M$5:$M$554,$K258)="","",INDEX('Prospect Tracker'!$M$5:$M$554,$K258)))</f>
        <v/>
      </c>
      <c r="E258" s="11" t="str">
        <f aca="false">IF($K258="","",IF(INDEX('Prospect Tracker'!$R$5:$R$554,$K258)="","",INDEX('Prospect Tracker'!$R$5:$R$554,$K258)))</f>
        <v/>
      </c>
      <c r="F258" s="11" t="str">
        <f aca="false">IF($K258="","",IF(INDEX('Prospect Tracker'!$J$5:$J$554,$K258)="","",INDEX('Prospect Tracker'!$J$5:$J$554,$K258)))</f>
        <v/>
      </c>
      <c r="G258" s="11" t="str">
        <f aca="false">IF($K258="","",IF(INDEX('Prospect Tracker'!$H$5:$H$554,$K258)="","",INDEX('Prospect Tracker'!$H$5:$H$554,$K258)))</f>
        <v/>
      </c>
      <c r="H258" s="12" t="str">
        <f aca="false">IF($K258="","",IF(INDEX('Prospect Tracker'!$K$5:$K$554,$K258)="","",INDEX('Prospect Tracker'!$K$5:$K$554,$K258)))</f>
        <v/>
      </c>
      <c r="I258" s="11" t="str">
        <f aca="false">IF($K258="","",IF(INDEX('Prospect Tracker'!$T$5:$T$554,$K258)="","",INDEX('Prospect Tracker'!$T$5:$T$554,$K258)))</f>
        <v/>
      </c>
      <c r="J258" s="11" t="str">
        <f aca="false">IF($K258="","",IF(INDEX('Prospect Tracker'!$L$5:$L$554,$K258)="","",INDEX('Prospect Tracker'!$L$5:$L$554,$K258)))</f>
        <v/>
      </c>
      <c r="K258" s="1" t="n">
        <f aca="false">IFERROR(MATCH(SMALL('Prospect Tracker'!$X$5:$X$554,ROW()-4),'Prospect Tracker'!$X$5:$X$554,0),"")</f>
        <v>254</v>
      </c>
    </row>
    <row r="259" customFormat="false" ht="15" hidden="false" customHeight="true" outlineLevel="0" collapsed="false">
      <c r="A259" s="6" t="str">
        <f aca="false">IF($K259="","",IF(INDEX('Prospect Tracker'!$W$5:$W$554,$K259)="","",INDEX('Prospect Tracker'!$W$5:$W$554,$K259)))</f>
        <v/>
      </c>
      <c r="B259" s="6" t="str">
        <f aca="false">IF($K259="","",IF(INDEX('Prospect Tracker'!$A$5:$A$554,$K259)="","",INDEX('Prospect Tracker'!$A$5:$A$554,$K259)))</f>
        <v/>
      </c>
      <c r="C259" s="6" t="str">
        <f aca="false">IF($K259="","",IF(INDEX('Prospect Tracker'!$B$5:$B$554,$K259)="","",INDEX('Prospect Tracker'!$B$5:$B$554,$K259)))</f>
        <v/>
      </c>
      <c r="D259" s="6" t="str">
        <f aca="false">IF($K259="","",IF(INDEX('Prospect Tracker'!$M$5:$M$554,$K259)="","",INDEX('Prospect Tracker'!$M$5:$M$554,$K259)))</f>
        <v/>
      </c>
      <c r="E259" s="6" t="str">
        <f aca="false">IF($K259="","",IF(INDEX('Prospect Tracker'!$R$5:$R$554,$K259)="","",INDEX('Prospect Tracker'!$R$5:$R$554,$K259)))</f>
        <v/>
      </c>
      <c r="F259" s="6" t="str">
        <f aca="false">IF($K259="","",IF(INDEX('Prospect Tracker'!$J$5:$J$554,$K259)="","",INDEX('Prospect Tracker'!$J$5:$J$554,$K259)))</f>
        <v/>
      </c>
      <c r="G259" s="6" t="str">
        <f aca="false">IF($K259="","",IF(INDEX('Prospect Tracker'!$H$5:$H$554,$K259)="","",INDEX('Prospect Tracker'!$H$5:$H$554,$K259)))</f>
        <v/>
      </c>
      <c r="H259" s="7" t="str">
        <f aca="false">IF($K259="","",IF(INDEX('Prospect Tracker'!$K$5:$K$554,$K259)="","",INDEX('Prospect Tracker'!$K$5:$K$554,$K259)))</f>
        <v/>
      </c>
      <c r="I259" s="6" t="str">
        <f aca="false">IF($K259="","",IF(INDEX('Prospect Tracker'!$T$5:$T$554,$K259)="","",INDEX('Prospect Tracker'!$T$5:$T$554,$K259)))</f>
        <v/>
      </c>
      <c r="J259" s="6" t="str">
        <f aca="false">IF($K259="","",IF(INDEX('Prospect Tracker'!$L$5:$L$554,$K259)="","",INDEX('Prospect Tracker'!$L$5:$L$554,$K259)))</f>
        <v/>
      </c>
      <c r="K259" s="1" t="n">
        <f aca="false">IFERROR(MATCH(SMALL('Prospect Tracker'!$X$5:$X$554,ROW()-4),'Prospect Tracker'!$X$5:$X$554,0),"")</f>
        <v>255</v>
      </c>
    </row>
    <row r="260" customFormat="false" ht="15" hidden="false" customHeight="true" outlineLevel="0" collapsed="false">
      <c r="A260" s="11" t="str">
        <f aca="false">IF($K260="","",IF(INDEX('Prospect Tracker'!$W$5:$W$554,$K260)="","",INDEX('Prospect Tracker'!$W$5:$W$554,$K260)))</f>
        <v/>
      </c>
      <c r="B260" s="11" t="str">
        <f aca="false">IF($K260="","",IF(INDEX('Prospect Tracker'!$A$5:$A$554,$K260)="","",INDEX('Prospect Tracker'!$A$5:$A$554,$K260)))</f>
        <v/>
      </c>
      <c r="C260" s="11" t="str">
        <f aca="false">IF($K260="","",IF(INDEX('Prospect Tracker'!$B$5:$B$554,$K260)="","",INDEX('Prospect Tracker'!$B$5:$B$554,$K260)))</f>
        <v/>
      </c>
      <c r="D260" s="11" t="str">
        <f aca="false">IF($K260="","",IF(INDEX('Prospect Tracker'!$M$5:$M$554,$K260)="","",INDEX('Prospect Tracker'!$M$5:$M$554,$K260)))</f>
        <v/>
      </c>
      <c r="E260" s="11" t="str">
        <f aca="false">IF($K260="","",IF(INDEX('Prospect Tracker'!$R$5:$R$554,$K260)="","",INDEX('Prospect Tracker'!$R$5:$R$554,$K260)))</f>
        <v/>
      </c>
      <c r="F260" s="11" t="str">
        <f aca="false">IF($K260="","",IF(INDEX('Prospect Tracker'!$J$5:$J$554,$K260)="","",INDEX('Prospect Tracker'!$J$5:$J$554,$K260)))</f>
        <v/>
      </c>
      <c r="G260" s="11" t="str">
        <f aca="false">IF($K260="","",IF(INDEX('Prospect Tracker'!$H$5:$H$554,$K260)="","",INDEX('Prospect Tracker'!$H$5:$H$554,$K260)))</f>
        <v/>
      </c>
      <c r="H260" s="12" t="str">
        <f aca="false">IF($K260="","",IF(INDEX('Prospect Tracker'!$K$5:$K$554,$K260)="","",INDEX('Prospect Tracker'!$K$5:$K$554,$K260)))</f>
        <v/>
      </c>
      <c r="I260" s="11" t="str">
        <f aca="false">IF($K260="","",IF(INDEX('Prospect Tracker'!$T$5:$T$554,$K260)="","",INDEX('Prospect Tracker'!$T$5:$T$554,$K260)))</f>
        <v/>
      </c>
      <c r="J260" s="11" t="str">
        <f aca="false">IF($K260="","",IF(INDEX('Prospect Tracker'!$L$5:$L$554,$K260)="","",INDEX('Prospect Tracker'!$L$5:$L$554,$K260)))</f>
        <v/>
      </c>
      <c r="K260" s="1" t="n">
        <f aca="false">IFERROR(MATCH(SMALL('Prospect Tracker'!$X$5:$X$554,ROW()-4),'Prospect Tracker'!$X$5:$X$554,0),"")</f>
        <v>256</v>
      </c>
    </row>
    <row r="261" customFormat="false" ht="15" hidden="false" customHeight="true" outlineLevel="0" collapsed="false">
      <c r="A261" s="6" t="str">
        <f aca="false">IF($K261="","",IF(INDEX('Prospect Tracker'!$W$5:$W$554,$K261)="","",INDEX('Prospect Tracker'!$W$5:$W$554,$K261)))</f>
        <v/>
      </c>
      <c r="B261" s="6" t="str">
        <f aca="false">IF($K261="","",IF(INDEX('Prospect Tracker'!$A$5:$A$554,$K261)="","",INDEX('Prospect Tracker'!$A$5:$A$554,$K261)))</f>
        <v/>
      </c>
      <c r="C261" s="6" t="str">
        <f aca="false">IF($K261="","",IF(INDEX('Prospect Tracker'!$B$5:$B$554,$K261)="","",INDEX('Prospect Tracker'!$B$5:$B$554,$K261)))</f>
        <v/>
      </c>
      <c r="D261" s="6" t="str">
        <f aca="false">IF($K261="","",IF(INDEX('Prospect Tracker'!$M$5:$M$554,$K261)="","",INDEX('Prospect Tracker'!$M$5:$M$554,$K261)))</f>
        <v/>
      </c>
      <c r="E261" s="6" t="str">
        <f aca="false">IF($K261="","",IF(INDEX('Prospect Tracker'!$R$5:$R$554,$K261)="","",INDEX('Prospect Tracker'!$R$5:$R$554,$K261)))</f>
        <v/>
      </c>
      <c r="F261" s="6" t="str">
        <f aca="false">IF($K261="","",IF(INDEX('Prospect Tracker'!$J$5:$J$554,$K261)="","",INDEX('Prospect Tracker'!$J$5:$J$554,$K261)))</f>
        <v/>
      </c>
      <c r="G261" s="6" t="str">
        <f aca="false">IF($K261="","",IF(INDEX('Prospect Tracker'!$H$5:$H$554,$K261)="","",INDEX('Prospect Tracker'!$H$5:$H$554,$K261)))</f>
        <v/>
      </c>
      <c r="H261" s="7" t="str">
        <f aca="false">IF($K261="","",IF(INDEX('Prospect Tracker'!$K$5:$K$554,$K261)="","",INDEX('Prospect Tracker'!$K$5:$K$554,$K261)))</f>
        <v/>
      </c>
      <c r="I261" s="6" t="str">
        <f aca="false">IF($K261="","",IF(INDEX('Prospect Tracker'!$T$5:$T$554,$K261)="","",INDEX('Prospect Tracker'!$T$5:$T$554,$K261)))</f>
        <v/>
      </c>
      <c r="J261" s="6" t="str">
        <f aca="false">IF($K261="","",IF(INDEX('Prospect Tracker'!$L$5:$L$554,$K261)="","",INDEX('Prospect Tracker'!$L$5:$L$554,$K261)))</f>
        <v/>
      </c>
      <c r="K261" s="1" t="n">
        <f aca="false">IFERROR(MATCH(SMALL('Prospect Tracker'!$X$5:$X$554,ROW()-4),'Prospect Tracker'!$X$5:$X$554,0),"")</f>
        <v>257</v>
      </c>
    </row>
    <row r="262" customFormat="false" ht="15" hidden="false" customHeight="true" outlineLevel="0" collapsed="false">
      <c r="A262" s="11" t="str">
        <f aca="false">IF($K262="","",IF(INDEX('Prospect Tracker'!$W$5:$W$554,$K262)="","",INDEX('Prospect Tracker'!$W$5:$W$554,$K262)))</f>
        <v/>
      </c>
      <c r="B262" s="11" t="str">
        <f aca="false">IF($K262="","",IF(INDEX('Prospect Tracker'!$A$5:$A$554,$K262)="","",INDEX('Prospect Tracker'!$A$5:$A$554,$K262)))</f>
        <v/>
      </c>
      <c r="C262" s="11" t="str">
        <f aca="false">IF($K262="","",IF(INDEX('Prospect Tracker'!$B$5:$B$554,$K262)="","",INDEX('Prospect Tracker'!$B$5:$B$554,$K262)))</f>
        <v/>
      </c>
      <c r="D262" s="11" t="str">
        <f aca="false">IF($K262="","",IF(INDEX('Prospect Tracker'!$M$5:$M$554,$K262)="","",INDEX('Prospect Tracker'!$M$5:$M$554,$K262)))</f>
        <v/>
      </c>
      <c r="E262" s="11" t="str">
        <f aca="false">IF($K262="","",IF(INDEX('Prospect Tracker'!$R$5:$R$554,$K262)="","",INDEX('Prospect Tracker'!$R$5:$R$554,$K262)))</f>
        <v/>
      </c>
      <c r="F262" s="11" t="str">
        <f aca="false">IF($K262="","",IF(INDEX('Prospect Tracker'!$J$5:$J$554,$K262)="","",INDEX('Prospect Tracker'!$J$5:$J$554,$K262)))</f>
        <v/>
      </c>
      <c r="G262" s="11" t="str">
        <f aca="false">IF($K262="","",IF(INDEX('Prospect Tracker'!$H$5:$H$554,$K262)="","",INDEX('Prospect Tracker'!$H$5:$H$554,$K262)))</f>
        <v/>
      </c>
      <c r="H262" s="12" t="str">
        <f aca="false">IF($K262="","",IF(INDEX('Prospect Tracker'!$K$5:$K$554,$K262)="","",INDEX('Prospect Tracker'!$K$5:$K$554,$K262)))</f>
        <v/>
      </c>
      <c r="I262" s="11" t="str">
        <f aca="false">IF($K262="","",IF(INDEX('Prospect Tracker'!$T$5:$T$554,$K262)="","",INDEX('Prospect Tracker'!$T$5:$T$554,$K262)))</f>
        <v/>
      </c>
      <c r="J262" s="11" t="str">
        <f aca="false">IF($K262="","",IF(INDEX('Prospect Tracker'!$L$5:$L$554,$K262)="","",INDEX('Prospect Tracker'!$L$5:$L$554,$K262)))</f>
        <v/>
      </c>
      <c r="K262" s="1" t="n">
        <f aca="false">IFERROR(MATCH(SMALL('Prospect Tracker'!$X$5:$X$554,ROW()-4),'Prospect Tracker'!$X$5:$X$554,0),"")</f>
        <v>258</v>
      </c>
    </row>
    <row r="263" customFormat="false" ht="15" hidden="false" customHeight="true" outlineLevel="0" collapsed="false">
      <c r="A263" s="6" t="str">
        <f aca="false">IF($K263="","",IF(INDEX('Prospect Tracker'!$W$5:$W$554,$K263)="","",INDEX('Prospect Tracker'!$W$5:$W$554,$K263)))</f>
        <v/>
      </c>
      <c r="B263" s="6" t="str">
        <f aca="false">IF($K263="","",IF(INDEX('Prospect Tracker'!$A$5:$A$554,$K263)="","",INDEX('Prospect Tracker'!$A$5:$A$554,$K263)))</f>
        <v/>
      </c>
      <c r="C263" s="6" t="str">
        <f aca="false">IF($K263="","",IF(INDEX('Prospect Tracker'!$B$5:$B$554,$K263)="","",INDEX('Prospect Tracker'!$B$5:$B$554,$K263)))</f>
        <v/>
      </c>
      <c r="D263" s="6" t="str">
        <f aca="false">IF($K263="","",IF(INDEX('Prospect Tracker'!$M$5:$M$554,$K263)="","",INDEX('Prospect Tracker'!$M$5:$M$554,$K263)))</f>
        <v/>
      </c>
      <c r="E263" s="6" t="str">
        <f aca="false">IF($K263="","",IF(INDEX('Prospect Tracker'!$R$5:$R$554,$K263)="","",INDEX('Prospect Tracker'!$R$5:$R$554,$K263)))</f>
        <v/>
      </c>
      <c r="F263" s="6" t="str">
        <f aca="false">IF($K263="","",IF(INDEX('Prospect Tracker'!$J$5:$J$554,$K263)="","",INDEX('Prospect Tracker'!$J$5:$J$554,$K263)))</f>
        <v/>
      </c>
      <c r="G263" s="6" t="str">
        <f aca="false">IF($K263="","",IF(INDEX('Prospect Tracker'!$H$5:$H$554,$K263)="","",INDEX('Prospect Tracker'!$H$5:$H$554,$K263)))</f>
        <v/>
      </c>
      <c r="H263" s="7" t="str">
        <f aca="false">IF($K263="","",IF(INDEX('Prospect Tracker'!$K$5:$K$554,$K263)="","",INDEX('Prospect Tracker'!$K$5:$K$554,$K263)))</f>
        <v/>
      </c>
      <c r="I263" s="6" t="str">
        <f aca="false">IF($K263="","",IF(INDEX('Prospect Tracker'!$T$5:$T$554,$K263)="","",INDEX('Prospect Tracker'!$T$5:$T$554,$K263)))</f>
        <v/>
      </c>
      <c r="J263" s="6" t="str">
        <f aca="false">IF($K263="","",IF(INDEX('Prospect Tracker'!$L$5:$L$554,$K263)="","",INDEX('Prospect Tracker'!$L$5:$L$554,$K263)))</f>
        <v/>
      </c>
      <c r="K263" s="1" t="n">
        <f aca="false">IFERROR(MATCH(SMALL('Prospect Tracker'!$X$5:$X$554,ROW()-4),'Prospect Tracker'!$X$5:$X$554,0),"")</f>
        <v>259</v>
      </c>
    </row>
    <row r="264" customFormat="false" ht="15" hidden="false" customHeight="true" outlineLevel="0" collapsed="false">
      <c r="A264" s="11" t="str">
        <f aca="false">IF($K264="","",IF(INDEX('Prospect Tracker'!$W$5:$W$554,$K264)="","",INDEX('Prospect Tracker'!$W$5:$W$554,$K264)))</f>
        <v/>
      </c>
      <c r="B264" s="11" t="str">
        <f aca="false">IF($K264="","",IF(INDEX('Prospect Tracker'!$A$5:$A$554,$K264)="","",INDEX('Prospect Tracker'!$A$5:$A$554,$K264)))</f>
        <v/>
      </c>
      <c r="C264" s="11" t="str">
        <f aca="false">IF($K264="","",IF(INDEX('Prospect Tracker'!$B$5:$B$554,$K264)="","",INDEX('Prospect Tracker'!$B$5:$B$554,$K264)))</f>
        <v/>
      </c>
      <c r="D264" s="11" t="str">
        <f aca="false">IF($K264="","",IF(INDEX('Prospect Tracker'!$M$5:$M$554,$K264)="","",INDEX('Prospect Tracker'!$M$5:$M$554,$K264)))</f>
        <v/>
      </c>
      <c r="E264" s="11" t="str">
        <f aca="false">IF($K264="","",IF(INDEX('Prospect Tracker'!$R$5:$R$554,$K264)="","",INDEX('Prospect Tracker'!$R$5:$R$554,$K264)))</f>
        <v/>
      </c>
      <c r="F264" s="11" t="str">
        <f aca="false">IF($K264="","",IF(INDEX('Prospect Tracker'!$J$5:$J$554,$K264)="","",INDEX('Prospect Tracker'!$J$5:$J$554,$K264)))</f>
        <v/>
      </c>
      <c r="G264" s="11" t="str">
        <f aca="false">IF($K264="","",IF(INDEX('Prospect Tracker'!$H$5:$H$554,$K264)="","",INDEX('Prospect Tracker'!$H$5:$H$554,$K264)))</f>
        <v/>
      </c>
      <c r="H264" s="12" t="str">
        <f aca="false">IF($K264="","",IF(INDEX('Prospect Tracker'!$K$5:$K$554,$K264)="","",INDEX('Prospect Tracker'!$K$5:$K$554,$K264)))</f>
        <v/>
      </c>
      <c r="I264" s="11" t="str">
        <f aca="false">IF($K264="","",IF(INDEX('Prospect Tracker'!$T$5:$T$554,$K264)="","",INDEX('Prospect Tracker'!$T$5:$T$554,$K264)))</f>
        <v/>
      </c>
      <c r="J264" s="11" t="str">
        <f aca="false">IF($K264="","",IF(INDEX('Prospect Tracker'!$L$5:$L$554,$K264)="","",INDEX('Prospect Tracker'!$L$5:$L$554,$K264)))</f>
        <v/>
      </c>
      <c r="K264" s="1" t="n">
        <f aca="false">IFERROR(MATCH(SMALL('Prospect Tracker'!$X$5:$X$554,ROW()-4),'Prospect Tracker'!$X$5:$X$554,0),"")</f>
        <v>260</v>
      </c>
    </row>
    <row r="265" customFormat="false" ht="15" hidden="false" customHeight="true" outlineLevel="0" collapsed="false">
      <c r="A265" s="6" t="str">
        <f aca="false">IF($K265="","",IF(INDEX('Prospect Tracker'!$W$5:$W$554,$K265)="","",INDEX('Prospect Tracker'!$W$5:$W$554,$K265)))</f>
        <v/>
      </c>
      <c r="B265" s="6" t="str">
        <f aca="false">IF($K265="","",IF(INDEX('Prospect Tracker'!$A$5:$A$554,$K265)="","",INDEX('Prospect Tracker'!$A$5:$A$554,$K265)))</f>
        <v/>
      </c>
      <c r="C265" s="6" t="str">
        <f aca="false">IF($K265="","",IF(INDEX('Prospect Tracker'!$B$5:$B$554,$K265)="","",INDEX('Prospect Tracker'!$B$5:$B$554,$K265)))</f>
        <v/>
      </c>
      <c r="D265" s="6" t="str">
        <f aca="false">IF($K265="","",IF(INDEX('Prospect Tracker'!$M$5:$M$554,$K265)="","",INDEX('Prospect Tracker'!$M$5:$M$554,$K265)))</f>
        <v/>
      </c>
      <c r="E265" s="6" t="str">
        <f aca="false">IF($K265="","",IF(INDEX('Prospect Tracker'!$R$5:$R$554,$K265)="","",INDEX('Prospect Tracker'!$R$5:$R$554,$K265)))</f>
        <v/>
      </c>
      <c r="F265" s="6" t="str">
        <f aca="false">IF($K265="","",IF(INDEX('Prospect Tracker'!$J$5:$J$554,$K265)="","",INDEX('Prospect Tracker'!$J$5:$J$554,$K265)))</f>
        <v/>
      </c>
      <c r="G265" s="6" t="str">
        <f aca="false">IF($K265="","",IF(INDEX('Prospect Tracker'!$H$5:$H$554,$K265)="","",INDEX('Prospect Tracker'!$H$5:$H$554,$K265)))</f>
        <v/>
      </c>
      <c r="H265" s="7" t="str">
        <f aca="false">IF($K265="","",IF(INDEX('Prospect Tracker'!$K$5:$K$554,$K265)="","",INDEX('Prospect Tracker'!$K$5:$K$554,$K265)))</f>
        <v/>
      </c>
      <c r="I265" s="6" t="str">
        <f aca="false">IF($K265="","",IF(INDEX('Prospect Tracker'!$T$5:$T$554,$K265)="","",INDEX('Prospect Tracker'!$T$5:$T$554,$K265)))</f>
        <v/>
      </c>
      <c r="J265" s="6" t="str">
        <f aca="false">IF($K265="","",IF(INDEX('Prospect Tracker'!$L$5:$L$554,$K265)="","",INDEX('Prospect Tracker'!$L$5:$L$554,$K265)))</f>
        <v/>
      </c>
      <c r="K265" s="1" t="n">
        <f aca="false">IFERROR(MATCH(SMALL('Prospect Tracker'!$X$5:$X$554,ROW()-4),'Prospect Tracker'!$X$5:$X$554,0),"")</f>
        <v>261</v>
      </c>
    </row>
    <row r="266" customFormat="false" ht="15" hidden="false" customHeight="true" outlineLevel="0" collapsed="false">
      <c r="A266" s="11" t="str">
        <f aca="false">IF($K266="","",IF(INDEX('Prospect Tracker'!$W$5:$W$554,$K266)="","",INDEX('Prospect Tracker'!$W$5:$W$554,$K266)))</f>
        <v/>
      </c>
      <c r="B266" s="11" t="str">
        <f aca="false">IF($K266="","",IF(INDEX('Prospect Tracker'!$A$5:$A$554,$K266)="","",INDEX('Prospect Tracker'!$A$5:$A$554,$K266)))</f>
        <v/>
      </c>
      <c r="C266" s="11" t="str">
        <f aca="false">IF($K266="","",IF(INDEX('Prospect Tracker'!$B$5:$B$554,$K266)="","",INDEX('Prospect Tracker'!$B$5:$B$554,$K266)))</f>
        <v/>
      </c>
      <c r="D266" s="11" t="str">
        <f aca="false">IF($K266="","",IF(INDEX('Prospect Tracker'!$M$5:$M$554,$K266)="","",INDEX('Prospect Tracker'!$M$5:$M$554,$K266)))</f>
        <v/>
      </c>
      <c r="E266" s="11" t="str">
        <f aca="false">IF($K266="","",IF(INDEX('Prospect Tracker'!$R$5:$R$554,$K266)="","",INDEX('Prospect Tracker'!$R$5:$R$554,$K266)))</f>
        <v/>
      </c>
      <c r="F266" s="11" t="str">
        <f aca="false">IF($K266="","",IF(INDEX('Prospect Tracker'!$J$5:$J$554,$K266)="","",INDEX('Prospect Tracker'!$J$5:$J$554,$K266)))</f>
        <v/>
      </c>
      <c r="G266" s="11" t="str">
        <f aca="false">IF($K266="","",IF(INDEX('Prospect Tracker'!$H$5:$H$554,$K266)="","",INDEX('Prospect Tracker'!$H$5:$H$554,$K266)))</f>
        <v/>
      </c>
      <c r="H266" s="12" t="str">
        <f aca="false">IF($K266="","",IF(INDEX('Prospect Tracker'!$K$5:$K$554,$K266)="","",INDEX('Prospect Tracker'!$K$5:$K$554,$K266)))</f>
        <v/>
      </c>
      <c r="I266" s="11" t="str">
        <f aca="false">IF($K266="","",IF(INDEX('Prospect Tracker'!$T$5:$T$554,$K266)="","",INDEX('Prospect Tracker'!$T$5:$T$554,$K266)))</f>
        <v/>
      </c>
      <c r="J266" s="11" t="str">
        <f aca="false">IF($K266="","",IF(INDEX('Prospect Tracker'!$L$5:$L$554,$K266)="","",INDEX('Prospect Tracker'!$L$5:$L$554,$K266)))</f>
        <v/>
      </c>
      <c r="K266" s="1" t="n">
        <f aca="false">IFERROR(MATCH(SMALL('Prospect Tracker'!$X$5:$X$554,ROW()-4),'Prospect Tracker'!$X$5:$X$554,0),"")</f>
        <v>262</v>
      </c>
    </row>
    <row r="267" customFormat="false" ht="15" hidden="false" customHeight="true" outlineLevel="0" collapsed="false">
      <c r="A267" s="6" t="str">
        <f aca="false">IF($K267="","",IF(INDEX('Prospect Tracker'!$W$5:$W$554,$K267)="","",INDEX('Prospect Tracker'!$W$5:$W$554,$K267)))</f>
        <v/>
      </c>
      <c r="B267" s="6" t="str">
        <f aca="false">IF($K267="","",IF(INDEX('Prospect Tracker'!$A$5:$A$554,$K267)="","",INDEX('Prospect Tracker'!$A$5:$A$554,$K267)))</f>
        <v/>
      </c>
      <c r="C267" s="6" t="str">
        <f aca="false">IF($K267="","",IF(INDEX('Prospect Tracker'!$B$5:$B$554,$K267)="","",INDEX('Prospect Tracker'!$B$5:$B$554,$K267)))</f>
        <v/>
      </c>
      <c r="D267" s="6" t="str">
        <f aca="false">IF($K267="","",IF(INDEX('Prospect Tracker'!$M$5:$M$554,$K267)="","",INDEX('Prospect Tracker'!$M$5:$M$554,$K267)))</f>
        <v/>
      </c>
      <c r="E267" s="6" t="str">
        <f aca="false">IF($K267="","",IF(INDEX('Prospect Tracker'!$R$5:$R$554,$K267)="","",INDEX('Prospect Tracker'!$R$5:$R$554,$K267)))</f>
        <v/>
      </c>
      <c r="F267" s="6" t="str">
        <f aca="false">IF($K267="","",IF(INDEX('Prospect Tracker'!$J$5:$J$554,$K267)="","",INDEX('Prospect Tracker'!$J$5:$J$554,$K267)))</f>
        <v/>
      </c>
      <c r="G267" s="6" t="str">
        <f aca="false">IF($K267="","",IF(INDEX('Prospect Tracker'!$H$5:$H$554,$K267)="","",INDEX('Prospect Tracker'!$H$5:$H$554,$K267)))</f>
        <v/>
      </c>
      <c r="H267" s="7" t="str">
        <f aca="false">IF($K267="","",IF(INDEX('Prospect Tracker'!$K$5:$K$554,$K267)="","",INDEX('Prospect Tracker'!$K$5:$K$554,$K267)))</f>
        <v/>
      </c>
      <c r="I267" s="6" t="str">
        <f aca="false">IF($K267="","",IF(INDEX('Prospect Tracker'!$T$5:$T$554,$K267)="","",INDEX('Prospect Tracker'!$T$5:$T$554,$K267)))</f>
        <v/>
      </c>
      <c r="J267" s="6" t="str">
        <f aca="false">IF($K267="","",IF(INDEX('Prospect Tracker'!$L$5:$L$554,$K267)="","",INDEX('Prospect Tracker'!$L$5:$L$554,$K267)))</f>
        <v/>
      </c>
      <c r="K267" s="1" t="n">
        <f aca="false">IFERROR(MATCH(SMALL('Prospect Tracker'!$X$5:$X$554,ROW()-4),'Prospect Tracker'!$X$5:$X$554,0),"")</f>
        <v>263</v>
      </c>
    </row>
    <row r="268" customFormat="false" ht="15" hidden="false" customHeight="true" outlineLevel="0" collapsed="false">
      <c r="A268" s="11" t="str">
        <f aca="false">IF($K268="","",IF(INDEX('Prospect Tracker'!$W$5:$W$554,$K268)="","",INDEX('Prospect Tracker'!$W$5:$W$554,$K268)))</f>
        <v/>
      </c>
      <c r="B268" s="11" t="str">
        <f aca="false">IF($K268="","",IF(INDEX('Prospect Tracker'!$A$5:$A$554,$K268)="","",INDEX('Prospect Tracker'!$A$5:$A$554,$K268)))</f>
        <v/>
      </c>
      <c r="C268" s="11" t="str">
        <f aca="false">IF($K268="","",IF(INDEX('Prospect Tracker'!$B$5:$B$554,$K268)="","",INDEX('Prospect Tracker'!$B$5:$B$554,$K268)))</f>
        <v/>
      </c>
      <c r="D268" s="11" t="str">
        <f aca="false">IF($K268="","",IF(INDEX('Prospect Tracker'!$M$5:$M$554,$K268)="","",INDEX('Prospect Tracker'!$M$5:$M$554,$K268)))</f>
        <v/>
      </c>
      <c r="E268" s="11" t="str">
        <f aca="false">IF($K268="","",IF(INDEX('Prospect Tracker'!$R$5:$R$554,$K268)="","",INDEX('Prospect Tracker'!$R$5:$R$554,$K268)))</f>
        <v/>
      </c>
      <c r="F268" s="11" t="str">
        <f aca="false">IF($K268="","",IF(INDEX('Prospect Tracker'!$J$5:$J$554,$K268)="","",INDEX('Prospect Tracker'!$J$5:$J$554,$K268)))</f>
        <v/>
      </c>
      <c r="G268" s="11" t="str">
        <f aca="false">IF($K268="","",IF(INDEX('Prospect Tracker'!$H$5:$H$554,$K268)="","",INDEX('Prospect Tracker'!$H$5:$H$554,$K268)))</f>
        <v/>
      </c>
      <c r="H268" s="12" t="str">
        <f aca="false">IF($K268="","",IF(INDEX('Prospect Tracker'!$K$5:$K$554,$K268)="","",INDEX('Prospect Tracker'!$K$5:$K$554,$K268)))</f>
        <v/>
      </c>
      <c r="I268" s="11" t="str">
        <f aca="false">IF($K268="","",IF(INDEX('Prospect Tracker'!$T$5:$T$554,$K268)="","",INDEX('Prospect Tracker'!$T$5:$T$554,$K268)))</f>
        <v/>
      </c>
      <c r="J268" s="11" t="str">
        <f aca="false">IF($K268="","",IF(INDEX('Prospect Tracker'!$L$5:$L$554,$K268)="","",INDEX('Prospect Tracker'!$L$5:$L$554,$K268)))</f>
        <v/>
      </c>
      <c r="K268" s="1" t="n">
        <f aca="false">IFERROR(MATCH(SMALL('Prospect Tracker'!$X$5:$X$554,ROW()-4),'Prospect Tracker'!$X$5:$X$554,0),"")</f>
        <v>264</v>
      </c>
    </row>
    <row r="269" customFormat="false" ht="15" hidden="false" customHeight="true" outlineLevel="0" collapsed="false">
      <c r="A269" s="6" t="str">
        <f aca="false">IF($K269="","",IF(INDEX('Prospect Tracker'!$W$5:$W$554,$K269)="","",INDEX('Prospect Tracker'!$W$5:$W$554,$K269)))</f>
        <v/>
      </c>
      <c r="B269" s="6" t="str">
        <f aca="false">IF($K269="","",IF(INDEX('Prospect Tracker'!$A$5:$A$554,$K269)="","",INDEX('Prospect Tracker'!$A$5:$A$554,$K269)))</f>
        <v/>
      </c>
      <c r="C269" s="6" t="str">
        <f aca="false">IF($K269="","",IF(INDEX('Prospect Tracker'!$B$5:$B$554,$K269)="","",INDEX('Prospect Tracker'!$B$5:$B$554,$K269)))</f>
        <v/>
      </c>
      <c r="D269" s="6" t="str">
        <f aca="false">IF($K269="","",IF(INDEX('Prospect Tracker'!$M$5:$M$554,$K269)="","",INDEX('Prospect Tracker'!$M$5:$M$554,$K269)))</f>
        <v/>
      </c>
      <c r="E269" s="6" t="str">
        <f aca="false">IF($K269="","",IF(INDEX('Prospect Tracker'!$R$5:$R$554,$K269)="","",INDEX('Prospect Tracker'!$R$5:$R$554,$K269)))</f>
        <v/>
      </c>
      <c r="F269" s="6" t="str">
        <f aca="false">IF($K269="","",IF(INDEX('Prospect Tracker'!$J$5:$J$554,$K269)="","",INDEX('Prospect Tracker'!$J$5:$J$554,$K269)))</f>
        <v/>
      </c>
      <c r="G269" s="6" t="str">
        <f aca="false">IF($K269="","",IF(INDEX('Prospect Tracker'!$H$5:$H$554,$K269)="","",INDEX('Prospect Tracker'!$H$5:$H$554,$K269)))</f>
        <v/>
      </c>
      <c r="H269" s="7" t="str">
        <f aca="false">IF($K269="","",IF(INDEX('Prospect Tracker'!$K$5:$K$554,$K269)="","",INDEX('Prospect Tracker'!$K$5:$K$554,$K269)))</f>
        <v/>
      </c>
      <c r="I269" s="6" t="str">
        <f aca="false">IF($K269="","",IF(INDEX('Prospect Tracker'!$T$5:$T$554,$K269)="","",INDEX('Prospect Tracker'!$T$5:$T$554,$K269)))</f>
        <v/>
      </c>
      <c r="J269" s="6" t="str">
        <f aca="false">IF($K269="","",IF(INDEX('Prospect Tracker'!$L$5:$L$554,$K269)="","",INDEX('Prospect Tracker'!$L$5:$L$554,$K269)))</f>
        <v/>
      </c>
      <c r="K269" s="1" t="n">
        <f aca="false">IFERROR(MATCH(SMALL('Prospect Tracker'!$X$5:$X$554,ROW()-4),'Prospect Tracker'!$X$5:$X$554,0),"")</f>
        <v>265</v>
      </c>
    </row>
    <row r="270" customFormat="false" ht="15" hidden="false" customHeight="true" outlineLevel="0" collapsed="false">
      <c r="A270" s="11" t="str">
        <f aca="false">IF($K270="","",IF(INDEX('Prospect Tracker'!$W$5:$W$554,$K270)="","",INDEX('Prospect Tracker'!$W$5:$W$554,$K270)))</f>
        <v/>
      </c>
      <c r="B270" s="11" t="str">
        <f aca="false">IF($K270="","",IF(INDEX('Prospect Tracker'!$A$5:$A$554,$K270)="","",INDEX('Prospect Tracker'!$A$5:$A$554,$K270)))</f>
        <v/>
      </c>
      <c r="C270" s="11" t="str">
        <f aca="false">IF($K270="","",IF(INDEX('Prospect Tracker'!$B$5:$B$554,$K270)="","",INDEX('Prospect Tracker'!$B$5:$B$554,$K270)))</f>
        <v/>
      </c>
      <c r="D270" s="11" t="str">
        <f aca="false">IF($K270="","",IF(INDEX('Prospect Tracker'!$M$5:$M$554,$K270)="","",INDEX('Prospect Tracker'!$M$5:$M$554,$K270)))</f>
        <v/>
      </c>
      <c r="E270" s="11" t="str">
        <f aca="false">IF($K270="","",IF(INDEX('Prospect Tracker'!$R$5:$R$554,$K270)="","",INDEX('Prospect Tracker'!$R$5:$R$554,$K270)))</f>
        <v/>
      </c>
      <c r="F270" s="11" t="str">
        <f aca="false">IF($K270="","",IF(INDEX('Prospect Tracker'!$J$5:$J$554,$K270)="","",INDEX('Prospect Tracker'!$J$5:$J$554,$K270)))</f>
        <v/>
      </c>
      <c r="G270" s="11" t="str">
        <f aca="false">IF($K270="","",IF(INDEX('Prospect Tracker'!$H$5:$H$554,$K270)="","",INDEX('Prospect Tracker'!$H$5:$H$554,$K270)))</f>
        <v/>
      </c>
      <c r="H270" s="12" t="str">
        <f aca="false">IF($K270="","",IF(INDEX('Prospect Tracker'!$K$5:$K$554,$K270)="","",INDEX('Prospect Tracker'!$K$5:$K$554,$K270)))</f>
        <v/>
      </c>
      <c r="I270" s="11" t="str">
        <f aca="false">IF($K270="","",IF(INDEX('Prospect Tracker'!$T$5:$T$554,$K270)="","",INDEX('Prospect Tracker'!$T$5:$T$554,$K270)))</f>
        <v/>
      </c>
      <c r="J270" s="11" t="str">
        <f aca="false">IF($K270="","",IF(INDEX('Prospect Tracker'!$L$5:$L$554,$K270)="","",INDEX('Prospect Tracker'!$L$5:$L$554,$K270)))</f>
        <v/>
      </c>
      <c r="K270" s="1" t="n">
        <f aca="false">IFERROR(MATCH(SMALL('Prospect Tracker'!$X$5:$X$554,ROW()-4),'Prospect Tracker'!$X$5:$X$554,0),"")</f>
        <v>266</v>
      </c>
    </row>
    <row r="271" customFormat="false" ht="15" hidden="false" customHeight="true" outlineLevel="0" collapsed="false">
      <c r="A271" s="6" t="str">
        <f aca="false">IF($K271="","",IF(INDEX('Prospect Tracker'!$W$5:$W$554,$K271)="","",INDEX('Prospect Tracker'!$W$5:$W$554,$K271)))</f>
        <v/>
      </c>
      <c r="B271" s="6" t="str">
        <f aca="false">IF($K271="","",IF(INDEX('Prospect Tracker'!$A$5:$A$554,$K271)="","",INDEX('Prospect Tracker'!$A$5:$A$554,$K271)))</f>
        <v/>
      </c>
      <c r="C271" s="6" t="str">
        <f aca="false">IF($K271="","",IF(INDEX('Prospect Tracker'!$B$5:$B$554,$K271)="","",INDEX('Prospect Tracker'!$B$5:$B$554,$K271)))</f>
        <v/>
      </c>
      <c r="D271" s="6" t="str">
        <f aca="false">IF($K271="","",IF(INDEX('Prospect Tracker'!$M$5:$M$554,$K271)="","",INDEX('Prospect Tracker'!$M$5:$M$554,$K271)))</f>
        <v/>
      </c>
      <c r="E271" s="6" t="str">
        <f aca="false">IF($K271="","",IF(INDEX('Prospect Tracker'!$R$5:$R$554,$K271)="","",INDEX('Prospect Tracker'!$R$5:$R$554,$K271)))</f>
        <v/>
      </c>
      <c r="F271" s="6" t="str">
        <f aca="false">IF($K271="","",IF(INDEX('Prospect Tracker'!$J$5:$J$554,$K271)="","",INDEX('Prospect Tracker'!$J$5:$J$554,$K271)))</f>
        <v/>
      </c>
      <c r="G271" s="6" t="str">
        <f aca="false">IF($K271="","",IF(INDEX('Prospect Tracker'!$H$5:$H$554,$K271)="","",INDEX('Prospect Tracker'!$H$5:$H$554,$K271)))</f>
        <v/>
      </c>
      <c r="H271" s="7" t="str">
        <f aca="false">IF($K271="","",IF(INDEX('Prospect Tracker'!$K$5:$K$554,$K271)="","",INDEX('Prospect Tracker'!$K$5:$K$554,$K271)))</f>
        <v/>
      </c>
      <c r="I271" s="6" t="str">
        <f aca="false">IF($K271="","",IF(INDEX('Prospect Tracker'!$T$5:$T$554,$K271)="","",INDEX('Prospect Tracker'!$T$5:$T$554,$K271)))</f>
        <v/>
      </c>
      <c r="J271" s="6" t="str">
        <f aca="false">IF($K271="","",IF(INDEX('Prospect Tracker'!$L$5:$L$554,$K271)="","",INDEX('Prospect Tracker'!$L$5:$L$554,$K271)))</f>
        <v/>
      </c>
      <c r="K271" s="1" t="n">
        <f aca="false">IFERROR(MATCH(SMALL('Prospect Tracker'!$X$5:$X$554,ROW()-4),'Prospect Tracker'!$X$5:$X$554,0),"")</f>
        <v>267</v>
      </c>
    </row>
    <row r="272" customFormat="false" ht="15" hidden="false" customHeight="true" outlineLevel="0" collapsed="false">
      <c r="A272" s="11" t="str">
        <f aca="false">IF($K272="","",IF(INDEX('Prospect Tracker'!$W$5:$W$554,$K272)="","",INDEX('Prospect Tracker'!$W$5:$W$554,$K272)))</f>
        <v/>
      </c>
      <c r="B272" s="11" t="str">
        <f aca="false">IF($K272="","",IF(INDEX('Prospect Tracker'!$A$5:$A$554,$K272)="","",INDEX('Prospect Tracker'!$A$5:$A$554,$K272)))</f>
        <v/>
      </c>
      <c r="C272" s="11" t="str">
        <f aca="false">IF($K272="","",IF(INDEX('Prospect Tracker'!$B$5:$B$554,$K272)="","",INDEX('Prospect Tracker'!$B$5:$B$554,$K272)))</f>
        <v/>
      </c>
      <c r="D272" s="11" t="str">
        <f aca="false">IF($K272="","",IF(INDEX('Prospect Tracker'!$M$5:$M$554,$K272)="","",INDEX('Prospect Tracker'!$M$5:$M$554,$K272)))</f>
        <v/>
      </c>
      <c r="E272" s="11" t="str">
        <f aca="false">IF($K272="","",IF(INDEX('Prospect Tracker'!$R$5:$R$554,$K272)="","",INDEX('Prospect Tracker'!$R$5:$R$554,$K272)))</f>
        <v/>
      </c>
      <c r="F272" s="11" t="str">
        <f aca="false">IF($K272="","",IF(INDEX('Prospect Tracker'!$J$5:$J$554,$K272)="","",INDEX('Prospect Tracker'!$J$5:$J$554,$K272)))</f>
        <v/>
      </c>
      <c r="G272" s="11" t="str">
        <f aca="false">IF($K272="","",IF(INDEX('Prospect Tracker'!$H$5:$H$554,$K272)="","",INDEX('Prospect Tracker'!$H$5:$H$554,$K272)))</f>
        <v/>
      </c>
      <c r="H272" s="12" t="str">
        <f aca="false">IF($K272="","",IF(INDEX('Prospect Tracker'!$K$5:$K$554,$K272)="","",INDEX('Prospect Tracker'!$K$5:$K$554,$K272)))</f>
        <v/>
      </c>
      <c r="I272" s="11" t="str">
        <f aca="false">IF($K272="","",IF(INDEX('Prospect Tracker'!$T$5:$T$554,$K272)="","",INDEX('Prospect Tracker'!$T$5:$T$554,$K272)))</f>
        <v/>
      </c>
      <c r="J272" s="11" t="str">
        <f aca="false">IF($K272="","",IF(INDEX('Prospect Tracker'!$L$5:$L$554,$K272)="","",INDEX('Prospect Tracker'!$L$5:$L$554,$K272)))</f>
        <v/>
      </c>
      <c r="K272" s="1" t="n">
        <f aca="false">IFERROR(MATCH(SMALL('Prospect Tracker'!$X$5:$X$554,ROW()-4),'Prospect Tracker'!$X$5:$X$554,0),"")</f>
        <v>268</v>
      </c>
    </row>
    <row r="273" customFormat="false" ht="15" hidden="false" customHeight="true" outlineLevel="0" collapsed="false">
      <c r="A273" s="6" t="str">
        <f aca="false">IF($K273="","",IF(INDEX('Prospect Tracker'!$W$5:$W$554,$K273)="","",INDEX('Prospect Tracker'!$W$5:$W$554,$K273)))</f>
        <v/>
      </c>
      <c r="B273" s="6" t="str">
        <f aca="false">IF($K273="","",IF(INDEX('Prospect Tracker'!$A$5:$A$554,$K273)="","",INDEX('Prospect Tracker'!$A$5:$A$554,$K273)))</f>
        <v/>
      </c>
      <c r="C273" s="6" t="str">
        <f aca="false">IF($K273="","",IF(INDEX('Prospect Tracker'!$B$5:$B$554,$K273)="","",INDEX('Prospect Tracker'!$B$5:$B$554,$K273)))</f>
        <v/>
      </c>
      <c r="D273" s="6" t="str">
        <f aca="false">IF($K273="","",IF(INDEX('Prospect Tracker'!$M$5:$M$554,$K273)="","",INDEX('Prospect Tracker'!$M$5:$M$554,$K273)))</f>
        <v/>
      </c>
      <c r="E273" s="6" t="str">
        <f aca="false">IF($K273="","",IF(INDEX('Prospect Tracker'!$R$5:$R$554,$K273)="","",INDEX('Prospect Tracker'!$R$5:$R$554,$K273)))</f>
        <v/>
      </c>
      <c r="F273" s="6" t="str">
        <f aca="false">IF($K273="","",IF(INDEX('Prospect Tracker'!$J$5:$J$554,$K273)="","",INDEX('Prospect Tracker'!$J$5:$J$554,$K273)))</f>
        <v/>
      </c>
      <c r="G273" s="6" t="str">
        <f aca="false">IF($K273="","",IF(INDEX('Prospect Tracker'!$H$5:$H$554,$K273)="","",INDEX('Prospect Tracker'!$H$5:$H$554,$K273)))</f>
        <v/>
      </c>
      <c r="H273" s="7" t="str">
        <f aca="false">IF($K273="","",IF(INDEX('Prospect Tracker'!$K$5:$K$554,$K273)="","",INDEX('Prospect Tracker'!$K$5:$K$554,$K273)))</f>
        <v/>
      </c>
      <c r="I273" s="6" t="str">
        <f aca="false">IF($K273="","",IF(INDEX('Prospect Tracker'!$T$5:$T$554,$K273)="","",INDEX('Prospect Tracker'!$T$5:$T$554,$K273)))</f>
        <v/>
      </c>
      <c r="J273" s="6" t="str">
        <f aca="false">IF($K273="","",IF(INDEX('Prospect Tracker'!$L$5:$L$554,$K273)="","",INDEX('Prospect Tracker'!$L$5:$L$554,$K273)))</f>
        <v/>
      </c>
      <c r="K273" s="1" t="n">
        <f aca="false">IFERROR(MATCH(SMALL('Prospect Tracker'!$X$5:$X$554,ROW()-4),'Prospect Tracker'!$X$5:$X$554,0),"")</f>
        <v>269</v>
      </c>
    </row>
    <row r="274" customFormat="false" ht="15" hidden="false" customHeight="true" outlineLevel="0" collapsed="false">
      <c r="A274" s="11" t="str">
        <f aca="false">IF($K274="","",IF(INDEX('Prospect Tracker'!$W$5:$W$554,$K274)="","",INDEX('Prospect Tracker'!$W$5:$W$554,$K274)))</f>
        <v/>
      </c>
      <c r="B274" s="11" t="str">
        <f aca="false">IF($K274="","",IF(INDEX('Prospect Tracker'!$A$5:$A$554,$K274)="","",INDEX('Prospect Tracker'!$A$5:$A$554,$K274)))</f>
        <v/>
      </c>
      <c r="C274" s="11" t="str">
        <f aca="false">IF($K274="","",IF(INDEX('Prospect Tracker'!$B$5:$B$554,$K274)="","",INDEX('Prospect Tracker'!$B$5:$B$554,$K274)))</f>
        <v/>
      </c>
      <c r="D274" s="11" t="str">
        <f aca="false">IF($K274="","",IF(INDEX('Prospect Tracker'!$M$5:$M$554,$K274)="","",INDEX('Prospect Tracker'!$M$5:$M$554,$K274)))</f>
        <v/>
      </c>
      <c r="E274" s="11" t="str">
        <f aca="false">IF($K274="","",IF(INDEX('Prospect Tracker'!$R$5:$R$554,$K274)="","",INDEX('Prospect Tracker'!$R$5:$R$554,$K274)))</f>
        <v/>
      </c>
      <c r="F274" s="11" t="str">
        <f aca="false">IF($K274="","",IF(INDEX('Prospect Tracker'!$J$5:$J$554,$K274)="","",INDEX('Prospect Tracker'!$J$5:$J$554,$K274)))</f>
        <v/>
      </c>
      <c r="G274" s="11" t="str">
        <f aca="false">IF($K274="","",IF(INDEX('Prospect Tracker'!$H$5:$H$554,$K274)="","",INDEX('Prospect Tracker'!$H$5:$H$554,$K274)))</f>
        <v/>
      </c>
      <c r="H274" s="12" t="str">
        <f aca="false">IF($K274="","",IF(INDEX('Prospect Tracker'!$K$5:$K$554,$K274)="","",INDEX('Prospect Tracker'!$K$5:$K$554,$K274)))</f>
        <v/>
      </c>
      <c r="I274" s="11" t="str">
        <f aca="false">IF($K274="","",IF(INDEX('Prospect Tracker'!$T$5:$T$554,$K274)="","",INDEX('Prospect Tracker'!$T$5:$T$554,$K274)))</f>
        <v/>
      </c>
      <c r="J274" s="11" t="str">
        <f aca="false">IF($K274="","",IF(INDEX('Prospect Tracker'!$L$5:$L$554,$K274)="","",INDEX('Prospect Tracker'!$L$5:$L$554,$K274)))</f>
        <v/>
      </c>
      <c r="K274" s="1" t="n">
        <f aca="false">IFERROR(MATCH(SMALL('Prospect Tracker'!$X$5:$X$554,ROW()-4),'Prospect Tracker'!$X$5:$X$554,0),"")</f>
        <v>270</v>
      </c>
    </row>
    <row r="275" customFormat="false" ht="15" hidden="false" customHeight="true" outlineLevel="0" collapsed="false">
      <c r="A275" s="6" t="str">
        <f aca="false">IF($K275="","",IF(INDEX('Prospect Tracker'!$W$5:$W$554,$K275)="","",INDEX('Prospect Tracker'!$W$5:$W$554,$K275)))</f>
        <v/>
      </c>
      <c r="B275" s="6" t="str">
        <f aca="false">IF($K275="","",IF(INDEX('Prospect Tracker'!$A$5:$A$554,$K275)="","",INDEX('Prospect Tracker'!$A$5:$A$554,$K275)))</f>
        <v/>
      </c>
      <c r="C275" s="6" t="str">
        <f aca="false">IF($K275="","",IF(INDEX('Prospect Tracker'!$B$5:$B$554,$K275)="","",INDEX('Prospect Tracker'!$B$5:$B$554,$K275)))</f>
        <v/>
      </c>
      <c r="D275" s="6" t="str">
        <f aca="false">IF($K275="","",IF(INDEX('Prospect Tracker'!$M$5:$M$554,$K275)="","",INDEX('Prospect Tracker'!$M$5:$M$554,$K275)))</f>
        <v/>
      </c>
      <c r="E275" s="6" t="str">
        <f aca="false">IF($K275="","",IF(INDEX('Prospect Tracker'!$R$5:$R$554,$K275)="","",INDEX('Prospect Tracker'!$R$5:$R$554,$K275)))</f>
        <v/>
      </c>
      <c r="F275" s="6" t="str">
        <f aca="false">IF($K275="","",IF(INDEX('Prospect Tracker'!$J$5:$J$554,$K275)="","",INDEX('Prospect Tracker'!$J$5:$J$554,$K275)))</f>
        <v/>
      </c>
      <c r="G275" s="6" t="str">
        <f aca="false">IF($K275="","",IF(INDEX('Prospect Tracker'!$H$5:$H$554,$K275)="","",INDEX('Prospect Tracker'!$H$5:$H$554,$K275)))</f>
        <v/>
      </c>
      <c r="H275" s="7" t="str">
        <f aca="false">IF($K275="","",IF(INDEX('Prospect Tracker'!$K$5:$K$554,$K275)="","",INDEX('Prospect Tracker'!$K$5:$K$554,$K275)))</f>
        <v/>
      </c>
      <c r="I275" s="6" t="str">
        <f aca="false">IF($K275="","",IF(INDEX('Prospect Tracker'!$T$5:$T$554,$K275)="","",INDEX('Prospect Tracker'!$T$5:$T$554,$K275)))</f>
        <v/>
      </c>
      <c r="J275" s="6" t="str">
        <f aca="false">IF($K275="","",IF(INDEX('Prospect Tracker'!$L$5:$L$554,$K275)="","",INDEX('Prospect Tracker'!$L$5:$L$554,$K275)))</f>
        <v/>
      </c>
      <c r="K275" s="1" t="n">
        <f aca="false">IFERROR(MATCH(SMALL('Prospect Tracker'!$X$5:$X$554,ROW()-4),'Prospect Tracker'!$X$5:$X$554,0),"")</f>
        <v>271</v>
      </c>
    </row>
    <row r="276" customFormat="false" ht="15" hidden="false" customHeight="true" outlineLevel="0" collapsed="false">
      <c r="A276" s="11" t="str">
        <f aca="false">IF($K276="","",IF(INDEX('Prospect Tracker'!$W$5:$W$554,$K276)="","",INDEX('Prospect Tracker'!$W$5:$W$554,$K276)))</f>
        <v/>
      </c>
      <c r="B276" s="11" t="str">
        <f aca="false">IF($K276="","",IF(INDEX('Prospect Tracker'!$A$5:$A$554,$K276)="","",INDEX('Prospect Tracker'!$A$5:$A$554,$K276)))</f>
        <v/>
      </c>
      <c r="C276" s="11" t="str">
        <f aca="false">IF($K276="","",IF(INDEX('Prospect Tracker'!$B$5:$B$554,$K276)="","",INDEX('Prospect Tracker'!$B$5:$B$554,$K276)))</f>
        <v/>
      </c>
      <c r="D276" s="11" t="str">
        <f aca="false">IF($K276="","",IF(INDEX('Prospect Tracker'!$M$5:$M$554,$K276)="","",INDEX('Prospect Tracker'!$M$5:$M$554,$K276)))</f>
        <v/>
      </c>
      <c r="E276" s="11" t="str">
        <f aca="false">IF($K276="","",IF(INDEX('Prospect Tracker'!$R$5:$R$554,$K276)="","",INDEX('Prospect Tracker'!$R$5:$R$554,$K276)))</f>
        <v/>
      </c>
      <c r="F276" s="11" t="str">
        <f aca="false">IF($K276="","",IF(INDEX('Prospect Tracker'!$J$5:$J$554,$K276)="","",INDEX('Prospect Tracker'!$J$5:$J$554,$K276)))</f>
        <v/>
      </c>
      <c r="G276" s="11" t="str">
        <f aca="false">IF($K276="","",IF(INDEX('Prospect Tracker'!$H$5:$H$554,$K276)="","",INDEX('Prospect Tracker'!$H$5:$H$554,$K276)))</f>
        <v/>
      </c>
      <c r="H276" s="12" t="str">
        <f aca="false">IF($K276="","",IF(INDEX('Prospect Tracker'!$K$5:$K$554,$K276)="","",INDEX('Prospect Tracker'!$K$5:$K$554,$K276)))</f>
        <v/>
      </c>
      <c r="I276" s="11" t="str">
        <f aca="false">IF($K276="","",IF(INDEX('Prospect Tracker'!$T$5:$T$554,$K276)="","",INDEX('Prospect Tracker'!$T$5:$T$554,$K276)))</f>
        <v/>
      </c>
      <c r="J276" s="11" t="str">
        <f aca="false">IF($K276="","",IF(INDEX('Prospect Tracker'!$L$5:$L$554,$K276)="","",INDEX('Prospect Tracker'!$L$5:$L$554,$K276)))</f>
        <v/>
      </c>
      <c r="K276" s="1" t="n">
        <f aca="false">IFERROR(MATCH(SMALL('Prospect Tracker'!$X$5:$X$554,ROW()-4),'Prospect Tracker'!$X$5:$X$554,0),"")</f>
        <v>272</v>
      </c>
    </row>
    <row r="277" customFormat="false" ht="15" hidden="false" customHeight="true" outlineLevel="0" collapsed="false">
      <c r="A277" s="6" t="str">
        <f aca="false">IF($K277="","",IF(INDEX('Prospect Tracker'!$W$5:$W$554,$K277)="","",INDEX('Prospect Tracker'!$W$5:$W$554,$K277)))</f>
        <v/>
      </c>
      <c r="B277" s="6" t="str">
        <f aca="false">IF($K277="","",IF(INDEX('Prospect Tracker'!$A$5:$A$554,$K277)="","",INDEX('Prospect Tracker'!$A$5:$A$554,$K277)))</f>
        <v/>
      </c>
      <c r="C277" s="6" t="str">
        <f aca="false">IF($K277="","",IF(INDEX('Prospect Tracker'!$B$5:$B$554,$K277)="","",INDEX('Prospect Tracker'!$B$5:$B$554,$K277)))</f>
        <v/>
      </c>
      <c r="D277" s="6" t="str">
        <f aca="false">IF($K277="","",IF(INDEX('Prospect Tracker'!$M$5:$M$554,$K277)="","",INDEX('Prospect Tracker'!$M$5:$M$554,$K277)))</f>
        <v/>
      </c>
      <c r="E277" s="6" t="str">
        <f aca="false">IF($K277="","",IF(INDEX('Prospect Tracker'!$R$5:$R$554,$K277)="","",INDEX('Prospect Tracker'!$R$5:$R$554,$K277)))</f>
        <v/>
      </c>
      <c r="F277" s="6" t="str">
        <f aca="false">IF($K277="","",IF(INDEX('Prospect Tracker'!$J$5:$J$554,$K277)="","",INDEX('Prospect Tracker'!$J$5:$J$554,$K277)))</f>
        <v/>
      </c>
      <c r="G277" s="6" t="str">
        <f aca="false">IF($K277="","",IF(INDEX('Prospect Tracker'!$H$5:$H$554,$K277)="","",INDEX('Prospect Tracker'!$H$5:$H$554,$K277)))</f>
        <v/>
      </c>
      <c r="H277" s="7" t="str">
        <f aca="false">IF($K277="","",IF(INDEX('Prospect Tracker'!$K$5:$K$554,$K277)="","",INDEX('Prospect Tracker'!$K$5:$K$554,$K277)))</f>
        <v/>
      </c>
      <c r="I277" s="6" t="str">
        <f aca="false">IF($K277="","",IF(INDEX('Prospect Tracker'!$T$5:$T$554,$K277)="","",INDEX('Prospect Tracker'!$T$5:$T$554,$K277)))</f>
        <v/>
      </c>
      <c r="J277" s="6" t="str">
        <f aca="false">IF($K277="","",IF(INDEX('Prospect Tracker'!$L$5:$L$554,$K277)="","",INDEX('Prospect Tracker'!$L$5:$L$554,$K277)))</f>
        <v/>
      </c>
      <c r="K277" s="1" t="n">
        <f aca="false">IFERROR(MATCH(SMALL('Prospect Tracker'!$X$5:$X$554,ROW()-4),'Prospect Tracker'!$X$5:$X$554,0),"")</f>
        <v>273</v>
      </c>
    </row>
    <row r="278" customFormat="false" ht="15" hidden="false" customHeight="true" outlineLevel="0" collapsed="false">
      <c r="A278" s="11" t="str">
        <f aca="false">IF($K278="","",IF(INDEX('Prospect Tracker'!$W$5:$W$554,$K278)="","",INDEX('Prospect Tracker'!$W$5:$W$554,$K278)))</f>
        <v/>
      </c>
      <c r="B278" s="11" t="str">
        <f aca="false">IF($K278="","",IF(INDEX('Prospect Tracker'!$A$5:$A$554,$K278)="","",INDEX('Prospect Tracker'!$A$5:$A$554,$K278)))</f>
        <v/>
      </c>
      <c r="C278" s="11" t="str">
        <f aca="false">IF($K278="","",IF(INDEX('Prospect Tracker'!$B$5:$B$554,$K278)="","",INDEX('Prospect Tracker'!$B$5:$B$554,$K278)))</f>
        <v/>
      </c>
      <c r="D278" s="11" t="str">
        <f aca="false">IF($K278="","",IF(INDEX('Prospect Tracker'!$M$5:$M$554,$K278)="","",INDEX('Prospect Tracker'!$M$5:$M$554,$K278)))</f>
        <v/>
      </c>
      <c r="E278" s="11" t="str">
        <f aca="false">IF($K278="","",IF(INDEX('Prospect Tracker'!$R$5:$R$554,$K278)="","",INDEX('Prospect Tracker'!$R$5:$R$554,$K278)))</f>
        <v/>
      </c>
      <c r="F278" s="11" t="str">
        <f aca="false">IF($K278="","",IF(INDEX('Prospect Tracker'!$J$5:$J$554,$K278)="","",INDEX('Prospect Tracker'!$J$5:$J$554,$K278)))</f>
        <v/>
      </c>
      <c r="G278" s="11" t="str">
        <f aca="false">IF($K278="","",IF(INDEX('Prospect Tracker'!$H$5:$H$554,$K278)="","",INDEX('Prospect Tracker'!$H$5:$H$554,$K278)))</f>
        <v/>
      </c>
      <c r="H278" s="12" t="str">
        <f aca="false">IF($K278="","",IF(INDEX('Prospect Tracker'!$K$5:$K$554,$K278)="","",INDEX('Prospect Tracker'!$K$5:$K$554,$K278)))</f>
        <v/>
      </c>
      <c r="I278" s="11" t="str">
        <f aca="false">IF($K278="","",IF(INDEX('Prospect Tracker'!$T$5:$T$554,$K278)="","",INDEX('Prospect Tracker'!$T$5:$T$554,$K278)))</f>
        <v/>
      </c>
      <c r="J278" s="11" t="str">
        <f aca="false">IF($K278="","",IF(INDEX('Prospect Tracker'!$L$5:$L$554,$K278)="","",INDEX('Prospect Tracker'!$L$5:$L$554,$K278)))</f>
        <v/>
      </c>
      <c r="K278" s="1" t="n">
        <f aca="false">IFERROR(MATCH(SMALL('Prospect Tracker'!$X$5:$X$554,ROW()-4),'Prospect Tracker'!$X$5:$X$554,0),"")</f>
        <v>274</v>
      </c>
    </row>
    <row r="279" customFormat="false" ht="15" hidden="false" customHeight="true" outlineLevel="0" collapsed="false">
      <c r="A279" s="6" t="str">
        <f aca="false">IF($K279="","",IF(INDEX('Prospect Tracker'!$W$5:$W$554,$K279)="","",INDEX('Prospect Tracker'!$W$5:$W$554,$K279)))</f>
        <v/>
      </c>
      <c r="B279" s="6" t="str">
        <f aca="false">IF($K279="","",IF(INDEX('Prospect Tracker'!$A$5:$A$554,$K279)="","",INDEX('Prospect Tracker'!$A$5:$A$554,$K279)))</f>
        <v/>
      </c>
      <c r="C279" s="6" t="str">
        <f aca="false">IF($K279="","",IF(INDEX('Prospect Tracker'!$B$5:$B$554,$K279)="","",INDEX('Prospect Tracker'!$B$5:$B$554,$K279)))</f>
        <v/>
      </c>
      <c r="D279" s="6" t="str">
        <f aca="false">IF($K279="","",IF(INDEX('Prospect Tracker'!$M$5:$M$554,$K279)="","",INDEX('Prospect Tracker'!$M$5:$M$554,$K279)))</f>
        <v/>
      </c>
      <c r="E279" s="6" t="str">
        <f aca="false">IF($K279="","",IF(INDEX('Prospect Tracker'!$R$5:$R$554,$K279)="","",INDEX('Prospect Tracker'!$R$5:$R$554,$K279)))</f>
        <v/>
      </c>
      <c r="F279" s="6" t="str">
        <f aca="false">IF($K279="","",IF(INDEX('Prospect Tracker'!$J$5:$J$554,$K279)="","",INDEX('Prospect Tracker'!$J$5:$J$554,$K279)))</f>
        <v/>
      </c>
      <c r="G279" s="6" t="str">
        <f aca="false">IF($K279="","",IF(INDEX('Prospect Tracker'!$H$5:$H$554,$K279)="","",INDEX('Prospect Tracker'!$H$5:$H$554,$K279)))</f>
        <v/>
      </c>
      <c r="H279" s="7" t="str">
        <f aca="false">IF($K279="","",IF(INDEX('Prospect Tracker'!$K$5:$K$554,$K279)="","",INDEX('Prospect Tracker'!$K$5:$K$554,$K279)))</f>
        <v/>
      </c>
      <c r="I279" s="6" t="str">
        <f aca="false">IF($K279="","",IF(INDEX('Prospect Tracker'!$T$5:$T$554,$K279)="","",INDEX('Prospect Tracker'!$T$5:$T$554,$K279)))</f>
        <v/>
      </c>
      <c r="J279" s="6" t="str">
        <f aca="false">IF($K279="","",IF(INDEX('Prospect Tracker'!$L$5:$L$554,$K279)="","",INDEX('Prospect Tracker'!$L$5:$L$554,$K279)))</f>
        <v/>
      </c>
      <c r="K279" s="1" t="n">
        <f aca="false">IFERROR(MATCH(SMALL('Prospect Tracker'!$X$5:$X$554,ROW()-4),'Prospect Tracker'!$X$5:$X$554,0),"")</f>
        <v>275</v>
      </c>
    </row>
    <row r="280" customFormat="false" ht="15" hidden="false" customHeight="true" outlineLevel="0" collapsed="false">
      <c r="A280" s="11" t="str">
        <f aca="false">IF($K280="","",IF(INDEX('Prospect Tracker'!$W$5:$W$554,$K280)="","",INDEX('Prospect Tracker'!$W$5:$W$554,$K280)))</f>
        <v/>
      </c>
      <c r="B280" s="11" t="str">
        <f aca="false">IF($K280="","",IF(INDEX('Prospect Tracker'!$A$5:$A$554,$K280)="","",INDEX('Prospect Tracker'!$A$5:$A$554,$K280)))</f>
        <v/>
      </c>
      <c r="C280" s="11" t="str">
        <f aca="false">IF($K280="","",IF(INDEX('Prospect Tracker'!$B$5:$B$554,$K280)="","",INDEX('Prospect Tracker'!$B$5:$B$554,$K280)))</f>
        <v/>
      </c>
      <c r="D280" s="11" t="str">
        <f aca="false">IF($K280="","",IF(INDEX('Prospect Tracker'!$M$5:$M$554,$K280)="","",INDEX('Prospect Tracker'!$M$5:$M$554,$K280)))</f>
        <v/>
      </c>
      <c r="E280" s="11" t="str">
        <f aca="false">IF($K280="","",IF(INDEX('Prospect Tracker'!$R$5:$R$554,$K280)="","",INDEX('Prospect Tracker'!$R$5:$R$554,$K280)))</f>
        <v/>
      </c>
      <c r="F280" s="11" t="str">
        <f aca="false">IF($K280="","",IF(INDEX('Prospect Tracker'!$J$5:$J$554,$K280)="","",INDEX('Prospect Tracker'!$J$5:$J$554,$K280)))</f>
        <v/>
      </c>
      <c r="G280" s="11" t="str">
        <f aca="false">IF($K280="","",IF(INDEX('Prospect Tracker'!$H$5:$H$554,$K280)="","",INDEX('Prospect Tracker'!$H$5:$H$554,$K280)))</f>
        <v/>
      </c>
      <c r="H280" s="12" t="str">
        <f aca="false">IF($K280="","",IF(INDEX('Prospect Tracker'!$K$5:$K$554,$K280)="","",INDEX('Prospect Tracker'!$K$5:$K$554,$K280)))</f>
        <v/>
      </c>
      <c r="I280" s="11" t="str">
        <f aca="false">IF($K280="","",IF(INDEX('Prospect Tracker'!$T$5:$T$554,$K280)="","",INDEX('Prospect Tracker'!$T$5:$T$554,$K280)))</f>
        <v/>
      </c>
      <c r="J280" s="11" t="str">
        <f aca="false">IF($K280="","",IF(INDEX('Prospect Tracker'!$L$5:$L$554,$K280)="","",INDEX('Prospect Tracker'!$L$5:$L$554,$K280)))</f>
        <v/>
      </c>
      <c r="K280" s="1" t="n">
        <f aca="false">IFERROR(MATCH(SMALL('Prospect Tracker'!$X$5:$X$554,ROW()-4),'Prospect Tracker'!$X$5:$X$554,0),"")</f>
        <v>276</v>
      </c>
    </row>
    <row r="281" customFormat="false" ht="15" hidden="false" customHeight="true" outlineLevel="0" collapsed="false">
      <c r="A281" s="6" t="str">
        <f aca="false">IF($K281="","",IF(INDEX('Prospect Tracker'!$W$5:$W$554,$K281)="","",INDEX('Prospect Tracker'!$W$5:$W$554,$K281)))</f>
        <v/>
      </c>
      <c r="B281" s="6" t="str">
        <f aca="false">IF($K281="","",IF(INDEX('Prospect Tracker'!$A$5:$A$554,$K281)="","",INDEX('Prospect Tracker'!$A$5:$A$554,$K281)))</f>
        <v/>
      </c>
      <c r="C281" s="6" t="str">
        <f aca="false">IF($K281="","",IF(INDEX('Prospect Tracker'!$B$5:$B$554,$K281)="","",INDEX('Prospect Tracker'!$B$5:$B$554,$K281)))</f>
        <v/>
      </c>
      <c r="D281" s="6" t="str">
        <f aca="false">IF($K281="","",IF(INDEX('Prospect Tracker'!$M$5:$M$554,$K281)="","",INDEX('Prospect Tracker'!$M$5:$M$554,$K281)))</f>
        <v/>
      </c>
      <c r="E281" s="6" t="str">
        <f aca="false">IF($K281="","",IF(INDEX('Prospect Tracker'!$R$5:$R$554,$K281)="","",INDEX('Prospect Tracker'!$R$5:$R$554,$K281)))</f>
        <v/>
      </c>
      <c r="F281" s="6" t="str">
        <f aca="false">IF($K281="","",IF(INDEX('Prospect Tracker'!$J$5:$J$554,$K281)="","",INDEX('Prospect Tracker'!$J$5:$J$554,$K281)))</f>
        <v/>
      </c>
      <c r="G281" s="6" t="str">
        <f aca="false">IF($K281="","",IF(INDEX('Prospect Tracker'!$H$5:$H$554,$K281)="","",INDEX('Prospect Tracker'!$H$5:$H$554,$K281)))</f>
        <v/>
      </c>
      <c r="H281" s="7" t="str">
        <f aca="false">IF($K281="","",IF(INDEX('Prospect Tracker'!$K$5:$K$554,$K281)="","",INDEX('Prospect Tracker'!$K$5:$K$554,$K281)))</f>
        <v/>
      </c>
      <c r="I281" s="6" t="str">
        <f aca="false">IF($K281="","",IF(INDEX('Prospect Tracker'!$T$5:$T$554,$K281)="","",INDEX('Prospect Tracker'!$T$5:$T$554,$K281)))</f>
        <v/>
      </c>
      <c r="J281" s="6" t="str">
        <f aca="false">IF($K281="","",IF(INDEX('Prospect Tracker'!$L$5:$L$554,$K281)="","",INDEX('Prospect Tracker'!$L$5:$L$554,$K281)))</f>
        <v/>
      </c>
      <c r="K281" s="1" t="n">
        <f aca="false">IFERROR(MATCH(SMALL('Prospect Tracker'!$X$5:$X$554,ROW()-4),'Prospect Tracker'!$X$5:$X$554,0),"")</f>
        <v>277</v>
      </c>
    </row>
    <row r="282" customFormat="false" ht="15" hidden="false" customHeight="true" outlineLevel="0" collapsed="false">
      <c r="A282" s="11" t="str">
        <f aca="false">IF($K282="","",IF(INDEX('Prospect Tracker'!$W$5:$W$554,$K282)="","",INDEX('Prospect Tracker'!$W$5:$W$554,$K282)))</f>
        <v/>
      </c>
      <c r="B282" s="11" t="str">
        <f aca="false">IF($K282="","",IF(INDEX('Prospect Tracker'!$A$5:$A$554,$K282)="","",INDEX('Prospect Tracker'!$A$5:$A$554,$K282)))</f>
        <v/>
      </c>
      <c r="C282" s="11" t="str">
        <f aca="false">IF($K282="","",IF(INDEX('Prospect Tracker'!$B$5:$B$554,$K282)="","",INDEX('Prospect Tracker'!$B$5:$B$554,$K282)))</f>
        <v/>
      </c>
      <c r="D282" s="11" t="str">
        <f aca="false">IF($K282="","",IF(INDEX('Prospect Tracker'!$M$5:$M$554,$K282)="","",INDEX('Prospect Tracker'!$M$5:$M$554,$K282)))</f>
        <v/>
      </c>
      <c r="E282" s="11" t="str">
        <f aca="false">IF($K282="","",IF(INDEX('Prospect Tracker'!$R$5:$R$554,$K282)="","",INDEX('Prospect Tracker'!$R$5:$R$554,$K282)))</f>
        <v/>
      </c>
      <c r="F282" s="11" t="str">
        <f aca="false">IF($K282="","",IF(INDEX('Prospect Tracker'!$J$5:$J$554,$K282)="","",INDEX('Prospect Tracker'!$J$5:$J$554,$K282)))</f>
        <v/>
      </c>
      <c r="G282" s="11" t="str">
        <f aca="false">IF($K282="","",IF(INDEX('Prospect Tracker'!$H$5:$H$554,$K282)="","",INDEX('Prospect Tracker'!$H$5:$H$554,$K282)))</f>
        <v/>
      </c>
      <c r="H282" s="12" t="str">
        <f aca="false">IF($K282="","",IF(INDEX('Prospect Tracker'!$K$5:$K$554,$K282)="","",INDEX('Prospect Tracker'!$K$5:$K$554,$K282)))</f>
        <v/>
      </c>
      <c r="I282" s="11" t="str">
        <f aca="false">IF($K282="","",IF(INDEX('Prospect Tracker'!$T$5:$T$554,$K282)="","",INDEX('Prospect Tracker'!$T$5:$T$554,$K282)))</f>
        <v/>
      </c>
      <c r="J282" s="11" t="str">
        <f aca="false">IF($K282="","",IF(INDEX('Prospect Tracker'!$L$5:$L$554,$K282)="","",INDEX('Prospect Tracker'!$L$5:$L$554,$K282)))</f>
        <v/>
      </c>
      <c r="K282" s="1" t="n">
        <f aca="false">IFERROR(MATCH(SMALL('Prospect Tracker'!$X$5:$X$554,ROW()-4),'Prospect Tracker'!$X$5:$X$554,0),"")</f>
        <v>278</v>
      </c>
    </row>
    <row r="283" customFormat="false" ht="15" hidden="false" customHeight="true" outlineLevel="0" collapsed="false">
      <c r="A283" s="6" t="str">
        <f aca="false">IF($K283="","",IF(INDEX('Prospect Tracker'!$W$5:$W$554,$K283)="","",INDEX('Prospect Tracker'!$W$5:$W$554,$K283)))</f>
        <v/>
      </c>
      <c r="B283" s="6" t="str">
        <f aca="false">IF($K283="","",IF(INDEX('Prospect Tracker'!$A$5:$A$554,$K283)="","",INDEX('Prospect Tracker'!$A$5:$A$554,$K283)))</f>
        <v/>
      </c>
      <c r="C283" s="6" t="str">
        <f aca="false">IF($K283="","",IF(INDEX('Prospect Tracker'!$B$5:$B$554,$K283)="","",INDEX('Prospect Tracker'!$B$5:$B$554,$K283)))</f>
        <v/>
      </c>
      <c r="D283" s="6" t="str">
        <f aca="false">IF($K283="","",IF(INDEX('Prospect Tracker'!$M$5:$M$554,$K283)="","",INDEX('Prospect Tracker'!$M$5:$M$554,$K283)))</f>
        <v/>
      </c>
      <c r="E283" s="6" t="str">
        <f aca="false">IF($K283="","",IF(INDEX('Prospect Tracker'!$R$5:$R$554,$K283)="","",INDEX('Prospect Tracker'!$R$5:$R$554,$K283)))</f>
        <v/>
      </c>
      <c r="F283" s="6" t="str">
        <f aca="false">IF($K283="","",IF(INDEX('Prospect Tracker'!$J$5:$J$554,$K283)="","",INDEX('Prospect Tracker'!$J$5:$J$554,$K283)))</f>
        <v/>
      </c>
      <c r="G283" s="6" t="str">
        <f aca="false">IF($K283="","",IF(INDEX('Prospect Tracker'!$H$5:$H$554,$K283)="","",INDEX('Prospect Tracker'!$H$5:$H$554,$K283)))</f>
        <v/>
      </c>
      <c r="H283" s="7" t="str">
        <f aca="false">IF($K283="","",IF(INDEX('Prospect Tracker'!$K$5:$K$554,$K283)="","",INDEX('Prospect Tracker'!$K$5:$K$554,$K283)))</f>
        <v/>
      </c>
      <c r="I283" s="6" t="str">
        <f aca="false">IF($K283="","",IF(INDEX('Prospect Tracker'!$T$5:$T$554,$K283)="","",INDEX('Prospect Tracker'!$T$5:$T$554,$K283)))</f>
        <v/>
      </c>
      <c r="J283" s="6" t="str">
        <f aca="false">IF($K283="","",IF(INDEX('Prospect Tracker'!$L$5:$L$554,$K283)="","",INDEX('Prospect Tracker'!$L$5:$L$554,$K283)))</f>
        <v/>
      </c>
      <c r="K283" s="1" t="n">
        <f aca="false">IFERROR(MATCH(SMALL('Prospect Tracker'!$X$5:$X$554,ROW()-4),'Prospect Tracker'!$X$5:$X$554,0),"")</f>
        <v>279</v>
      </c>
    </row>
    <row r="284" customFormat="false" ht="15" hidden="false" customHeight="true" outlineLevel="0" collapsed="false">
      <c r="A284" s="11" t="str">
        <f aca="false">IF($K284="","",IF(INDEX('Prospect Tracker'!$W$5:$W$554,$K284)="","",INDEX('Prospect Tracker'!$W$5:$W$554,$K284)))</f>
        <v/>
      </c>
      <c r="B284" s="11" t="str">
        <f aca="false">IF($K284="","",IF(INDEX('Prospect Tracker'!$A$5:$A$554,$K284)="","",INDEX('Prospect Tracker'!$A$5:$A$554,$K284)))</f>
        <v/>
      </c>
      <c r="C284" s="11" t="str">
        <f aca="false">IF($K284="","",IF(INDEX('Prospect Tracker'!$B$5:$B$554,$K284)="","",INDEX('Prospect Tracker'!$B$5:$B$554,$K284)))</f>
        <v/>
      </c>
      <c r="D284" s="11" t="str">
        <f aca="false">IF($K284="","",IF(INDEX('Prospect Tracker'!$M$5:$M$554,$K284)="","",INDEX('Prospect Tracker'!$M$5:$M$554,$K284)))</f>
        <v/>
      </c>
      <c r="E284" s="11" t="str">
        <f aca="false">IF($K284="","",IF(INDEX('Prospect Tracker'!$R$5:$R$554,$K284)="","",INDEX('Prospect Tracker'!$R$5:$R$554,$K284)))</f>
        <v/>
      </c>
      <c r="F284" s="11" t="str">
        <f aca="false">IF($K284="","",IF(INDEX('Prospect Tracker'!$J$5:$J$554,$K284)="","",INDEX('Prospect Tracker'!$J$5:$J$554,$K284)))</f>
        <v/>
      </c>
      <c r="G284" s="11" t="str">
        <f aca="false">IF($K284="","",IF(INDEX('Prospect Tracker'!$H$5:$H$554,$K284)="","",INDEX('Prospect Tracker'!$H$5:$H$554,$K284)))</f>
        <v/>
      </c>
      <c r="H284" s="12" t="str">
        <f aca="false">IF($K284="","",IF(INDEX('Prospect Tracker'!$K$5:$K$554,$K284)="","",INDEX('Prospect Tracker'!$K$5:$K$554,$K284)))</f>
        <v/>
      </c>
      <c r="I284" s="11" t="str">
        <f aca="false">IF($K284="","",IF(INDEX('Prospect Tracker'!$T$5:$T$554,$K284)="","",INDEX('Prospect Tracker'!$T$5:$T$554,$K284)))</f>
        <v/>
      </c>
      <c r="J284" s="11" t="str">
        <f aca="false">IF($K284="","",IF(INDEX('Prospect Tracker'!$L$5:$L$554,$K284)="","",INDEX('Prospect Tracker'!$L$5:$L$554,$K284)))</f>
        <v/>
      </c>
      <c r="K284" s="1" t="n">
        <f aca="false">IFERROR(MATCH(SMALL('Prospect Tracker'!$X$5:$X$554,ROW()-4),'Prospect Tracker'!$X$5:$X$554,0),"")</f>
        <v>280</v>
      </c>
    </row>
    <row r="285" customFormat="false" ht="15" hidden="false" customHeight="true" outlineLevel="0" collapsed="false">
      <c r="A285" s="6" t="str">
        <f aca="false">IF($K285="","",IF(INDEX('Prospect Tracker'!$W$5:$W$554,$K285)="","",INDEX('Prospect Tracker'!$W$5:$W$554,$K285)))</f>
        <v/>
      </c>
      <c r="B285" s="6" t="str">
        <f aca="false">IF($K285="","",IF(INDEX('Prospect Tracker'!$A$5:$A$554,$K285)="","",INDEX('Prospect Tracker'!$A$5:$A$554,$K285)))</f>
        <v/>
      </c>
      <c r="C285" s="6" t="str">
        <f aca="false">IF($K285="","",IF(INDEX('Prospect Tracker'!$B$5:$B$554,$K285)="","",INDEX('Prospect Tracker'!$B$5:$B$554,$K285)))</f>
        <v/>
      </c>
      <c r="D285" s="6" t="str">
        <f aca="false">IF($K285="","",IF(INDEX('Prospect Tracker'!$M$5:$M$554,$K285)="","",INDEX('Prospect Tracker'!$M$5:$M$554,$K285)))</f>
        <v/>
      </c>
      <c r="E285" s="6" t="str">
        <f aca="false">IF($K285="","",IF(INDEX('Prospect Tracker'!$R$5:$R$554,$K285)="","",INDEX('Prospect Tracker'!$R$5:$R$554,$K285)))</f>
        <v/>
      </c>
      <c r="F285" s="6" t="str">
        <f aca="false">IF($K285="","",IF(INDEX('Prospect Tracker'!$J$5:$J$554,$K285)="","",INDEX('Prospect Tracker'!$J$5:$J$554,$K285)))</f>
        <v/>
      </c>
      <c r="G285" s="6" t="str">
        <f aca="false">IF($K285="","",IF(INDEX('Prospect Tracker'!$H$5:$H$554,$K285)="","",INDEX('Prospect Tracker'!$H$5:$H$554,$K285)))</f>
        <v/>
      </c>
      <c r="H285" s="7" t="str">
        <f aca="false">IF($K285="","",IF(INDEX('Prospect Tracker'!$K$5:$K$554,$K285)="","",INDEX('Prospect Tracker'!$K$5:$K$554,$K285)))</f>
        <v/>
      </c>
      <c r="I285" s="6" t="str">
        <f aca="false">IF($K285="","",IF(INDEX('Prospect Tracker'!$T$5:$T$554,$K285)="","",INDEX('Prospect Tracker'!$T$5:$T$554,$K285)))</f>
        <v/>
      </c>
      <c r="J285" s="6" t="str">
        <f aca="false">IF($K285="","",IF(INDEX('Prospect Tracker'!$L$5:$L$554,$K285)="","",INDEX('Prospect Tracker'!$L$5:$L$554,$K285)))</f>
        <v/>
      </c>
      <c r="K285" s="1" t="n">
        <f aca="false">IFERROR(MATCH(SMALL('Prospect Tracker'!$X$5:$X$554,ROW()-4),'Prospect Tracker'!$X$5:$X$554,0),"")</f>
        <v>281</v>
      </c>
    </row>
    <row r="286" customFormat="false" ht="15" hidden="false" customHeight="true" outlineLevel="0" collapsed="false">
      <c r="A286" s="11" t="str">
        <f aca="false">IF($K286="","",IF(INDEX('Prospect Tracker'!$W$5:$W$554,$K286)="","",INDEX('Prospect Tracker'!$W$5:$W$554,$K286)))</f>
        <v/>
      </c>
      <c r="B286" s="11" t="str">
        <f aca="false">IF($K286="","",IF(INDEX('Prospect Tracker'!$A$5:$A$554,$K286)="","",INDEX('Prospect Tracker'!$A$5:$A$554,$K286)))</f>
        <v/>
      </c>
      <c r="C286" s="11" t="str">
        <f aca="false">IF($K286="","",IF(INDEX('Prospect Tracker'!$B$5:$B$554,$K286)="","",INDEX('Prospect Tracker'!$B$5:$B$554,$K286)))</f>
        <v/>
      </c>
      <c r="D286" s="11" t="str">
        <f aca="false">IF($K286="","",IF(INDEX('Prospect Tracker'!$M$5:$M$554,$K286)="","",INDEX('Prospect Tracker'!$M$5:$M$554,$K286)))</f>
        <v/>
      </c>
      <c r="E286" s="11" t="str">
        <f aca="false">IF($K286="","",IF(INDEX('Prospect Tracker'!$R$5:$R$554,$K286)="","",INDEX('Prospect Tracker'!$R$5:$R$554,$K286)))</f>
        <v/>
      </c>
      <c r="F286" s="11" t="str">
        <f aca="false">IF($K286="","",IF(INDEX('Prospect Tracker'!$J$5:$J$554,$K286)="","",INDEX('Prospect Tracker'!$J$5:$J$554,$K286)))</f>
        <v/>
      </c>
      <c r="G286" s="11" t="str">
        <f aca="false">IF($K286="","",IF(INDEX('Prospect Tracker'!$H$5:$H$554,$K286)="","",INDEX('Prospect Tracker'!$H$5:$H$554,$K286)))</f>
        <v/>
      </c>
      <c r="H286" s="12" t="str">
        <f aca="false">IF($K286="","",IF(INDEX('Prospect Tracker'!$K$5:$K$554,$K286)="","",INDEX('Prospect Tracker'!$K$5:$K$554,$K286)))</f>
        <v/>
      </c>
      <c r="I286" s="11" t="str">
        <f aca="false">IF($K286="","",IF(INDEX('Prospect Tracker'!$T$5:$T$554,$K286)="","",INDEX('Prospect Tracker'!$T$5:$T$554,$K286)))</f>
        <v/>
      </c>
      <c r="J286" s="11" t="str">
        <f aca="false">IF($K286="","",IF(INDEX('Prospect Tracker'!$L$5:$L$554,$K286)="","",INDEX('Prospect Tracker'!$L$5:$L$554,$K286)))</f>
        <v/>
      </c>
      <c r="K286" s="1" t="n">
        <f aca="false">IFERROR(MATCH(SMALL('Prospect Tracker'!$X$5:$X$554,ROW()-4),'Prospect Tracker'!$X$5:$X$554,0),"")</f>
        <v>282</v>
      </c>
    </row>
    <row r="287" customFormat="false" ht="15" hidden="false" customHeight="true" outlineLevel="0" collapsed="false">
      <c r="A287" s="6" t="str">
        <f aca="false">IF($K287="","",IF(INDEX('Prospect Tracker'!$W$5:$W$554,$K287)="","",INDEX('Prospect Tracker'!$W$5:$W$554,$K287)))</f>
        <v/>
      </c>
      <c r="B287" s="6" t="str">
        <f aca="false">IF($K287="","",IF(INDEX('Prospect Tracker'!$A$5:$A$554,$K287)="","",INDEX('Prospect Tracker'!$A$5:$A$554,$K287)))</f>
        <v/>
      </c>
      <c r="C287" s="6" t="str">
        <f aca="false">IF($K287="","",IF(INDEX('Prospect Tracker'!$B$5:$B$554,$K287)="","",INDEX('Prospect Tracker'!$B$5:$B$554,$K287)))</f>
        <v/>
      </c>
      <c r="D287" s="6" t="str">
        <f aca="false">IF($K287="","",IF(INDEX('Prospect Tracker'!$M$5:$M$554,$K287)="","",INDEX('Prospect Tracker'!$M$5:$M$554,$K287)))</f>
        <v/>
      </c>
      <c r="E287" s="6" t="str">
        <f aca="false">IF($K287="","",IF(INDEX('Prospect Tracker'!$R$5:$R$554,$K287)="","",INDEX('Prospect Tracker'!$R$5:$R$554,$K287)))</f>
        <v/>
      </c>
      <c r="F287" s="6" t="str">
        <f aca="false">IF($K287="","",IF(INDEX('Prospect Tracker'!$J$5:$J$554,$K287)="","",INDEX('Prospect Tracker'!$J$5:$J$554,$K287)))</f>
        <v/>
      </c>
      <c r="G287" s="6" t="str">
        <f aca="false">IF($K287="","",IF(INDEX('Prospect Tracker'!$H$5:$H$554,$K287)="","",INDEX('Prospect Tracker'!$H$5:$H$554,$K287)))</f>
        <v/>
      </c>
      <c r="H287" s="7" t="str">
        <f aca="false">IF($K287="","",IF(INDEX('Prospect Tracker'!$K$5:$K$554,$K287)="","",INDEX('Prospect Tracker'!$K$5:$K$554,$K287)))</f>
        <v/>
      </c>
      <c r="I287" s="6" t="str">
        <f aca="false">IF($K287="","",IF(INDEX('Prospect Tracker'!$T$5:$T$554,$K287)="","",INDEX('Prospect Tracker'!$T$5:$T$554,$K287)))</f>
        <v/>
      </c>
      <c r="J287" s="6" t="str">
        <f aca="false">IF($K287="","",IF(INDEX('Prospect Tracker'!$L$5:$L$554,$K287)="","",INDEX('Prospect Tracker'!$L$5:$L$554,$K287)))</f>
        <v/>
      </c>
      <c r="K287" s="1" t="n">
        <f aca="false">IFERROR(MATCH(SMALL('Prospect Tracker'!$X$5:$X$554,ROW()-4),'Prospect Tracker'!$X$5:$X$554,0),"")</f>
        <v>283</v>
      </c>
    </row>
    <row r="288" customFormat="false" ht="15" hidden="false" customHeight="true" outlineLevel="0" collapsed="false">
      <c r="A288" s="11" t="str">
        <f aca="false">IF($K288="","",IF(INDEX('Prospect Tracker'!$W$5:$W$554,$K288)="","",INDEX('Prospect Tracker'!$W$5:$W$554,$K288)))</f>
        <v/>
      </c>
      <c r="B288" s="11" t="str">
        <f aca="false">IF($K288="","",IF(INDEX('Prospect Tracker'!$A$5:$A$554,$K288)="","",INDEX('Prospect Tracker'!$A$5:$A$554,$K288)))</f>
        <v/>
      </c>
      <c r="C288" s="11" t="str">
        <f aca="false">IF($K288="","",IF(INDEX('Prospect Tracker'!$B$5:$B$554,$K288)="","",INDEX('Prospect Tracker'!$B$5:$B$554,$K288)))</f>
        <v/>
      </c>
      <c r="D288" s="11" t="str">
        <f aca="false">IF($K288="","",IF(INDEX('Prospect Tracker'!$M$5:$M$554,$K288)="","",INDEX('Prospect Tracker'!$M$5:$M$554,$K288)))</f>
        <v/>
      </c>
      <c r="E288" s="11" t="str">
        <f aca="false">IF($K288="","",IF(INDEX('Prospect Tracker'!$R$5:$R$554,$K288)="","",INDEX('Prospect Tracker'!$R$5:$R$554,$K288)))</f>
        <v/>
      </c>
      <c r="F288" s="11" t="str">
        <f aca="false">IF($K288="","",IF(INDEX('Prospect Tracker'!$J$5:$J$554,$K288)="","",INDEX('Prospect Tracker'!$J$5:$J$554,$K288)))</f>
        <v/>
      </c>
      <c r="G288" s="11" t="str">
        <f aca="false">IF($K288="","",IF(INDEX('Prospect Tracker'!$H$5:$H$554,$K288)="","",INDEX('Prospect Tracker'!$H$5:$H$554,$K288)))</f>
        <v/>
      </c>
      <c r="H288" s="12" t="str">
        <f aca="false">IF($K288="","",IF(INDEX('Prospect Tracker'!$K$5:$K$554,$K288)="","",INDEX('Prospect Tracker'!$K$5:$K$554,$K288)))</f>
        <v/>
      </c>
      <c r="I288" s="11" t="str">
        <f aca="false">IF($K288="","",IF(INDEX('Prospect Tracker'!$T$5:$T$554,$K288)="","",INDEX('Prospect Tracker'!$T$5:$T$554,$K288)))</f>
        <v/>
      </c>
      <c r="J288" s="11" t="str">
        <f aca="false">IF($K288="","",IF(INDEX('Prospect Tracker'!$L$5:$L$554,$K288)="","",INDEX('Prospect Tracker'!$L$5:$L$554,$K288)))</f>
        <v/>
      </c>
      <c r="K288" s="1" t="n">
        <f aca="false">IFERROR(MATCH(SMALL('Prospect Tracker'!$X$5:$X$554,ROW()-4),'Prospect Tracker'!$X$5:$X$554,0),"")</f>
        <v>284</v>
      </c>
    </row>
    <row r="289" customFormat="false" ht="15" hidden="false" customHeight="true" outlineLevel="0" collapsed="false">
      <c r="A289" s="6" t="str">
        <f aca="false">IF($K289="","",IF(INDEX('Prospect Tracker'!$W$5:$W$554,$K289)="","",INDEX('Prospect Tracker'!$W$5:$W$554,$K289)))</f>
        <v/>
      </c>
      <c r="B289" s="6" t="str">
        <f aca="false">IF($K289="","",IF(INDEX('Prospect Tracker'!$A$5:$A$554,$K289)="","",INDEX('Prospect Tracker'!$A$5:$A$554,$K289)))</f>
        <v/>
      </c>
      <c r="C289" s="6" t="str">
        <f aca="false">IF($K289="","",IF(INDEX('Prospect Tracker'!$B$5:$B$554,$K289)="","",INDEX('Prospect Tracker'!$B$5:$B$554,$K289)))</f>
        <v/>
      </c>
      <c r="D289" s="6" t="str">
        <f aca="false">IF($K289="","",IF(INDEX('Prospect Tracker'!$M$5:$M$554,$K289)="","",INDEX('Prospect Tracker'!$M$5:$M$554,$K289)))</f>
        <v/>
      </c>
      <c r="E289" s="6" t="str">
        <f aca="false">IF($K289="","",IF(INDEX('Prospect Tracker'!$R$5:$R$554,$K289)="","",INDEX('Prospect Tracker'!$R$5:$R$554,$K289)))</f>
        <v/>
      </c>
      <c r="F289" s="6" t="str">
        <f aca="false">IF($K289="","",IF(INDEX('Prospect Tracker'!$J$5:$J$554,$K289)="","",INDEX('Prospect Tracker'!$J$5:$J$554,$K289)))</f>
        <v/>
      </c>
      <c r="G289" s="6" t="str">
        <f aca="false">IF($K289="","",IF(INDEX('Prospect Tracker'!$H$5:$H$554,$K289)="","",INDEX('Prospect Tracker'!$H$5:$H$554,$K289)))</f>
        <v/>
      </c>
      <c r="H289" s="7" t="str">
        <f aca="false">IF($K289="","",IF(INDEX('Prospect Tracker'!$K$5:$K$554,$K289)="","",INDEX('Prospect Tracker'!$K$5:$K$554,$K289)))</f>
        <v/>
      </c>
      <c r="I289" s="6" t="str">
        <f aca="false">IF($K289="","",IF(INDEX('Prospect Tracker'!$T$5:$T$554,$K289)="","",INDEX('Prospect Tracker'!$T$5:$T$554,$K289)))</f>
        <v/>
      </c>
      <c r="J289" s="6" t="str">
        <f aca="false">IF($K289="","",IF(INDEX('Prospect Tracker'!$L$5:$L$554,$K289)="","",INDEX('Prospect Tracker'!$L$5:$L$554,$K289)))</f>
        <v/>
      </c>
      <c r="K289" s="1" t="n">
        <f aca="false">IFERROR(MATCH(SMALL('Prospect Tracker'!$X$5:$X$554,ROW()-4),'Prospect Tracker'!$X$5:$X$554,0),"")</f>
        <v>285</v>
      </c>
    </row>
    <row r="290" customFormat="false" ht="15" hidden="false" customHeight="true" outlineLevel="0" collapsed="false">
      <c r="A290" s="11" t="str">
        <f aca="false">IF($K290="","",IF(INDEX('Prospect Tracker'!$W$5:$W$554,$K290)="","",INDEX('Prospect Tracker'!$W$5:$W$554,$K290)))</f>
        <v/>
      </c>
      <c r="B290" s="11" t="str">
        <f aca="false">IF($K290="","",IF(INDEX('Prospect Tracker'!$A$5:$A$554,$K290)="","",INDEX('Prospect Tracker'!$A$5:$A$554,$K290)))</f>
        <v/>
      </c>
      <c r="C290" s="11" t="str">
        <f aca="false">IF($K290="","",IF(INDEX('Prospect Tracker'!$B$5:$B$554,$K290)="","",INDEX('Prospect Tracker'!$B$5:$B$554,$K290)))</f>
        <v/>
      </c>
      <c r="D290" s="11" t="str">
        <f aca="false">IF($K290="","",IF(INDEX('Prospect Tracker'!$M$5:$M$554,$K290)="","",INDEX('Prospect Tracker'!$M$5:$M$554,$K290)))</f>
        <v/>
      </c>
      <c r="E290" s="11" t="str">
        <f aca="false">IF($K290="","",IF(INDEX('Prospect Tracker'!$R$5:$R$554,$K290)="","",INDEX('Prospect Tracker'!$R$5:$R$554,$K290)))</f>
        <v/>
      </c>
      <c r="F290" s="11" t="str">
        <f aca="false">IF($K290="","",IF(INDEX('Prospect Tracker'!$J$5:$J$554,$K290)="","",INDEX('Prospect Tracker'!$J$5:$J$554,$K290)))</f>
        <v/>
      </c>
      <c r="G290" s="11" t="str">
        <f aca="false">IF($K290="","",IF(INDEX('Prospect Tracker'!$H$5:$H$554,$K290)="","",INDEX('Prospect Tracker'!$H$5:$H$554,$K290)))</f>
        <v/>
      </c>
      <c r="H290" s="12" t="str">
        <f aca="false">IF($K290="","",IF(INDEX('Prospect Tracker'!$K$5:$K$554,$K290)="","",INDEX('Prospect Tracker'!$K$5:$K$554,$K290)))</f>
        <v/>
      </c>
      <c r="I290" s="11" t="str">
        <f aca="false">IF($K290="","",IF(INDEX('Prospect Tracker'!$T$5:$T$554,$K290)="","",INDEX('Prospect Tracker'!$T$5:$T$554,$K290)))</f>
        <v/>
      </c>
      <c r="J290" s="11" t="str">
        <f aca="false">IF($K290="","",IF(INDEX('Prospect Tracker'!$L$5:$L$554,$K290)="","",INDEX('Prospect Tracker'!$L$5:$L$554,$K290)))</f>
        <v/>
      </c>
      <c r="K290" s="1" t="n">
        <f aca="false">IFERROR(MATCH(SMALL('Prospect Tracker'!$X$5:$X$554,ROW()-4),'Prospect Tracker'!$X$5:$X$554,0),"")</f>
        <v>286</v>
      </c>
    </row>
    <row r="291" customFormat="false" ht="15" hidden="false" customHeight="true" outlineLevel="0" collapsed="false">
      <c r="A291" s="6" t="str">
        <f aca="false">IF($K291="","",IF(INDEX('Prospect Tracker'!$W$5:$W$554,$K291)="","",INDEX('Prospect Tracker'!$W$5:$W$554,$K291)))</f>
        <v/>
      </c>
      <c r="B291" s="6" t="str">
        <f aca="false">IF($K291="","",IF(INDEX('Prospect Tracker'!$A$5:$A$554,$K291)="","",INDEX('Prospect Tracker'!$A$5:$A$554,$K291)))</f>
        <v/>
      </c>
      <c r="C291" s="6" t="str">
        <f aca="false">IF($K291="","",IF(INDEX('Prospect Tracker'!$B$5:$B$554,$K291)="","",INDEX('Prospect Tracker'!$B$5:$B$554,$K291)))</f>
        <v/>
      </c>
      <c r="D291" s="6" t="str">
        <f aca="false">IF($K291="","",IF(INDEX('Prospect Tracker'!$M$5:$M$554,$K291)="","",INDEX('Prospect Tracker'!$M$5:$M$554,$K291)))</f>
        <v/>
      </c>
      <c r="E291" s="6" t="str">
        <f aca="false">IF($K291="","",IF(INDEX('Prospect Tracker'!$R$5:$R$554,$K291)="","",INDEX('Prospect Tracker'!$R$5:$R$554,$K291)))</f>
        <v/>
      </c>
      <c r="F291" s="6" t="str">
        <f aca="false">IF($K291="","",IF(INDEX('Prospect Tracker'!$J$5:$J$554,$K291)="","",INDEX('Prospect Tracker'!$J$5:$J$554,$K291)))</f>
        <v/>
      </c>
      <c r="G291" s="6" t="str">
        <f aca="false">IF($K291="","",IF(INDEX('Prospect Tracker'!$H$5:$H$554,$K291)="","",INDEX('Prospect Tracker'!$H$5:$H$554,$K291)))</f>
        <v/>
      </c>
      <c r="H291" s="7" t="str">
        <f aca="false">IF($K291="","",IF(INDEX('Prospect Tracker'!$K$5:$K$554,$K291)="","",INDEX('Prospect Tracker'!$K$5:$K$554,$K291)))</f>
        <v/>
      </c>
      <c r="I291" s="6" t="str">
        <f aca="false">IF($K291="","",IF(INDEX('Prospect Tracker'!$T$5:$T$554,$K291)="","",INDEX('Prospect Tracker'!$T$5:$T$554,$K291)))</f>
        <v/>
      </c>
      <c r="J291" s="6" t="str">
        <f aca="false">IF($K291="","",IF(INDEX('Prospect Tracker'!$L$5:$L$554,$K291)="","",INDEX('Prospect Tracker'!$L$5:$L$554,$K291)))</f>
        <v/>
      </c>
      <c r="K291" s="1" t="n">
        <f aca="false">IFERROR(MATCH(SMALL('Prospect Tracker'!$X$5:$X$554,ROW()-4),'Prospect Tracker'!$X$5:$X$554,0),"")</f>
        <v>287</v>
      </c>
    </row>
    <row r="292" customFormat="false" ht="15" hidden="false" customHeight="true" outlineLevel="0" collapsed="false">
      <c r="A292" s="11" t="str">
        <f aca="false">IF($K292="","",IF(INDEX('Prospect Tracker'!$W$5:$W$554,$K292)="","",INDEX('Prospect Tracker'!$W$5:$W$554,$K292)))</f>
        <v/>
      </c>
      <c r="B292" s="11" t="str">
        <f aca="false">IF($K292="","",IF(INDEX('Prospect Tracker'!$A$5:$A$554,$K292)="","",INDEX('Prospect Tracker'!$A$5:$A$554,$K292)))</f>
        <v/>
      </c>
      <c r="C292" s="11" t="str">
        <f aca="false">IF($K292="","",IF(INDEX('Prospect Tracker'!$B$5:$B$554,$K292)="","",INDEX('Prospect Tracker'!$B$5:$B$554,$K292)))</f>
        <v/>
      </c>
      <c r="D292" s="11" t="str">
        <f aca="false">IF($K292="","",IF(INDEX('Prospect Tracker'!$M$5:$M$554,$K292)="","",INDEX('Prospect Tracker'!$M$5:$M$554,$K292)))</f>
        <v/>
      </c>
      <c r="E292" s="11" t="str">
        <f aca="false">IF($K292="","",IF(INDEX('Prospect Tracker'!$R$5:$R$554,$K292)="","",INDEX('Prospect Tracker'!$R$5:$R$554,$K292)))</f>
        <v/>
      </c>
      <c r="F292" s="11" t="str">
        <f aca="false">IF($K292="","",IF(INDEX('Prospect Tracker'!$J$5:$J$554,$K292)="","",INDEX('Prospect Tracker'!$J$5:$J$554,$K292)))</f>
        <v/>
      </c>
      <c r="G292" s="11" t="str">
        <f aca="false">IF($K292="","",IF(INDEX('Prospect Tracker'!$H$5:$H$554,$K292)="","",INDEX('Prospect Tracker'!$H$5:$H$554,$K292)))</f>
        <v/>
      </c>
      <c r="H292" s="12" t="str">
        <f aca="false">IF($K292="","",IF(INDEX('Prospect Tracker'!$K$5:$K$554,$K292)="","",INDEX('Prospect Tracker'!$K$5:$K$554,$K292)))</f>
        <v/>
      </c>
      <c r="I292" s="11" t="str">
        <f aca="false">IF($K292="","",IF(INDEX('Prospect Tracker'!$T$5:$T$554,$K292)="","",INDEX('Prospect Tracker'!$T$5:$T$554,$K292)))</f>
        <v/>
      </c>
      <c r="J292" s="11" t="str">
        <f aca="false">IF($K292="","",IF(INDEX('Prospect Tracker'!$L$5:$L$554,$K292)="","",INDEX('Prospect Tracker'!$L$5:$L$554,$K292)))</f>
        <v/>
      </c>
      <c r="K292" s="1" t="n">
        <f aca="false">IFERROR(MATCH(SMALL('Prospect Tracker'!$X$5:$X$554,ROW()-4),'Prospect Tracker'!$X$5:$X$554,0),"")</f>
        <v>288</v>
      </c>
    </row>
    <row r="293" customFormat="false" ht="15" hidden="false" customHeight="true" outlineLevel="0" collapsed="false">
      <c r="A293" s="6" t="str">
        <f aca="false">IF($K293="","",IF(INDEX('Prospect Tracker'!$W$5:$W$554,$K293)="","",INDEX('Prospect Tracker'!$W$5:$W$554,$K293)))</f>
        <v/>
      </c>
      <c r="B293" s="6" t="str">
        <f aca="false">IF($K293="","",IF(INDEX('Prospect Tracker'!$A$5:$A$554,$K293)="","",INDEX('Prospect Tracker'!$A$5:$A$554,$K293)))</f>
        <v/>
      </c>
      <c r="C293" s="6" t="str">
        <f aca="false">IF($K293="","",IF(INDEX('Prospect Tracker'!$B$5:$B$554,$K293)="","",INDEX('Prospect Tracker'!$B$5:$B$554,$K293)))</f>
        <v/>
      </c>
      <c r="D293" s="6" t="str">
        <f aca="false">IF($K293="","",IF(INDEX('Prospect Tracker'!$M$5:$M$554,$K293)="","",INDEX('Prospect Tracker'!$M$5:$M$554,$K293)))</f>
        <v/>
      </c>
      <c r="E293" s="6" t="str">
        <f aca="false">IF($K293="","",IF(INDEX('Prospect Tracker'!$R$5:$R$554,$K293)="","",INDEX('Prospect Tracker'!$R$5:$R$554,$K293)))</f>
        <v/>
      </c>
      <c r="F293" s="6" t="str">
        <f aca="false">IF($K293="","",IF(INDEX('Prospect Tracker'!$J$5:$J$554,$K293)="","",INDEX('Prospect Tracker'!$J$5:$J$554,$K293)))</f>
        <v/>
      </c>
      <c r="G293" s="6" t="str">
        <f aca="false">IF($K293="","",IF(INDEX('Prospect Tracker'!$H$5:$H$554,$K293)="","",INDEX('Prospect Tracker'!$H$5:$H$554,$K293)))</f>
        <v/>
      </c>
      <c r="H293" s="7" t="str">
        <f aca="false">IF($K293="","",IF(INDEX('Prospect Tracker'!$K$5:$K$554,$K293)="","",INDEX('Prospect Tracker'!$K$5:$K$554,$K293)))</f>
        <v/>
      </c>
      <c r="I293" s="6" t="str">
        <f aca="false">IF($K293="","",IF(INDEX('Prospect Tracker'!$T$5:$T$554,$K293)="","",INDEX('Prospect Tracker'!$T$5:$T$554,$K293)))</f>
        <v/>
      </c>
      <c r="J293" s="6" t="str">
        <f aca="false">IF($K293="","",IF(INDEX('Prospect Tracker'!$L$5:$L$554,$K293)="","",INDEX('Prospect Tracker'!$L$5:$L$554,$K293)))</f>
        <v/>
      </c>
      <c r="K293" s="1" t="n">
        <f aca="false">IFERROR(MATCH(SMALL('Prospect Tracker'!$X$5:$X$554,ROW()-4),'Prospect Tracker'!$X$5:$X$554,0),"")</f>
        <v>289</v>
      </c>
    </row>
    <row r="294" customFormat="false" ht="15" hidden="false" customHeight="true" outlineLevel="0" collapsed="false">
      <c r="A294" s="11" t="str">
        <f aca="false">IF($K294="","",IF(INDEX('Prospect Tracker'!$W$5:$W$554,$K294)="","",INDEX('Prospect Tracker'!$W$5:$W$554,$K294)))</f>
        <v/>
      </c>
      <c r="B294" s="11" t="str">
        <f aca="false">IF($K294="","",IF(INDEX('Prospect Tracker'!$A$5:$A$554,$K294)="","",INDEX('Prospect Tracker'!$A$5:$A$554,$K294)))</f>
        <v/>
      </c>
      <c r="C294" s="11" t="str">
        <f aca="false">IF($K294="","",IF(INDEX('Prospect Tracker'!$B$5:$B$554,$K294)="","",INDEX('Prospect Tracker'!$B$5:$B$554,$K294)))</f>
        <v/>
      </c>
      <c r="D294" s="11" t="str">
        <f aca="false">IF($K294="","",IF(INDEX('Prospect Tracker'!$M$5:$M$554,$K294)="","",INDEX('Prospect Tracker'!$M$5:$M$554,$K294)))</f>
        <v/>
      </c>
      <c r="E294" s="11" t="str">
        <f aca="false">IF($K294="","",IF(INDEX('Prospect Tracker'!$R$5:$R$554,$K294)="","",INDEX('Prospect Tracker'!$R$5:$R$554,$K294)))</f>
        <v/>
      </c>
      <c r="F294" s="11" t="str">
        <f aca="false">IF($K294="","",IF(INDEX('Prospect Tracker'!$J$5:$J$554,$K294)="","",INDEX('Prospect Tracker'!$J$5:$J$554,$K294)))</f>
        <v/>
      </c>
      <c r="G294" s="11" t="str">
        <f aca="false">IF($K294="","",IF(INDEX('Prospect Tracker'!$H$5:$H$554,$K294)="","",INDEX('Prospect Tracker'!$H$5:$H$554,$K294)))</f>
        <v/>
      </c>
      <c r="H294" s="12" t="str">
        <f aca="false">IF($K294="","",IF(INDEX('Prospect Tracker'!$K$5:$K$554,$K294)="","",INDEX('Prospect Tracker'!$K$5:$K$554,$K294)))</f>
        <v/>
      </c>
      <c r="I294" s="11" t="str">
        <f aca="false">IF($K294="","",IF(INDEX('Prospect Tracker'!$T$5:$T$554,$K294)="","",INDEX('Prospect Tracker'!$T$5:$T$554,$K294)))</f>
        <v/>
      </c>
      <c r="J294" s="11" t="str">
        <f aca="false">IF($K294="","",IF(INDEX('Prospect Tracker'!$L$5:$L$554,$K294)="","",INDEX('Prospect Tracker'!$L$5:$L$554,$K294)))</f>
        <v/>
      </c>
      <c r="K294" s="1" t="n">
        <f aca="false">IFERROR(MATCH(SMALL('Prospect Tracker'!$X$5:$X$554,ROW()-4),'Prospect Tracker'!$X$5:$X$554,0),"")</f>
        <v>290</v>
      </c>
    </row>
    <row r="295" customFormat="false" ht="15" hidden="false" customHeight="true" outlineLevel="0" collapsed="false">
      <c r="A295" s="6" t="str">
        <f aca="false">IF($K295="","",IF(INDEX('Prospect Tracker'!$W$5:$W$554,$K295)="","",INDEX('Prospect Tracker'!$W$5:$W$554,$K295)))</f>
        <v/>
      </c>
      <c r="B295" s="6" t="str">
        <f aca="false">IF($K295="","",IF(INDEX('Prospect Tracker'!$A$5:$A$554,$K295)="","",INDEX('Prospect Tracker'!$A$5:$A$554,$K295)))</f>
        <v/>
      </c>
      <c r="C295" s="6" t="str">
        <f aca="false">IF($K295="","",IF(INDEX('Prospect Tracker'!$B$5:$B$554,$K295)="","",INDEX('Prospect Tracker'!$B$5:$B$554,$K295)))</f>
        <v/>
      </c>
      <c r="D295" s="6" t="str">
        <f aca="false">IF($K295="","",IF(INDEX('Prospect Tracker'!$M$5:$M$554,$K295)="","",INDEX('Prospect Tracker'!$M$5:$M$554,$K295)))</f>
        <v/>
      </c>
      <c r="E295" s="6" t="str">
        <f aca="false">IF($K295="","",IF(INDEX('Prospect Tracker'!$R$5:$R$554,$K295)="","",INDEX('Prospect Tracker'!$R$5:$R$554,$K295)))</f>
        <v/>
      </c>
      <c r="F295" s="6" t="str">
        <f aca="false">IF($K295="","",IF(INDEX('Prospect Tracker'!$J$5:$J$554,$K295)="","",INDEX('Prospect Tracker'!$J$5:$J$554,$K295)))</f>
        <v/>
      </c>
      <c r="G295" s="6" t="str">
        <f aca="false">IF($K295="","",IF(INDEX('Prospect Tracker'!$H$5:$H$554,$K295)="","",INDEX('Prospect Tracker'!$H$5:$H$554,$K295)))</f>
        <v/>
      </c>
      <c r="H295" s="7" t="str">
        <f aca="false">IF($K295="","",IF(INDEX('Prospect Tracker'!$K$5:$K$554,$K295)="","",INDEX('Prospect Tracker'!$K$5:$K$554,$K295)))</f>
        <v/>
      </c>
      <c r="I295" s="6" t="str">
        <f aca="false">IF($K295="","",IF(INDEX('Prospect Tracker'!$T$5:$T$554,$K295)="","",INDEX('Prospect Tracker'!$T$5:$T$554,$K295)))</f>
        <v/>
      </c>
      <c r="J295" s="6" t="str">
        <f aca="false">IF($K295="","",IF(INDEX('Prospect Tracker'!$L$5:$L$554,$K295)="","",INDEX('Prospect Tracker'!$L$5:$L$554,$K295)))</f>
        <v/>
      </c>
      <c r="K295" s="1" t="n">
        <f aca="false">IFERROR(MATCH(SMALL('Prospect Tracker'!$X$5:$X$554,ROW()-4),'Prospect Tracker'!$X$5:$X$554,0),"")</f>
        <v>291</v>
      </c>
    </row>
    <row r="296" customFormat="false" ht="15" hidden="false" customHeight="true" outlineLevel="0" collapsed="false">
      <c r="A296" s="11" t="str">
        <f aca="false">IF($K296="","",IF(INDEX('Prospect Tracker'!$W$5:$W$554,$K296)="","",INDEX('Prospect Tracker'!$W$5:$W$554,$K296)))</f>
        <v/>
      </c>
      <c r="B296" s="11" t="str">
        <f aca="false">IF($K296="","",IF(INDEX('Prospect Tracker'!$A$5:$A$554,$K296)="","",INDEX('Prospect Tracker'!$A$5:$A$554,$K296)))</f>
        <v/>
      </c>
      <c r="C296" s="11" t="str">
        <f aca="false">IF($K296="","",IF(INDEX('Prospect Tracker'!$B$5:$B$554,$K296)="","",INDEX('Prospect Tracker'!$B$5:$B$554,$K296)))</f>
        <v/>
      </c>
      <c r="D296" s="11" t="str">
        <f aca="false">IF($K296="","",IF(INDEX('Prospect Tracker'!$M$5:$M$554,$K296)="","",INDEX('Prospect Tracker'!$M$5:$M$554,$K296)))</f>
        <v/>
      </c>
      <c r="E296" s="11" t="str">
        <f aca="false">IF($K296="","",IF(INDEX('Prospect Tracker'!$R$5:$R$554,$K296)="","",INDEX('Prospect Tracker'!$R$5:$R$554,$K296)))</f>
        <v/>
      </c>
      <c r="F296" s="11" t="str">
        <f aca="false">IF($K296="","",IF(INDEX('Prospect Tracker'!$J$5:$J$554,$K296)="","",INDEX('Prospect Tracker'!$J$5:$J$554,$K296)))</f>
        <v/>
      </c>
      <c r="G296" s="11" t="str">
        <f aca="false">IF($K296="","",IF(INDEX('Prospect Tracker'!$H$5:$H$554,$K296)="","",INDEX('Prospect Tracker'!$H$5:$H$554,$K296)))</f>
        <v/>
      </c>
      <c r="H296" s="12" t="str">
        <f aca="false">IF($K296="","",IF(INDEX('Prospect Tracker'!$K$5:$K$554,$K296)="","",INDEX('Prospect Tracker'!$K$5:$K$554,$K296)))</f>
        <v/>
      </c>
      <c r="I296" s="11" t="str">
        <f aca="false">IF($K296="","",IF(INDEX('Prospect Tracker'!$T$5:$T$554,$K296)="","",INDEX('Prospect Tracker'!$T$5:$T$554,$K296)))</f>
        <v/>
      </c>
      <c r="J296" s="11" t="str">
        <f aca="false">IF($K296="","",IF(INDEX('Prospect Tracker'!$L$5:$L$554,$K296)="","",INDEX('Prospect Tracker'!$L$5:$L$554,$K296)))</f>
        <v/>
      </c>
      <c r="K296" s="1" t="n">
        <f aca="false">IFERROR(MATCH(SMALL('Prospect Tracker'!$X$5:$X$554,ROW()-4),'Prospect Tracker'!$X$5:$X$554,0),"")</f>
        <v>292</v>
      </c>
    </row>
    <row r="297" customFormat="false" ht="15" hidden="false" customHeight="true" outlineLevel="0" collapsed="false">
      <c r="A297" s="6" t="str">
        <f aca="false">IF($K297="","",IF(INDEX('Prospect Tracker'!$W$5:$W$554,$K297)="","",INDEX('Prospect Tracker'!$W$5:$W$554,$K297)))</f>
        <v/>
      </c>
      <c r="B297" s="6" t="str">
        <f aca="false">IF($K297="","",IF(INDEX('Prospect Tracker'!$A$5:$A$554,$K297)="","",INDEX('Prospect Tracker'!$A$5:$A$554,$K297)))</f>
        <v/>
      </c>
      <c r="C297" s="6" t="str">
        <f aca="false">IF($K297="","",IF(INDEX('Prospect Tracker'!$B$5:$B$554,$K297)="","",INDEX('Prospect Tracker'!$B$5:$B$554,$K297)))</f>
        <v/>
      </c>
      <c r="D297" s="6" t="str">
        <f aca="false">IF($K297="","",IF(INDEX('Prospect Tracker'!$M$5:$M$554,$K297)="","",INDEX('Prospect Tracker'!$M$5:$M$554,$K297)))</f>
        <v/>
      </c>
      <c r="E297" s="6" t="str">
        <f aca="false">IF($K297="","",IF(INDEX('Prospect Tracker'!$R$5:$R$554,$K297)="","",INDEX('Prospect Tracker'!$R$5:$R$554,$K297)))</f>
        <v/>
      </c>
      <c r="F297" s="6" t="str">
        <f aca="false">IF($K297="","",IF(INDEX('Prospect Tracker'!$J$5:$J$554,$K297)="","",INDEX('Prospect Tracker'!$J$5:$J$554,$K297)))</f>
        <v/>
      </c>
      <c r="G297" s="6" t="str">
        <f aca="false">IF($K297="","",IF(INDEX('Prospect Tracker'!$H$5:$H$554,$K297)="","",INDEX('Prospect Tracker'!$H$5:$H$554,$K297)))</f>
        <v/>
      </c>
      <c r="H297" s="7" t="str">
        <f aca="false">IF($K297="","",IF(INDEX('Prospect Tracker'!$K$5:$K$554,$K297)="","",INDEX('Prospect Tracker'!$K$5:$K$554,$K297)))</f>
        <v/>
      </c>
      <c r="I297" s="6" t="str">
        <f aca="false">IF($K297="","",IF(INDEX('Prospect Tracker'!$T$5:$T$554,$K297)="","",INDEX('Prospect Tracker'!$T$5:$T$554,$K297)))</f>
        <v/>
      </c>
      <c r="J297" s="6" t="str">
        <f aca="false">IF($K297="","",IF(INDEX('Prospect Tracker'!$L$5:$L$554,$K297)="","",INDEX('Prospect Tracker'!$L$5:$L$554,$K297)))</f>
        <v/>
      </c>
      <c r="K297" s="1" t="n">
        <f aca="false">IFERROR(MATCH(SMALL('Prospect Tracker'!$X$5:$X$554,ROW()-4),'Prospect Tracker'!$X$5:$X$554,0),"")</f>
        <v>293</v>
      </c>
    </row>
    <row r="298" customFormat="false" ht="15" hidden="false" customHeight="true" outlineLevel="0" collapsed="false">
      <c r="A298" s="11" t="str">
        <f aca="false">IF($K298="","",IF(INDEX('Prospect Tracker'!$W$5:$W$554,$K298)="","",INDEX('Prospect Tracker'!$W$5:$W$554,$K298)))</f>
        <v/>
      </c>
      <c r="B298" s="11" t="str">
        <f aca="false">IF($K298="","",IF(INDEX('Prospect Tracker'!$A$5:$A$554,$K298)="","",INDEX('Prospect Tracker'!$A$5:$A$554,$K298)))</f>
        <v/>
      </c>
      <c r="C298" s="11" t="str">
        <f aca="false">IF($K298="","",IF(INDEX('Prospect Tracker'!$B$5:$B$554,$K298)="","",INDEX('Prospect Tracker'!$B$5:$B$554,$K298)))</f>
        <v/>
      </c>
      <c r="D298" s="11" t="str">
        <f aca="false">IF($K298="","",IF(INDEX('Prospect Tracker'!$M$5:$M$554,$K298)="","",INDEX('Prospect Tracker'!$M$5:$M$554,$K298)))</f>
        <v/>
      </c>
      <c r="E298" s="11" t="str">
        <f aca="false">IF($K298="","",IF(INDEX('Prospect Tracker'!$R$5:$R$554,$K298)="","",INDEX('Prospect Tracker'!$R$5:$R$554,$K298)))</f>
        <v/>
      </c>
      <c r="F298" s="11" t="str">
        <f aca="false">IF($K298="","",IF(INDEX('Prospect Tracker'!$J$5:$J$554,$K298)="","",INDEX('Prospect Tracker'!$J$5:$J$554,$K298)))</f>
        <v/>
      </c>
      <c r="G298" s="11" t="str">
        <f aca="false">IF($K298="","",IF(INDEX('Prospect Tracker'!$H$5:$H$554,$K298)="","",INDEX('Prospect Tracker'!$H$5:$H$554,$K298)))</f>
        <v/>
      </c>
      <c r="H298" s="12" t="str">
        <f aca="false">IF($K298="","",IF(INDEX('Prospect Tracker'!$K$5:$K$554,$K298)="","",INDEX('Prospect Tracker'!$K$5:$K$554,$K298)))</f>
        <v/>
      </c>
      <c r="I298" s="11" t="str">
        <f aca="false">IF($K298="","",IF(INDEX('Prospect Tracker'!$T$5:$T$554,$K298)="","",INDEX('Prospect Tracker'!$T$5:$T$554,$K298)))</f>
        <v/>
      </c>
      <c r="J298" s="11" t="str">
        <f aca="false">IF($K298="","",IF(INDEX('Prospect Tracker'!$L$5:$L$554,$K298)="","",INDEX('Prospect Tracker'!$L$5:$L$554,$K298)))</f>
        <v/>
      </c>
      <c r="K298" s="1" t="n">
        <f aca="false">IFERROR(MATCH(SMALL('Prospect Tracker'!$X$5:$X$554,ROW()-4),'Prospect Tracker'!$X$5:$X$554,0),"")</f>
        <v>294</v>
      </c>
    </row>
    <row r="299" customFormat="false" ht="15" hidden="false" customHeight="true" outlineLevel="0" collapsed="false">
      <c r="A299" s="6" t="str">
        <f aca="false">IF($K299="","",IF(INDEX('Prospect Tracker'!$W$5:$W$554,$K299)="","",INDEX('Prospect Tracker'!$W$5:$W$554,$K299)))</f>
        <v/>
      </c>
      <c r="B299" s="6" t="str">
        <f aca="false">IF($K299="","",IF(INDEX('Prospect Tracker'!$A$5:$A$554,$K299)="","",INDEX('Prospect Tracker'!$A$5:$A$554,$K299)))</f>
        <v/>
      </c>
      <c r="C299" s="6" t="str">
        <f aca="false">IF($K299="","",IF(INDEX('Prospect Tracker'!$B$5:$B$554,$K299)="","",INDEX('Prospect Tracker'!$B$5:$B$554,$K299)))</f>
        <v/>
      </c>
      <c r="D299" s="6" t="str">
        <f aca="false">IF($K299="","",IF(INDEX('Prospect Tracker'!$M$5:$M$554,$K299)="","",INDEX('Prospect Tracker'!$M$5:$M$554,$K299)))</f>
        <v/>
      </c>
      <c r="E299" s="6" t="str">
        <f aca="false">IF($K299="","",IF(INDEX('Prospect Tracker'!$R$5:$R$554,$K299)="","",INDEX('Prospect Tracker'!$R$5:$R$554,$K299)))</f>
        <v/>
      </c>
      <c r="F299" s="6" t="str">
        <f aca="false">IF($K299="","",IF(INDEX('Prospect Tracker'!$J$5:$J$554,$K299)="","",INDEX('Prospect Tracker'!$J$5:$J$554,$K299)))</f>
        <v/>
      </c>
      <c r="G299" s="6" t="str">
        <f aca="false">IF($K299="","",IF(INDEX('Prospect Tracker'!$H$5:$H$554,$K299)="","",INDEX('Prospect Tracker'!$H$5:$H$554,$K299)))</f>
        <v/>
      </c>
      <c r="H299" s="7" t="str">
        <f aca="false">IF($K299="","",IF(INDEX('Prospect Tracker'!$K$5:$K$554,$K299)="","",INDEX('Prospect Tracker'!$K$5:$K$554,$K299)))</f>
        <v/>
      </c>
      <c r="I299" s="6" t="str">
        <f aca="false">IF($K299="","",IF(INDEX('Prospect Tracker'!$T$5:$T$554,$K299)="","",INDEX('Prospect Tracker'!$T$5:$T$554,$K299)))</f>
        <v/>
      </c>
      <c r="J299" s="6" t="str">
        <f aca="false">IF($K299="","",IF(INDEX('Prospect Tracker'!$L$5:$L$554,$K299)="","",INDEX('Prospect Tracker'!$L$5:$L$554,$K299)))</f>
        <v/>
      </c>
      <c r="K299" s="1" t="n">
        <f aca="false">IFERROR(MATCH(SMALL('Prospect Tracker'!$X$5:$X$554,ROW()-4),'Prospect Tracker'!$X$5:$X$554,0),"")</f>
        <v>295</v>
      </c>
    </row>
    <row r="300" customFormat="false" ht="15" hidden="false" customHeight="true" outlineLevel="0" collapsed="false">
      <c r="A300" s="11" t="str">
        <f aca="false">IF($K300="","",IF(INDEX('Prospect Tracker'!$W$5:$W$554,$K300)="","",INDEX('Prospect Tracker'!$W$5:$W$554,$K300)))</f>
        <v/>
      </c>
      <c r="B300" s="11" t="str">
        <f aca="false">IF($K300="","",IF(INDEX('Prospect Tracker'!$A$5:$A$554,$K300)="","",INDEX('Prospect Tracker'!$A$5:$A$554,$K300)))</f>
        <v/>
      </c>
      <c r="C300" s="11" t="str">
        <f aca="false">IF($K300="","",IF(INDEX('Prospect Tracker'!$B$5:$B$554,$K300)="","",INDEX('Prospect Tracker'!$B$5:$B$554,$K300)))</f>
        <v/>
      </c>
      <c r="D300" s="11" t="str">
        <f aca="false">IF($K300="","",IF(INDEX('Prospect Tracker'!$M$5:$M$554,$K300)="","",INDEX('Prospect Tracker'!$M$5:$M$554,$K300)))</f>
        <v/>
      </c>
      <c r="E300" s="11" t="str">
        <f aca="false">IF($K300="","",IF(INDEX('Prospect Tracker'!$R$5:$R$554,$K300)="","",INDEX('Prospect Tracker'!$R$5:$R$554,$K300)))</f>
        <v/>
      </c>
      <c r="F300" s="11" t="str">
        <f aca="false">IF($K300="","",IF(INDEX('Prospect Tracker'!$J$5:$J$554,$K300)="","",INDEX('Prospect Tracker'!$J$5:$J$554,$K300)))</f>
        <v/>
      </c>
      <c r="G300" s="11" t="str">
        <f aca="false">IF($K300="","",IF(INDEX('Prospect Tracker'!$H$5:$H$554,$K300)="","",INDEX('Prospect Tracker'!$H$5:$H$554,$K300)))</f>
        <v/>
      </c>
      <c r="H300" s="12" t="str">
        <f aca="false">IF($K300="","",IF(INDEX('Prospect Tracker'!$K$5:$K$554,$K300)="","",INDEX('Prospect Tracker'!$K$5:$K$554,$K300)))</f>
        <v/>
      </c>
      <c r="I300" s="11" t="str">
        <f aca="false">IF($K300="","",IF(INDEX('Prospect Tracker'!$T$5:$T$554,$K300)="","",INDEX('Prospect Tracker'!$T$5:$T$554,$K300)))</f>
        <v/>
      </c>
      <c r="J300" s="11" t="str">
        <f aca="false">IF($K300="","",IF(INDEX('Prospect Tracker'!$L$5:$L$554,$K300)="","",INDEX('Prospect Tracker'!$L$5:$L$554,$K300)))</f>
        <v/>
      </c>
      <c r="K300" s="1" t="n">
        <f aca="false">IFERROR(MATCH(SMALL('Prospect Tracker'!$X$5:$X$554,ROW()-4),'Prospect Tracker'!$X$5:$X$554,0),"")</f>
        <v>296</v>
      </c>
    </row>
    <row r="301" customFormat="false" ht="15" hidden="false" customHeight="true" outlineLevel="0" collapsed="false">
      <c r="A301" s="6" t="str">
        <f aca="false">IF($K301="","",IF(INDEX('Prospect Tracker'!$W$5:$W$554,$K301)="","",INDEX('Prospect Tracker'!$W$5:$W$554,$K301)))</f>
        <v/>
      </c>
      <c r="B301" s="6" t="str">
        <f aca="false">IF($K301="","",IF(INDEX('Prospect Tracker'!$A$5:$A$554,$K301)="","",INDEX('Prospect Tracker'!$A$5:$A$554,$K301)))</f>
        <v/>
      </c>
      <c r="C301" s="6" t="str">
        <f aca="false">IF($K301="","",IF(INDEX('Prospect Tracker'!$B$5:$B$554,$K301)="","",INDEX('Prospect Tracker'!$B$5:$B$554,$K301)))</f>
        <v/>
      </c>
      <c r="D301" s="6" t="str">
        <f aca="false">IF($K301="","",IF(INDEX('Prospect Tracker'!$M$5:$M$554,$K301)="","",INDEX('Prospect Tracker'!$M$5:$M$554,$K301)))</f>
        <v/>
      </c>
      <c r="E301" s="6" t="str">
        <f aca="false">IF($K301="","",IF(INDEX('Prospect Tracker'!$R$5:$R$554,$K301)="","",INDEX('Prospect Tracker'!$R$5:$R$554,$K301)))</f>
        <v/>
      </c>
      <c r="F301" s="6" t="str">
        <f aca="false">IF($K301="","",IF(INDEX('Prospect Tracker'!$J$5:$J$554,$K301)="","",INDEX('Prospect Tracker'!$J$5:$J$554,$K301)))</f>
        <v/>
      </c>
      <c r="G301" s="6" t="str">
        <f aca="false">IF($K301="","",IF(INDEX('Prospect Tracker'!$H$5:$H$554,$K301)="","",INDEX('Prospect Tracker'!$H$5:$H$554,$K301)))</f>
        <v/>
      </c>
      <c r="H301" s="7" t="str">
        <f aca="false">IF($K301="","",IF(INDEX('Prospect Tracker'!$K$5:$K$554,$K301)="","",INDEX('Prospect Tracker'!$K$5:$K$554,$K301)))</f>
        <v/>
      </c>
      <c r="I301" s="6" t="str">
        <f aca="false">IF($K301="","",IF(INDEX('Prospect Tracker'!$T$5:$T$554,$K301)="","",INDEX('Prospect Tracker'!$T$5:$T$554,$K301)))</f>
        <v/>
      </c>
      <c r="J301" s="6" t="str">
        <f aca="false">IF($K301="","",IF(INDEX('Prospect Tracker'!$L$5:$L$554,$K301)="","",INDEX('Prospect Tracker'!$L$5:$L$554,$K301)))</f>
        <v/>
      </c>
      <c r="K301" s="1" t="n">
        <f aca="false">IFERROR(MATCH(SMALL('Prospect Tracker'!$X$5:$X$554,ROW()-4),'Prospect Tracker'!$X$5:$X$554,0),"")</f>
        <v>297</v>
      </c>
    </row>
    <row r="302" customFormat="false" ht="15" hidden="false" customHeight="true" outlineLevel="0" collapsed="false">
      <c r="A302" s="11" t="str">
        <f aca="false">IF($K302="","",IF(INDEX('Prospect Tracker'!$W$5:$W$554,$K302)="","",INDEX('Prospect Tracker'!$W$5:$W$554,$K302)))</f>
        <v/>
      </c>
      <c r="B302" s="11" t="str">
        <f aca="false">IF($K302="","",IF(INDEX('Prospect Tracker'!$A$5:$A$554,$K302)="","",INDEX('Prospect Tracker'!$A$5:$A$554,$K302)))</f>
        <v/>
      </c>
      <c r="C302" s="11" t="str">
        <f aca="false">IF($K302="","",IF(INDEX('Prospect Tracker'!$B$5:$B$554,$K302)="","",INDEX('Prospect Tracker'!$B$5:$B$554,$K302)))</f>
        <v/>
      </c>
      <c r="D302" s="11" t="str">
        <f aca="false">IF($K302="","",IF(INDEX('Prospect Tracker'!$M$5:$M$554,$K302)="","",INDEX('Prospect Tracker'!$M$5:$M$554,$K302)))</f>
        <v/>
      </c>
      <c r="E302" s="11" t="str">
        <f aca="false">IF($K302="","",IF(INDEX('Prospect Tracker'!$R$5:$R$554,$K302)="","",INDEX('Prospect Tracker'!$R$5:$R$554,$K302)))</f>
        <v/>
      </c>
      <c r="F302" s="11" t="str">
        <f aca="false">IF($K302="","",IF(INDEX('Prospect Tracker'!$J$5:$J$554,$K302)="","",INDEX('Prospect Tracker'!$J$5:$J$554,$K302)))</f>
        <v/>
      </c>
      <c r="G302" s="11" t="str">
        <f aca="false">IF($K302="","",IF(INDEX('Prospect Tracker'!$H$5:$H$554,$K302)="","",INDEX('Prospect Tracker'!$H$5:$H$554,$K302)))</f>
        <v/>
      </c>
      <c r="H302" s="12" t="str">
        <f aca="false">IF($K302="","",IF(INDEX('Prospect Tracker'!$K$5:$K$554,$K302)="","",INDEX('Prospect Tracker'!$K$5:$K$554,$K302)))</f>
        <v/>
      </c>
      <c r="I302" s="11" t="str">
        <f aca="false">IF($K302="","",IF(INDEX('Prospect Tracker'!$T$5:$T$554,$K302)="","",INDEX('Prospect Tracker'!$T$5:$T$554,$K302)))</f>
        <v/>
      </c>
      <c r="J302" s="11" t="str">
        <f aca="false">IF($K302="","",IF(INDEX('Prospect Tracker'!$L$5:$L$554,$K302)="","",INDEX('Prospect Tracker'!$L$5:$L$554,$K302)))</f>
        <v/>
      </c>
      <c r="K302" s="1" t="n">
        <f aca="false">IFERROR(MATCH(SMALL('Prospect Tracker'!$X$5:$X$554,ROW()-4),'Prospect Tracker'!$X$5:$X$554,0),"")</f>
        <v>298</v>
      </c>
    </row>
    <row r="303" customFormat="false" ht="15" hidden="false" customHeight="true" outlineLevel="0" collapsed="false">
      <c r="A303" s="6" t="str">
        <f aca="false">IF($K303="","",IF(INDEX('Prospect Tracker'!$W$5:$W$554,$K303)="","",INDEX('Prospect Tracker'!$W$5:$W$554,$K303)))</f>
        <v/>
      </c>
      <c r="B303" s="6" t="str">
        <f aca="false">IF($K303="","",IF(INDEX('Prospect Tracker'!$A$5:$A$554,$K303)="","",INDEX('Prospect Tracker'!$A$5:$A$554,$K303)))</f>
        <v/>
      </c>
      <c r="C303" s="6" t="str">
        <f aca="false">IF($K303="","",IF(INDEX('Prospect Tracker'!$B$5:$B$554,$K303)="","",INDEX('Prospect Tracker'!$B$5:$B$554,$K303)))</f>
        <v/>
      </c>
      <c r="D303" s="6" t="str">
        <f aca="false">IF($K303="","",IF(INDEX('Prospect Tracker'!$M$5:$M$554,$K303)="","",INDEX('Prospect Tracker'!$M$5:$M$554,$K303)))</f>
        <v/>
      </c>
      <c r="E303" s="6" t="str">
        <f aca="false">IF($K303="","",IF(INDEX('Prospect Tracker'!$R$5:$R$554,$K303)="","",INDEX('Prospect Tracker'!$R$5:$R$554,$K303)))</f>
        <v/>
      </c>
      <c r="F303" s="6" t="str">
        <f aca="false">IF($K303="","",IF(INDEX('Prospect Tracker'!$J$5:$J$554,$K303)="","",INDEX('Prospect Tracker'!$J$5:$J$554,$K303)))</f>
        <v/>
      </c>
      <c r="G303" s="6" t="str">
        <f aca="false">IF($K303="","",IF(INDEX('Prospect Tracker'!$H$5:$H$554,$K303)="","",INDEX('Prospect Tracker'!$H$5:$H$554,$K303)))</f>
        <v/>
      </c>
      <c r="H303" s="7" t="str">
        <f aca="false">IF($K303="","",IF(INDEX('Prospect Tracker'!$K$5:$K$554,$K303)="","",INDEX('Prospect Tracker'!$K$5:$K$554,$K303)))</f>
        <v/>
      </c>
      <c r="I303" s="6" t="str">
        <f aca="false">IF($K303="","",IF(INDEX('Prospect Tracker'!$T$5:$T$554,$K303)="","",INDEX('Prospect Tracker'!$T$5:$T$554,$K303)))</f>
        <v/>
      </c>
      <c r="J303" s="6" t="str">
        <f aca="false">IF($K303="","",IF(INDEX('Prospect Tracker'!$L$5:$L$554,$K303)="","",INDEX('Prospect Tracker'!$L$5:$L$554,$K303)))</f>
        <v/>
      </c>
      <c r="K303" s="1" t="n">
        <f aca="false">IFERROR(MATCH(SMALL('Prospect Tracker'!$X$5:$X$554,ROW()-4),'Prospect Tracker'!$X$5:$X$554,0),"")</f>
        <v>299</v>
      </c>
    </row>
    <row r="304" customFormat="false" ht="15" hidden="false" customHeight="true" outlineLevel="0" collapsed="false">
      <c r="A304" s="11" t="str">
        <f aca="false">IF($K304="","",IF(INDEX('Prospect Tracker'!$W$5:$W$554,$K304)="","",INDEX('Prospect Tracker'!$W$5:$W$554,$K304)))</f>
        <v/>
      </c>
      <c r="B304" s="11" t="str">
        <f aca="false">IF($K304="","",IF(INDEX('Prospect Tracker'!$A$5:$A$554,$K304)="","",INDEX('Prospect Tracker'!$A$5:$A$554,$K304)))</f>
        <v/>
      </c>
      <c r="C304" s="11" t="str">
        <f aca="false">IF($K304="","",IF(INDEX('Prospect Tracker'!$B$5:$B$554,$K304)="","",INDEX('Prospect Tracker'!$B$5:$B$554,$K304)))</f>
        <v/>
      </c>
      <c r="D304" s="11" t="str">
        <f aca="false">IF($K304="","",IF(INDEX('Prospect Tracker'!$M$5:$M$554,$K304)="","",INDEX('Prospect Tracker'!$M$5:$M$554,$K304)))</f>
        <v/>
      </c>
      <c r="E304" s="11" t="str">
        <f aca="false">IF($K304="","",IF(INDEX('Prospect Tracker'!$R$5:$R$554,$K304)="","",INDEX('Prospect Tracker'!$R$5:$R$554,$K304)))</f>
        <v/>
      </c>
      <c r="F304" s="11" t="str">
        <f aca="false">IF($K304="","",IF(INDEX('Prospect Tracker'!$J$5:$J$554,$K304)="","",INDEX('Prospect Tracker'!$J$5:$J$554,$K304)))</f>
        <v/>
      </c>
      <c r="G304" s="11" t="str">
        <f aca="false">IF($K304="","",IF(INDEX('Prospect Tracker'!$H$5:$H$554,$K304)="","",INDEX('Prospect Tracker'!$H$5:$H$554,$K304)))</f>
        <v/>
      </c>
      <c r="H304" s="12" t="str">
        <f aca="false">IF($K304="","",IF(INDEX('Prospect Tracker'!$K$5:$K$554,$K304)="","",INDEX('Prospect Tracker'!$K$5:$K$554,$K304)))</f>
        <v/>
      </c>
      <c r="I304" s="11" t="str">
        <f aca="false">IF($K304="","",IF(INDEX('Prospect Tracker'!$T$5:$T$554,$K304)="","",INDEX('Prospect Tracker'!$T$5:$T$554,$K304)))</f>
        <v/>
      </c>
      <c r="J304" s="11" t="str">
        <f aca="false">IF($K304="","",IF(INDEX('Prospect Tracker'!$L$5:$L$554,$K304)="","",INDEX('Prospect Tracker'!$L$5:$L$554,$K304)))</f>
        <v/>
      </c>
      <c r="K304" s="1" t="n">
        <f aca="false">IFERROR(MATCH(SMALL('Prospect Tracker'!$X$5:$X$554,ROW()-4),'Prospect Tracker'!$X$5:$X$554,0),"")</f>
        <v>300</v>
      </c>
    </row>
    <row r="305" customFormat="false" ht="15" hidden="false" customHeight="true" outlineLevel="0" collapsed="false">
      <c r="A305" s="6" t="str">
        <f aca="false">IF($K305="","",IF(INDEX('Prospect Tracker'!$W$5:$W$554,$K305)="","",INDEX('Prospect Tracker'!$W$5:$W$554,$K305)))</f>
        <v/>
      </c>
      <c r="B305" s="6" t="str">
        <f aca="false">IF($K305="","",IF(INDEX('Prospect Tracker'!$A$5:$A$554,$K305)="","",INDEX('Prospect Tracker'!$A$5:$A$554,$K305)))</f>
        <v/>
      </c>
      <c r="C305" s="6" t="str">
        <f aca="false">IF($K305="","",IF(INDEX('Prospect Tracker'!$B$5:$B$554,$K305)="","",INDEX('Prospect Tracker'!$B$5:$B$554,$K305)))</f>
        <v/>
      </c>
      <c r="D305" s="6" t="str">
        <f aca="false">IF($K305="","",IF(INDEX('Prospect Tracker'!$M$5:$M$554,$K305)="","",INDEX('Prospect Tracker'!$M$5:$M$554,$K305)))</f>
        <v/>
      </c>
      <c r="E305" s="6" t="str">
        <f aca="false">IF($K305="","",IF(INDEX('Prospect Tracker'!$R$5:$R$554,$K305)="","",INDEX('Prospect Tracker'!$R$5:$R$554,$K305)))</f>
        <v/>
      </c>
      <c r="F305" s="6" t="str">
        <f aca="false">IF($K305="","",IF(INDEX('Prospect Tracker'!$J$5:$J$554,$K305)="","",INDEX('Prospect Tracker'!$J$5:$J$554,$K305)))</f>
        <v/>
      </c>
      <c r="G305" s="6" t="str">
        <f aca="false">IF($K305="","",IF(INDEX('Prospect Tracker'!$H$5:$H$554,$K305)="","",INDEX('Prospect Tracker'!$H$5:$H$554,$K305)))</f>
        <v/>
      </c>
      <c r="H305" s="7" t="str">
        <f aca="false">IF($K305="","",IF(INDEX('Prospect Tracker'!$K$5:$K$554,$K305)="","",INDEX('Prospect Tracker'!$K$5:$K$554,$K305)))</f>
        <v/>
      </c>
      <c r="I305" s="6" t="str">
        <f aca="false">IF($K305="","",IF(INDEX('Prospect Tracker'!$T$5:$T$554,$K305)="","",INDEX('Prospect Tracker'!$T$5:$T$554,$K305)))</f>
        <v/>
      </c>
      <c r="J305" s="6" t="str">
        <f aca="false">IF($K305="","",IF(INDEX('Prospect Tracker'!$L$5:$L$554,$K305)="","",INDEX('Prospect Tracker'!$L$5:$L$554,$K305)))</f>
        <v/>
      </c>
      <c r="K305" s="1" t="n">
        <f aca="false">IFERROR(MATCH(SMALL('Prospect Tracker'!$X$5:$X$554,ROW()-4),'Prospect Tracker'!$X$5:$X$554,0),"")</f>
        <v>301</v>
      </c>
    </row>
    <row r="306" customFormat="false" ht="15" hidden="false" customHeight="true" outlineLevel="0" collapsed="false">
      <c r="A306" s="11" t="str">
        <f aca="false">IF($K306="","",IF(INDEX('Prospect Tracker'!$W$5:$W$554,$K306)="","",INDEX('Prospect Tracker'!$W$5:$W$554,$K306)))</f>
        <v/>
      </c>
      <c r="B306" s="11" t="str">
        <f aca="false">IF($K306="","",IF(INDEX('Prospect Tracker'!$A$5:$A$554,$K306)="","",INDEX('Prospect Tracker'!$A$5:$A$554,$K306)))</f>
        <v/>
      </c>
      <c r="C306" s="11" t="str">
        <f aca="false">IF($K306="","",IF(INDEX('Prospect Tracker'!$B$5:$B$554,$K306)="","",INDEX('Prospect Tracker'!$B$5:$B$554,$K306)))</f>
        <v/>
      </c>
      <c r="D306" s="11" t="str">
        <f aca="false">IF($K306="","",IF(INDEX('Prospect Tracker'!$M$5:$M$554,$K306)="","",INDEX('Prospect Tracker'!$M$5:$M$554,$K306)))</f>
        <v/>
      </c>
      <c r="E306" s="11" t="str">
        <f aca="false">IF($K306="","",IF(INDEX('Prospect Tracker'!$R$5:$R$554,$K306)="","",INDEX('Prospect Tracker'!$R$5:$R$554,$K306)))</f>
        <v/>
      </c>
      <c r="F306" s="11" t="str">
        <f aca="false">IF($K306="","",IF(INDEX('Prospect Tracker'!$J$5:$J$554,$K306)="","",INDEX('Prospect Tracker'!$J$5:$J$554,$K306)))</f>
        <v/>
      </c>
      <c r="G306" s="11" t="str">
        <f aca="false">IF($K306="","",IF(INDEX('Prospect Tracker'!$H$5:$H$554,$K306)="","",INDEX('Prospect Tracker'!$H$5:$H$554,$K306)))</f>
        <v/>
      </c>
      <c r="H306" s="12" t="str">
        <f aca="false">IF($K306="","",IF(INDEX('Prospect Tracker'!$K$5:$K$554,$K306)="","",INDEX('Prospect Tracker'!$K$5:$K$554,$K306)))</f>
        <v/>
      </c>
      <c r="I306" s="11" t="str">
        <f aca="false">IF($K306="","",IF(INDEX('Prospect Tracker'!$T$5:$T$554,$K306)="","",INDEX('Prospect Tracker'!$T$5:$T$554,$K306)))</f>
        <v/>
      </c>
      <c r="J306" s="11" t="str">
        <f aca="false">IF($K306="","",IF(INDEX('Prospect Tracker'!$L$5:$L$554,$K306)="","",INDEX('Prospect Tracker'!$L$5:$L$554,$K306)))</f>
        <v/>
      </c>
      <c r="K306" s="1" t="n">
        <f aca="false">IFERROR(MATCH(SMALL('Prospect Tracker'!$X$5:$X$554,ROW()-4),'Prospect Tracker'!$X$5:$X$554,0),"")</f>
        <v>302</v>
      </c>
    </row>
    <row r="307" customFormat="false" ht="15" hidden="false" customHeight="true" outlineLevel="0" collapsed="false">
      <c r="A307" s="6" t="str">
        <f aca="false">IF($K307="","",IF(INDEX('Prospect Tracker'!$W$5:$W$554,$K307)="","",INDEX('Prospect Tracker'!$W$5:$W$554,$K307)))</f>
        <v/>
      </c>
      <c r="B307" s="6" t="str">
        <f aca="false">IF($K307="","",IF(INDEX('Prospect Tracker'!$A$5:$A$554,$K307)="","",INDEX('Prospect Tracker'!$A$5:$A$554,$K307)))</f>
        <v/>
      </c>
      <c r="C307" s="6" t="str">
        <f aca="false">IF($K307="","",IF(INDEX('Prospect Tracker'!$B$5:$B$554,$K307)="","",INDEX('Prospect Tracker'!$B$5:$B$554,$K307)))</f>
        <v/>
      </c>
      <c r="D307" s="6" t="str">
        <f aca="false">IF($K307="","",IF(INDEX('Prospect Tracker'!$M$5:$M$554,$K307)="","",INDEX('Prospect Tracker'!$M$5:$M$554,$K307)))</f>
        <v/>
      </c>
      <c r="E307" s="6" t="str">
        <f aca="false">IF($K307="","",IF(INDEX('Prospect Tracker'!$R$5:$R$554,$K307)="","",INDEX('Prospect Tracker'!$R$5:$R$554,$K307)))</f>
        <v/>
      </c>
      <c r="F307" s="6" t="str">
        <f aca="false">IF($K307="","",IF(INDEX('Prospect Tracker'!$J$5:$J$554,$K307)="","",INDEX('Prospect Tracker'!$J$5:$J$554,$K307)))</f>
        <v/>
      </c>
      <c r="G307" s="6" t="str">
        <f aca="false">IF($K307="","",IF(INDEX('Prospect Tracker'!$H$5:$H$554,$K307)="","",INDEX('Prospect Tracker'!$H$5:$H$554,$K307)))</f>
        <v/>
      </c>
      <c r="H307" s="7" t="str">
        <f aca="false">IF($K307="","",IF(INDEX('Prospect Tracker'!$K$5:$K$554,$K307)="","",INDEX('Prospect Tracker'!$K$5:$K$554,$K307)))</f>
        <v/>
      </c>
      <c r="I307" s="6" t="str">
        <f aca="false">IF($K307="","",IF(INDEX('Prospect Tracker'!$T$5:$T$554,$K307)="","",INDEX('Prospect Tracker'!$T$5:$T$554,$K307)))</f>
        <v/>
      </c>
      <c r="J307" s="6" t="str">
        <f aca="false">IF($K307="","",IF(INDEX('Prospect Tracker'!$L$5:$L$554,$K307)="","",INDEX('Prospect Tracker'!$L$5:$L$554,$K307)))</f>
        <v/>
      </c>
      <c r="K307" s="1" t="n">
        <f aca="false">IFERROR(MATCH(SMALL('Prospect Tracker'!$X$5:$X$554,ROW()-4),'Prospect Tracker'!$X$5:$X$554,0),"")</f>
        <v>303</v>
      </c>
    </row>
    <row r="308" customFormat="false" ht="15" hidden="false" customHeight="true" outlineLevel="0" collapsed="false">
      <c r="A308" s="11" t="str">
        <f aca="false">IF($K308="","",IF(INDEX('Prospect Tracker'!$W$5:$W$554,$K308)="","",INDEX('Prospect Tracker'!$W$5:$W$554,$K308)))</f>
        <v/>
      </c>
      <c r="B308" s="11" t="str">
        <f aca="false">IF($K308="","",IF(INDEX('Prospect Tracker'!$A$5:$A$554,$K308)="","",INDEX('Prospect Tracker'!$A$5:$A$554,$K308)))</f>
        <v/>
      </c>
      <c r="C308" s="11" t="str">
        <f aca="false">IF($K308="","",IF(INDEX('Prospect Tracker'!$B$5:$B$554,$K308)="","",INDEX('Prospect Tracker'!$B$5:$B$554,$K308)))</f>
        <v/>
      </c>
      <c r="D308" s="11" t="str">
        <f aca="false">IF($K308="","",IF(INDEX('Prospect Tracker'!$M$5:$M$554,$K308)="","",INDEX('Prospect Tracker'!$M$5:$M$554,$K308)))</f>
        <v/>
      </c>
      <c r="E308" s="11" t="str">
        <f aca="false">IF($K308="","",IF(INDEX('Prospect Tracker'!$R$5:$R$554,$K308)="","",INDEX('Prospect Tracker'!$R$5:$R$554,$K308)))</f>
        <v/>
      </c>
      <c r="F308" s="11" t="str">
        <f aca="false">IF($K308="","",IF(INDEX('Prospect Tracker'!$J$5:$J$554,$K308)="","",INDEX('Prospect Tracker'!$J$5:$J$554,$K308)))</f>
        <v/>
      </c>
      <c r="G308" s="11" t="str">
        <f aca="false">IF($K308="","",IF(INDEX('Prospect Tracker'!$H$5:$H$554,$K308)="","",INDEX('Prospect Tracker'!$H$5:$H$554,$K308)))</f>
        <v/>
      </c>
      <c r="H308" s="12" t="str">
        <f aca="false">IF($K308="","",IF(INDEX('Prospect Tracker'!$K$5:$K$554,$K308)="","",INDEX('Prospect Tracker'!$K$5:$K$554,$K308)))</f>
        <v/>
      </c>
      <c r="I308" s="11" t="str">
        <f aca="false">IF($K308="","",IF(INDEX('Prospect Tracker'!$T$5:$T$554,$K308)="","",INDEX('Prospect Tracker'!$T$5:$T$554,$K308)))</f>
        <v/>
      </c>
      <c r="J308" s="11" t="str">
        <f aca="false">IF($K308="","",IF(INDEX('Prospect Tracker'!$L$5:$L$554,$K308)="","",INDEX('Prospect Tracker'!$L$5:$L$554,$K308)))</f>
        <v/>
      </c>
      <c r="K308" s="1" t="n">
        <f aca="false">IFERROR(MATCH(SMALL('Prospect Tracker'!$X$5:$X$554,ROW()-4),'Prospect Tracker'!$X$5:$X$554,0),"")</f>
        <v>304</v>
      </c>
    </row>
    <row r="309" customFormat="false" ht="15" hidden="false" customHeight="true" outlineLevel="0" collapsed="false">
      <c r="A309" s="6" t="str">
        <f aca="false">IF($K309="","",IF(INDEX('Prospect Tracker'!$W$5:$W$554,$K309)="","",INDEX('Prospect Tracker'!$W$5:$W$554,$K309)))</f>
        <v/>
      </c>
      <c r="B309" s="6" t="str">
        <f aca="false">IF($K309="","",IF(INDEX('Prospect Tracker'!$A$5:$A$554,$K309)="","",INDEX('Prospect Tracker'!$A$5:$A$554,$K309)))</f>
        <v/>
      </c>
      <c r="C309" s="6" t="str">
        <f aca="false">IF($K309="","",IF(INDEX('Prospect Tracker'!$B$5:$B$554,$K309)="","",INDEX('Prospect Tracker'!$B$5:$B$554,$K309)))</f>
        <v/>
      </c>
      <c r="D309" s="6" t="str">
        <f aca="false">IF($K309="","",IF(INDEX('Prospect Tracker'!$M$5:$M$554,$K309)="","",INDEX('Prospect Tracker'!$M$5:$M$554,$K309)))</f>
        <v/>
      </c>
      <c r="E309" s="6" t="str">
        <f aca="false">IF($K309="","",IF(INDEX('Prospect Tracker'!$R$5:$R$554,$K309)="","",INDEX('Prospect Tracker'!$R$5:$R$554,$K309)))</f>
        <v/>
      </c>
      <c r="F309" s="6" t="str">
        <f aca="false">IF($K309="","",IF(INDEX('Prospect Tracker'!$J$5:$J$554,$K309)="","",INDEX('Prospect Tracker'!$J$5:$J$554,$K309)))</f>
        <v/>
      </c>
      <c r="G309" s="6" t="str">
        <f aca="false">IF($K309="","",IF(INDEX('Prospect Tracker'!$H$5:$H$554,$K309)="","",INDEX('Prospect Tracker'!$H$5:$H$554,$K309)))</f>
        <v/>
      </c>
      <c r="H309" s="7" t="str">
        <f aca="false">IF($K309="","",IF(INDEX('Prospect Tracker'!$K$5:$K$554,$K309)="","",INDEX('Prospect Tracker'!$K$5:$K$554,$K309)))</f>
        <v/>
      </c>
      <c r="I309" s="6" t="str">
        <f aca="false">IF($K309="","",IF(INDEX('Prospect Tracker'!$T$5:$T$554,$K309)="","",INDEX('Prospect Tracker'!$T$5:$T$554,$K309)))</f>
        <v/>
      </c>
      <c r="J309" s="6" t="str">
        <f aca="false">IF($K309="","",IF(INDEX('Prospect Tracker'!$L$5:$L$554,$K309)="","",INDEX('Prospect Tracker'!$L$5:$L$554,$K309)))</f>
        <v/>
      </c>
      <c r="K309" s="1" t="n">
        <f aca="false">IFERROR(MATCH(SMALL('Prospect Tracker'!$X$5:$X$554,ROW()-4),'Prospect Tracker'!$X$5:$X$554,0),"")</f>
        <v>305</v>
      </c>
    </row>
    <row r="310" customFormat="false" ht="15" hidden="false" customHeight="true" outlineLevel="0" collapsed="false">
      <c r="A310" s="11" t="str">
        <f aca="false">IF($K310="","",IF(INDEX('Prospect Tracker'!$W$5:$W$554,$K310)="","",INDEX('Prospect Tracker'!$W$5:$W$554,$K310)))</f>
        <v/>
      </c>
      <c r="B310" s="11" t="str">
        <f aca="false">IF($K310="","",IF(INDEX('Prospect Tracker'!$A$5:$A$554,$K310)="","",INDEX('Prospect Tracker'!$A$5:$A$554,$K310)))</f>
        <v/>
      </c>
      <c r="C310" s="11" t="str">
        <f aca="false">IF($K310="","",IF(INDEX('Prospect Tracker'!$B$5:$B$554,$K310)="","",INDEX('Prospect Tracker'!$B$5:$B$554,$K310)))</f>
        <v/>
      </c>
      <c r="D310" s="11" t="str">
        <f aca="false">IF($K310="","",IF(INDEX('Prospect Tracker'!$M$5:$M$554,$K310)="","",INDEX('Prospect Tracker'!$M$5:$M$554,$K310)))</f>
        <v/>
      </c>
      <c r="E310" s="11" t="str">
        <f aca="false">IF($K310="","",IF(INDEX('Prospect Tracker'!$R$5:$R$554,$K310)="","",INDEX('Prospect Tracker'!$R$5:$R$554,$K310)))</f>
        <v/>
      </c>
      <c r="F310" s="11" t="str">
        <f aca="false">IF($K310="","",IF(INDEX('Prospect Tracker'!$J$5:$J$554,$K310)="","",INDEX('Prospect Tracker'!$J$5:$J$554,$K310)))</f>
        <v/>
      </c>
      <c r="G310" s="11" t="str">
        <f aca="false">IF($K310="","",IF(INDEX('Prospect Tracker'!$H$5:$H$554,$K310)="","",INDEX('Prospect Tracker'!$H$5:$H$554,$K310)))</f>
        <v/>
      </c>
      <c r="H310" s="12" t="str">
        <f aca="false">IF($K310="","",IF(INDEX('Prospect Tracker'!$K$5:$K$554,$K310)="","",INDEX('Prospect Tracker'!$K$5:$K$554,$K310)))</f>
        <v/>
      </c>
      <c r="I310" s="11" t="str">
        <f aca="false">IF($K310="","",IF(INDEX('Prospect Tracker'!$T$5:$T$554,$K310)="","",INDEX('Prospect Tracker'!$T$5:$T$554,$K310)))</f>
        <v/>
      </c>
      <c r="J310" s="11" t="str">
        <f aca="false">IF($K310="","",IF(INDEX('Prospect Tracker'!$L$5:$L$554,$K310)="","",INDEX('Prospect Tracker'!$L$5:$L$554,$K310)))</f>
        <v/>
      </c>
      <c r="K310" s="1" t="n">
        <f aca="false">IFERROR(MATCH(SMALL('Prospect Tracker'!$X$5:$X$554,ROW()-4),'Prospect Tracker'!$X$5:$X$554,0),"")</f>
        <v>306</v>
      </c>
    </row>
    <row r="311" customFormat="false" ht="15" hidden="false" customHeight="true" outlineLevel="0" collapsed="false">
      <c r="A311" s="6" t="str">
        <f aca="false">IF($K311="","",IF(INDEX('Prospect Tracker'!$W$5:$W$554,$K311)="","",INDEX('Prospect Tracker'!$W$5:$W$554,$K311)))</f>
        <v/>
      </c>
      <c r="B311" s="6" t="str">
        <f aca="false">IF($K311="","",IF(INDEX('Prospect Tracker'!$A$5:$A$554,$K311)="","",INDEX('Prospect Tracker'!$A$5:$A$554,$K311)))</f>
        <v/>
      </c>
      <c r="C311" s="6" t="str">
        <f aca="false">IF($K311="","",IF(INDEX('Prospect Tracker'!$B$5:$B$554,$K311)="","",INDEX('Prospect Tracker'!$B$5:$B$554,$K311)))</f>
        <v/>
      </c>
      <c r="D311" s="6" t="str">
        <f aca="false">IF($K311="","",IF(INDEX('Prospect Tracker'!$M$5:$M$554,$K311)="","",INDEX('Prospect Tracker'!$M$5:$M$554,$K311)))</f>
        <v/>
      </c>
      <c r="E311" s="6" t="str">
        <f aca="false">IF($K311="","",IF(INDEX('Prospect Tracker'!$R$5:$R$554,$K311)="","",INDEX('Prospect Tracker'!$R$5:$R$554,$K311)))</f>
        <v/>
      </c>
      <c r="F311" s="6" t="str">
        <f aca="false">IF($K311="","",IF(INDEX('Prospect Tracker'!$J$5:$J$554,$K311)="","",INDEX('Prospect Tracker'!$J$5:$J$554,$K311)))</f>
        <v/>
      </c>
      <c r="G311" s="6" t="str">
        <f aca="false">IF($K311="","",IF(INDEX('Prospect Tracker'!$H$5:$H$554,$K311)="","",INDEX('Prospect Tracker'!$H$5:$H$554,$K311)))</f>
        <v/>
      </c>
      <c r="H311" s="7" t="str">
        <f aca="false">IF($K311="","",IF(INDEX('Prospect Tracker'!$K$5:$K$554,$K311)="","",INDEX('Prospect Tracker'!$K$5:$K$554,$K311)))</f>
        <v/>
      </c>
      <c r="I311" s="6" t="str">
        <f aca="false">IF($K311="","",IF(INDEX('Prospect Tracker'!$T$5:$T$554,$K311)="","",INDEX('Prospect Tracker'!$T$5:$T$554,$K311)))</f>
        <v/>
      </c>
      <c r="J311" s="6" t="str">
        <f aca="false">IF($K311="","",IF(INDEX('Prospect Tracker'!$L$5:$L$554,$K311)="","",INDEX('Prospect Tracker'!$L$5:$L$554,$K311)))</f>
        <v/>
      </c>
      <c r="K311" s="1" t="n">
        <f aca="false">IFERROR(MATCH(SMALL('Prospect Tracker'!$X$5:$X$554,ROW()-4),'Prospect Tracker'!$X$5:$X$554,0),"")</f>
        <v>307</v>
      </c>
    </row>
    <row r="312" customFormat="false" ht="15" hidden="false" customHeight="true" outlineLevel="0" collapsed="false">
      <c r="A312" s="11" t="str">
        <f aca="false">IF($K312="","",IF(INDEX('Prospect Tracker'!$W$5:$W$554,$K312)="","",INDEX('Prospect Tracker'!$W$5:$W$554,$K312)))</f>
        <v/>
      </c>
      <c r="B312" s="11" t="str">
        <f aca="false">IF($K312="","",IF(INDEX('Prospect Tracker'!$A$5:$A$554,$K312)="","",INDEX('Prospect Tracker'!$A$5:$A$554,$K312)))</f>
        <v/>
      </c>
      <c r="C312" s="11" t="str">
        <f aca="false">IF($K312="","",IF(INDEX('Prospect Tracker'!$B$5:$B$554,$K312)="","",INDEX('Prospect Tracker'!$B$5:$B$554,$K312)))</f>
        <v/>
      </c>
      <c r="D312" s="11" t="str">
        <f aca="false">IF($K312="","",IF(INDEX('Prospect Tracker'!$M$5:$M$554,$K312)="","",INDEX('Prospect Tracker'!$M$5:$M$554,$K312)))</f>
        <v/>
      </c>
      <c r="E312" s="11" t="str">
        <f aca="false">IF($K312="","",IF(INDEX('Prospect Tracker'!$R$5:$R$554,$K312)="","",INDEX('Prospect Tracker'!$R$5:$R$554,$K312)))</f>
        <v/>
      </c>
      <c r="F312" s="11" t="str">
        <f aca="false">IF($K312="","",IF(INDEX('Prospect Tracker'!$J$5:$J$554,$K312)="","",INDEX('Prospect Tracker'!$J$5:$J$554,$K312)))</f>
        <v/>
      </c>
      <c r="G312" s="11" t="str">
        <f aca="false">IF($K312="","",IF(INDEX('Prospect Tracker'!$H$5:$H$554,$K312)="","",INDEX('Prospect Tracker'!$H$5:$H$554,$K312)))</f>
        <v/>
      </c>
      <c r="H312" s="12" t="str">
        <f aca="false">IF($K312="","",IF(INDEX('Prospect Tracker'!$K$5:$K$554,$K312)="","",INDEX('Prospect Tracker'!$K$5:$K$554,$K312)))</f>
        <v/>
      </c>
      <c r="I312" s="11" t="str">
        <f aca="false">IF($K312="","",IF(INDEX('Prospect Tracker'!$T$5:$T$554,$K312)="","",INDEX('Prospect Tracker'!$T$5:$T$554,$K312)))</f>
        <v/>
      </c>
      <c r="J312" s="11" t="str">
        <f aca="false">IF($K312="","",IF(INDEX('Prospect Tracker'!$L$5:$L$554,$K312)="","",INDEX('Prospect Tracker'!$L$5:$L$554,$K312)))</f>
        <v/>
      </c>
      <c r="K312" s="1" t="n">
        <f aca="false">IFERROR(MATCH(SMALL('Prospect Tracker'!$X$5:$X$554,ROW()-4),'Prospect Tracker'!$X$5:$X$554,0),"")</f>
        <v>308</v>
      </c>
    </row>
    <row r="313" customFormat="false" ht="15" hidden="false" customHeight="true" outlineLevel="0" collapsed="false">
      <c r="A313" s="6" t="str">
        <f aca="false">IF($K313="","",IF(INDEX('Prospect Tracker'!$W$5:$W$554,$K313)="","",INDEX('Prospect Tracker'!$W$5:$W$554,$K313)))</f>
        <v/>
      </c>
      <c r="B313" s="6" t="str">
        <f aca="false">IF($K313="","",IF(INDEX('Prospect Tracker'!$A$5:$A$554,$K313)="","",INDEX('Prospect Tracker'!$A$5:$A$554,$K313)))</f>
        <v/>
      </c>
      <c r="C313" s="6" t="str">
        <f aca="false">IF($K313="","",IF(INDEX('Prospect Tracker'!$B$5:$B$554,$K313)="","",INDEX('Prospect Tracker'!$B$5:$B$554,$K313)))</f>
        <v/>
      </c>
      <c r="D313" s="6" t="str">
        <f aca="false">IF($K313="","",IF(INDEX('Prospect Tracker'!$M$5:$M$554,$K313)="","",INDEX('Prospect Tracker'!$M$5:$M$554,$K313)))</f>
        <v/>
      </c>
      <c r="E313" s="6" t="str">
        <f aca="false">IF($K313="","",IF(INDEX('Prospect Tracker'!$R$5:$R$554,$K313)="","",INDEX('Prospect Tracker'!$R$5:$R$554,$K313)))</f>
        <v/>
      </c>
      <c r="F313" s="6" t="str">
        <f aca="false">IF($K313="","",IF(INDEX('Prospect Tracker'!$J$5:$J$554,$K313)="","",INDEX('Prospect Tracker'!$J$5:$J$554,$K313)))</f>
        <v/>
      </c>
      <c r="G313" s="6" t="str">
        <f aca="false">IF($K313="","",IF(INDEX('Prospect Tracker'!$H$5:$H$554,$K313)="","",INDEX('Prospect Tracker'!$H$5:$H$554,$K313)))</f>
        <v/>
      </c>
      <c r="H313" s="7" t="str">
        <f aca="false">IF($K313="","",IF(INDEX('Prospect Tracker'!$K$5:$K$554,$K313)="","",INDEX('Prospect Tracker'!$K$5:$K$554,$K313)))</f>
        <v/>
      </c>
      <c r="I313" s="6" t="str">
        <f aca="false">IF($K313="","",IF(INDEX('Prospect Tracker'!$T$5:$T$554,$K313)="","",INDEX('Prospect Tracker'!$T$5:$T$554,$K313)))</f>
        <v/>
      </c>
      <c r="J313" s="6" t="str">
        <f aca="false">IF($K313="","",IF(INDEX('Prospect Tracker'!$L$5:$L$554,$K313)="","",INDEX('Prospect Tracker'!$L$5:$L$554,$K313)))</f>
        <v/>
      </c>
      <c r="K313" s="1" t="n">
        <f aca="false">IFERROR(MATCH(SMALL('Prospect Tracker'!$X$5:$X$554,ROW()-4),'Prospect Tracker'!$X$5:$X$554,0),"")</f>
        <v>309</v>
      </c>
    </row>
    <row r="314" customFormat="false" ht="15" hidden="false" customHeight="true" outlineLevel="0" collapsed="false">
      <c r="A314" s="11" t="str">
        <f aca="false">IF($K314="","",IF(INDEX('Prospect Tracker'!$W$5:$W$554,$K314)="","",INDEX('Prospect Tracker'!$W$5:$W$554,$K314)))</f>
        <v/>
      </c>
      <c r="B314" s="11" t="str">
        <f aca="false">IF($K314="","",IF(INDEX('Prospect Tracker'!$A$5:$A$554,$K314)="","",INDEX('Prospect Tracker'!$A$5:$A$554,$K314)))</f>
        <v/>
      </c>
      <c r="C314" s="11" t="str">
        <f aca="false">IF($K314="","",IF(INDEX('Prospect Tracker'!$B$5:$B$554,$K314)="","",INDEX('Prospect Tracker'!$B$5:$B$554,$K314)))</f>
        <v/>
      </c>
      <c r="D314" s="11" t="str">
        <f aca="false">IF($K314="","",IF(INDEX('Prospect Tracker'!$M$5:$M$554,$K314)="","",INDEX('Prospect Tracker'!$M$5:$M$554,$K314)))</f>
        <v/>
      </c>
      <c r="E314" s="11" t="str">
        <f aca="false">IF($K314="","",IF(INDEX('Prospect Tracker'!$R$5:$R$554,$K314)="","",INDEX('Prospect Tracker'!$R$5:$R$554,$K314)))</f>
        <v/>
      </c>
      <c r="F314" s="11" t="str">
        <f aca="false">IF($K314="","",IF(INDEX('Prospect Tracker'!$J$5:$J$554,$K314)="","",INDEX('Prospect Tracker'!$J$5:$J$554,$K314)))</f>
        <v/>
      </c>
      <c r="G314" s="11" t="str">
        <f aca="false">IF($K314="","",IF(INDEX('Prospect Tracker'!$H$5:$H$554,$K314)="","",INDEX('Prospect Tracker'!$H$5:$H$554,$K314)))</f>
        <v/>
      </c>
      <c r="H314" s="12" t="str">
        <f aca="false">IF($K314="","",IF(INDEX('Prospect Tracker'!$K$5:$K$554,$K314)="","",INDEX('Prospect Tracker'!$K$5:$K$554,$K314)))</f>
        <v/>
      </c>
      <c r="I314" s="11" t="str">
        <f aca="false">IF($K314="","",IF(INDEX('Prospect Tracker'!$T$5:$T$554,$K314)="","",INDEX('Prospect Tracker'!$T$5:$T$554,$K314)))</f>
        <v/>
      </c>
      <c r="J314" s="11" t="str">
        <f aca="false">IF($K314="","",IF(INDEX('Prospect Tracker'!$L$5:$L$554,$K314)="","",INDEX('Prospect Tracker'!$L$5:$L$554,$K314)))</f>
        <v/>
      </c>
      <c r="K314" s="1" t="n">
        <f aca="false">IFERROR(MATCH(SMALL('Prospect Tracker'!$X$5:$X$554,ROW()-4),'Prospect Tracker'!$X$5:$X$554,0),"")</f>
        <v>310</v>
      </c>
    </row>
    <row r="315" customFormat="false" ht="15" hidden="false" customHeight="true" outlineLevel="0" collapsed="false">
      <c r="A315" s="6" t="str">
        <f aca="false">IF($K315="","",IF(INDEX('Prospect Tracker'!$W$5:$W$554,$K315)="","",INDEX('Prospect Tracker'!$W$5:$W$554,$K315)))</f>
        <v/>
      </c>
      <c r="B315" s="6" t="str">
        <f aca="false">IF($K315="","",IF(INDEX('Prospect Tracker'!$A$5:$A$554,$K315)="","",INDEX('Prospect Tracker'!$A$5:$A$554,$K315)))</f>
        <v/>
      </c>
      <c r="C315" s="6" t="str">
        <f aca="false">IF($K315="","",IF(INDEX('Prospect Tracker'!$B$5:$B$554,$K315)="","",INDEX('Prospect Tracker'!$B$5:$B$554,$K315)))</f>
        <v/>
      </c>
      <c r="D315" s="6" t="str">
        <f aca="false">IF($K315="","",IF(INDEX('Prospect Tracker'!$M$5:$M$554,$K315)="","",INDEX('Prospect Tracker'!$M$5:$M$554,$K315)))</f>
        <v/>
      </c>
      <c r="E315" s="6" t="str">
        <f aca="false">IF($K315="","",IF(INDEX('Prospect Tracker'!$R$5:$R$554,$K315)="","",INDEX('Prospect Tracker'!$R$5:$R$554,$K315)))</f>
        <v/>
      </c>
      <c r="F315" s="6" t="str">
        <f aca="false">IF($K315="","",IF(INDEX('Prospect Tracker'!$J$5:$J$554,$K315)="","",INDEX('Prospect Tracker'!$J$5:$J$554,$K315)))</f>
        <v/>
      </c>
      <c r="G315" s="6" t="str">
        <f aca="false">IF($K315="","",IF(INDEX('Prospect Tracker'!$H$5:$H$554,$K315)="","",INDEX('Prospect Tracker'!$H$5:$H$554,$K315)))</f>
        <v/>
      </c>
      <c r="H315" s="7" t="str">
        <f aca="false">IF($K315="","",IF(INDEX('Prospect Tracker'!$K$5:$K$554,$K315)="","",INDEX('Prospect Tracker'!$K$5:$K$554,$K315)))</f>
        <v/>
      </c>
      <c r="I315" s="6" t="str">
        <f aca="false">IF($K315="","",IF(INDEX('Prospect Tracker'!$T$5:$T$554,$K315)="","",INDEX('Prospect Tracker'!$T$5:$T$554,$K315)))</f>
        <v/>
      </c>
      <c r="J315" s="6" t="str">
        <f aca="false">IF($K315="","",IF(INDEX('Prospect Tracker'!$L$5:$L$554,$K315)="","",INDEX('Prospect Tracker'!$L$5:$L$554,$K315)))</f>
        <v/>
      </c>
      <c r="K315" s="1" t="n">
        <f aca="false">IFERROR(MATCH(SMALL('Prospect Tracker'!$X$5:$X$554,ROW()-4),'Prospect Tracker'!$X$5:$X$554,0),"")</f>
        <v>311</v>
      </c>
    </row>
    <row r="316" customFormat="false" ht="15" hidden="false" customHeight="true" outlineLevel="0" collapsed="false">
      <c r="A316" s="11" t="str">
        <f aca="false">IF($K316="","",IF(INDEX('Prospect Tracker'!$W$5:$W$554,$K316)="","",INDEX('Prospect Tracker'!$W$5:$W$554,$K316)))</f>
        <v/>
      </c>
      <c r="B316" s="11" t="str">
        <f aca="false">IF($K316="","",IF(INDEX('Prospect Tracker'!$A$5:$A$554,$K316)="","",INDEX('Prospect Tracker'!$A$5:$A$554,$K316)))</f>
        <v/>
      </c>
      <c r="C316" s="11" t="str">
        <f aca="false">IF($K316="","",IF(INDEX('Prospect Tracker'!$B$5:$B$554,$K316)="","",INDEX('Prospect Tracker'!$B$5:$B$554,$K316)))</f>
        <v/>
      </c>
      <c r="D316" s="11" t="str">
        <f aca="false">IF($K316="","",IF(INDEX('Prospect Tracker'!$M$5:$M$554,$K316)="","",INDEX('Prospect Tracker'!$M$5:$M$554,$K316)))</f>
        <v/>
      </c>
      <c r="E316" s="11" t="str">
        <f aca="false">IF($K316="","",IF(INDEX('Prospect Tracker'!$R$5:$R$554,$K316)="","",INDEX('Prospect Tracker'!$R$5:$R$554,$K316)))</f>
        <v/>
      </c>
      <c r="F316" s="11" t="str">
        <f aca="false">IF($K316="","",IF(INDEX('Prospect Tracker'!$J$5:$J$554,$K316)="","",INDEX('Prospect Tracker'!$J$5:$J$554,$K316)))</f>
        <v/>
      </c>
      <c r="G316" s="11" t="str">
        <f aca="false">IF($K316="","",IF(INDEX('Prospect Tracker'!$H$5:$H$554,$K316)="","",INDEX('Prospect Tracker'!$H$5:$H$554,$K316)))</f>
        <v/>
      </c>
      <c r="H316" s="12" t="str">
        <f aca="false">IF($K316="","",IF(INDEX('Prospect Tracker'!$K$5:$K$554,$K316)="","",INDEX('Prospect Tracker'!$K$5:$K$554,$K316)))</f>
        <v/>
      </c>
      <c r="I316" s="11" t="str">
        <f aca="false">IF($K316="","",IF(INDEX('Prospect Tracker'!$T$5:$T$554,$K316)="","",INDEX('Prospect Tracker'!$T$5:$T$554,$K316)))</f>
        <v/>
      </c>
      <c r="J316" s="11" t="str">
        <f aca="false">IF($K316="","",IF(INDEX('Prospect Tracker'!$L$5:$L$554,$K316)="","",INDEX('Prospect Tracker'!$L$5:$L$554,$K316)))</f>
        <v/>
      </c>
      <c r="K316" s="1" t="n">
        <f aca="false">IFERROR(MATCH(SMALL('Prospect Tracker'!$X$5:$X$554,ROW()-4),'Prospect Tracker'!$X$5:$X$554,0),"")</f>
        <v>312</v>
      </c>
    </row>
    <row r="317" customFormat="false" ht="15" hidden="false" customHeight="true" outlineLevel="0" collapsed="false">
      <c r="A317" s="6" t="str">
        <f aca="false">IF($K317="","",IF(INDEX('Prospect Tracker'!$W$5:$W$554,$K317)="","",INDEX('Prospect Tracker'!$W$5:$W$554,$K317)))</f>
        <v/>
      </c>
      <c r="B317" s="6" t="str">
        <f aca="false">IF($K317="","",IF(INDEX('Prospect Tracker'!$A$5:$A$554,$K317)="","",INDEX('Prospect Tracker'!$A$5:$A$554,$K317)))</f>
        <v/>
      </c>
      <c r="C317" s="6" t="str">
        <f aca="false">IF($K317="","",IF(INDEX('Prospect Tracker'!$B$5:$B$554,$K317)="","",INDEX('Prospect Tracker'!$B$5:$B$554,$K317)))</f>
        <v/>
      </c>
      <c r="D317" s="6" t="str">
        <f aca="false">IF($K317="","",IF(INDEX('Prospect Tracker'!$M$5:$M$554,$K317)="","",INDEX('Prospect Tracker'!$M$5:$M$554,$K317)))</f>
        <v/>
      </c>
      <c r="E317" s="6" t="str">
        <f aca="false">IF($K317="","",IF(INDEX('Prospect Tracker'!$R$5:$R$554,$K317)="","",INDEX('Prospect Tracker'!$R$5:$R$554,$K317)))</f>
        <v/>
      </c>
      <c r="F317" s="6" t="str">
        <f aca="false">IF($K317="","",IF(INDEX('Prospect Tracker'!$J$5:$J$554,$K317)="","",INDEX('Prospect Tracker'!$J$5:$J$554,$K317)))</f>
        <v/>
      </c>
      <c r="G317" s="6" t="str">
        <f aca="false">IF($K317="","",IF(INDEX('Prospect Tracker'!$H$5:$H$554,$K317)="","",INDEX('Prospect Tracker'!$H$5:$H$554,$K317)))</f>
        <v/>
      </c>
      <c r="H317" s="7" t="str">
        <f aca="false">IF($K317="","",IF(INDEX('Prospect Tracker'!$K$5:$K$554,$K317)="","",INDEX('Prospect Tracker'!$K$5:$K$554,$K317)))</f>
        <v/>
      </c>
      <c r="I317" s="6" t="str">
        <f aca="false">IF($K317="","",IF(INDEX('Prospect Tracker'!$T$5:$T$554,$K317)="","",INDEX('Prospect Tracker'!$T$5:$T$554,$K317)))</f>
        <v/>
      </c>
      <c r="J317" s="6" t="str">
        <f aca="false">IF($K317="","",IF(INDEX('Prospect Tracker'!$L$5:$L$554,$K317)="","",INDEX('Prospect Tracker'!$L$5:$L$554,$K317)))</f>
        <v/>
      </c>
      <c r="K317" s="1" t="n">
        <f aca="false">IFERROR(MATCH(SMALL('Prospect Tracker'!$X$5:$X$554,ROW()-4),'Prospect Tracker'!$X$5:$X$554,0),"")</f>
        <v>313</v>
      </c>
    </row>
    <row r="318" customFormat="false" ht="15" hidden="false" customHeight="true" outlineLevel="0" collapsed="false">
      <c r="A318" s="11" t="str">
        <f aca="false">IF($K318="","",IF(INDEX('Prospect Tracker'!$W$5:$W$554,$K318)="","",INDEX('Prospect Tracker'!$W$5:$W$554,$K318)))</f>
        <v/>
      </c>
      <c r="B318" s="11" t="str">
        <f aca="false">IF($K318="","",IF(INDEX('Prospect Tracker'!$A$5:$A$554,$K318)="","",INDEX('Prospect Tracker'!$A$5:$A$554,$K318)))</f>
        <v/>
      </c>
      <c r="C318" s="11" t="str">
        <f aca="false">IF($K318="","",IF(INDEX('Prospect Tracker'!$B$5:$B$554,$K318)="","",INDEX('Prospect Tracker'!$B$5:$B$554,$K318)))</f>
        <v/>
      </c>
      <c r="D318" s="11" t="str">
        <f aca="false">IF($K318="","",IF(INDEX('Prospect Tracker'!$M$5:$M$554,$K318)="","",INDEX('Prospect Tracker'!$M$5:$M$554,$K318)))</f>
        <v/>
      </c>
      <c r="E318" s="11" t="str">
        <f aca="false">IF($K318="","",IF(INDEX('Prospect Tracker'!$R$5:$R$554,$K318)="","",INDEX('Prospect Tracker'!$R$5:$R$554,$K318)))</f>
        <v/>
      </c>
      <c r="F318" s="11" t="str">
        <f aca="false">IF($K318="","",IF(INDEX('Prospect Tracker'!$J$5:$J$554,$K318)="","",INDEX('Prospect Tracker'!$J$5:$J$554,$K318)))</f>
        <v/>
      </c>
      <c r="G318" s="11" t="str">
        <f aca="false">IF($K318="","",IF(INDEX('Prospect Tracker'!$H$5:$H$554,$K318)="","",INDEX('Prospect Tracker'!$H$5:$H$554,$K318)))</f>
        <v/>
      </c>
      <c r="H318" s="12" t="str">
        <f aca="false">IF($K318="","",IF(INDEX('Prospect Tracker'!$K$5:$K$554,$K318)="","",INDEX('Prospect Tracker'!$K$5:$K$554,$K318)))</f>
        <v/>
      </c>
      <c r="I318" s="11" t="str">
        <f aca="false">IF($K318="","",IF(INDEX('Prospect Tracker'!$T$5:$T$554,$K318)="","",INDEX('Prospect Tracker'!$T$5:$T$554,$K318)))</f>
        <v/>
      </c>
      <c r="J318" s="11" t="str">
        <f aca="false">IF($K318="","",IF(INDEX('Prospect Tracker'!$L$5:$L$554,$K318)="","",INDEX('Prospect Tracker'!$L$5:$L$554,$K318)))</f>
        <v/>
      </c>
      <c r="K318" s="1" t="n">
        <f aca="false">IFERROR(MATCH(SMALL('Prospect Tracker'!$X$5:$X$554,ROW()-4),'Prospect Tracker'!$X$5:$X$554,0),"")</f>
        <v>314</v>
      </c>
    </row>
    <row r="319" customFormat="false" ht="15" hidden="false" customHeight="true" outlineLevel="0" collapsed="false">
      <c r="A319" s="6" t="str">
        <f aca="false">IF($K319="","",IF(INDEX('Prospect Tracker'!$W$5:$W$554,$K319)="","",INDEX('Prospect Tracker'!$W$5:$W$554,$K319)))</f>
        <v/>
      </c>
      <c r="B319" s="6" t="str">
        <f aca="false">IF($K319="","",IF(INDEX('Prospect Tracker'!$A$5:$A$554,$K319)="","",INDEX('Prospect Tracker'!$A$5:$A$554,$K319)))</f>
        <v/>
      </c>
      <c r="C319" s="6" t="str">
        <f aca="false">IF($K319="","",IF(INDEX('Prospect Tracker'!$B$5:$B$554,$K319)="","",INDEX('Prospect Tracker'!$B$5:$B$554,$K319)))</f>
        <v/>
      </c>
      <c r="D319" s="6" t="str">
        <f aca="false">IF($K319="","",IF(INDEX('Prospect Tracker'!$M$5:$M$554,$K319)="","",INDEX('Prospect Tracker'!$M$5:$M$554,$K319)))</f>
        <v/>
      </c>
      <c r="E319" s="6" t="str">
        <f aca="false">IF($K319="","",IF(INDEX('Prospect Tracker'!$R$5:$R$554,$K319)="","",INDEX('Prospect Tracker'!$R$5:$R$554,$K319)))</f>
        <v/>
      </c>
      <c r="F319" s="6" t="str">
        <f aca="false">IF($K319="","",IF(INDEX('Prospect Tracker'!$J$5:$J$554,$K319)="","",INDEX('Prospect Tracker'!$J$5:$J$554,$K319)))</f>
        <v/>
      </c>
      <c r="G319" s="6" t="str">
        <f aca="false">IF($K319="","",IF(INDEX('Prospect Tracker'!$H$5:$H$554,$K319)="","",INDEX('Prospect Tracker'!$H$5:$H$554,$K319)))</f>
        <v/>
      </c>
      <c r="H319" s="7" t="str">
        <f aca="false">IF($K319="","",IF(INDEX('Prospect Tracker'!$K$5:$K$554,$K319)="","",INDEX('Prospect Tracker'!$K$5:$K$554,$K319)))</f>
        <v/>
      </c>
      <c r="I319" s="6" t="str">
        <f aca="false">IF($K319="","",IF(INDEX('Prospect Tracker'!$T$5:$T$554,$K319)="","",INDEX('Prospect Tracker'!$T$5:$T$554,$K319)))</f>
        <v/>
      </c>
      <c r="J319" s="6" t="str">
        <f aca="false">IF($K319="","",IF(INDEX('Prospect Tracker'!$L$5:$L$554,$K319)="","",INDEX('Prospect Tracker'!$L$5:$L$554,$K319)))</f>
        <v/>
      </c>
      <c r="K319" s="1" t="n">
        <f aca="false">IFERROR(MATCH(SMALL('Prospect Tracker'!$X$5:$X$554,ROW()-4),'Prospect Tracker'!$X$5:$X$554,0),"")</f>
        <v>315</v>
      </c>
    </row>
    <row r="320" customFormat="false" ht="15" hidden="false" customHeight="true" outlineLevel="0" collapsed="false">
      <c r="A320" s="11" t="str">
        <f aca="false">IF($K320="","",IF(INDEX('Prospect Tracker'!$W$5:$W$554,$K320)="","",INDEX('Prospect Tracker'!$W$5:$W$554,$K320)))</f>
        <v/>
      </c>
      <c r="B320" s="11" t="str">
        <f aca="false">IF($K320="","",IF(INDEX('Prospect Tracker'!$A$5:$A$554,$K320)="","",INDEX('Prospect Tracker'!$A$5:$A$554,$K320)))</f>
        <v/>
      </c>
      <c r="C320" s="11" t="str">
        <f aca="false">IF($K320="","",IF(INDEX('Prospect Tracker'!$B$5:$B$554,$K320)="","",INDEX('Prospect Tracker'!$B$5:$B$554,$K320)))</f>
        <v/>
      </c>
      <c r="D320" s="11" t="str">
        <f aca="false">IF($K320="","",IF(INDEX('Prospect Tracker'!$M$5:$M$554,$K320)="","",INDEX('Prospect Tracker'!$M$5:$M$554,$K320)))</f>
        <v/>
      </c>
      <c r="E320" s="11" t="str">
        <f aca="false">IF($K320="","",IF(INDEX('Prospect Tracker'!$R$5:$R$554,$K320)="","",INDEX('Prospect Tracker'!$R$5:$R$554,$K320)))</f>
        <v/>
      </c>
      <c r="F320" s="11" t="str">
        <f aca="false">IF($K320="","",IF(INDEX('Prospect Tracker'!$J$5:$J$554,$K320)="","",INDEX('Prospect Tracker'!$J$5:$J$554,$K320)))</f>
        <v/>
      </c>
      <c r="G320" s="11" t="str">
        <f aca="false">IF($K320="","",IF(INDEX('Prospect Tracker'!$H$5:$H$554,$K320)="","",INDEX('Prospect Tracker'!$H$5:$H$554,$K320)))</f>
        <v/>
      </c>
      <c r="H320" s="12" t="str">
        <f aca="false">IF($K320="","",IF(INDEX('Prospect Tracker'!$K$5:$K$554,$K320)="","",INDEX('Prospect Tracker'!$K$5:$K$554,$K320)))</f>
        <v/>
      </c>
      <c r="I320" s="11" t="str">
        <f aca="false">IF($K320="","",IF(INDEX('Prospect Tracker'!$T$5:$T$554,$K320)="","",INDEX('Prospect Tracker'!$T$5:$T$554,$K320)))</f>
        <v/>
      </c>
      <c r="J320" s="11" t="str">
        <f aca="false">IF($K320="","",IF(INDEX('Prospect Tracker'!$L$5:$L$554,$K320)="","",INDEX('Prospect Tracker'!$L$5:$L$554,$K320)))</f>
        <v/>
      </c>
      <c r="K320" s="1" t="n">
        <f aca="false">IFERROR(MATCH(SMALL('Prospect Tracker'!$X$5:$X$554,ROW()-4),'Prospect Tracker'!$X$5:$X$554,0),"")</f>
        <v>316</v>
      </c>
    </row>
    <row r="321" customFormat="false" ht="15" hidden="false" customHeight="true" outlineLevel="0" collapsed="false">
      <c r="A321" s="6" t="str">
        <f aca="false">IF($K321="","",IF(INDEX('Prospect Tracker'!$W$5:$W$554,$K321)="","",INDEX('Prospect Tracker'!$W$5:$W$554,$K321)))</f>
        <v/>
      </c>
      <c r="B321" s="6" t="str">
        <f aca="false">IF($K321="","",IF(INDEX('Prospect Tracker'!$A$5:$A$554,$K321)="","",INDEX('Prospect Tracker'!$A$5:$A$554,$K321)))</f>
        <v/>
      </c>
      <c r="C321" s="6" t="str">
        <f aca="false">IF($K321="","",IF(INDEX('Prospect Tracker'!$B$5:$B$554,$K321)="","",INDEX('Prospect Tracker'!$B$5:$B$554,$K321)))</f>
        <v/>
      </c>
      <c r="D321" s="6" t="str">
        <f aca="false">IF($K321="","",IF(INDEX('Prospect Tracker'!$M$5:$M$554,$K321)="","",INDEX('Prospect Tracker'!$M$5:$M$554,$K321)))</f>
        <v/>
      </c>
      <c r="E321" s="6" t="str">
        <f aca="false">IF($K321="","",IF(INDEX('Prospect Tracker'!$R$5:$R$554,$K321)="","",INDEX('Prospect Tracker'!$R$5:$R$554,$K321)))</f>
        <v/>
      </c>
      <c r="F321" s="6" t="str">
        <f aca="false">IF($K321="","",IF(INDEX('Prospect Tracker'!$J$5:$J$554,$K321)="","",INDEX('Prospect Tracker'!$J$5:$J$554,$K321)))</f>
        <v/>
      </c>
      <c r="G321" s="6" t="str">
        <f aca="false">IF($K321="","",IF(INDEX('Prospect Tracker'!$H$5:$H$554,$K321)="","",INDEX('Prospect Tracker'!$H$5:$H$554,$K321)))</f>
        <v/>
      </c>
      <c r="H321" s="7" t="str">
        <f aca="false">IF($K321="","",IF(INDEX('Prospect Tracker'!$K$5:$K$554,$K321)="","",INDEX('Prospect Tracker'!$K$5:$K$554,$K321)))</f>
        <v/>
      </c>
      <c r="I321" s="6" t="str">
        <f aca="false">IF($K321="","",IF(INDEX('Prospect Tracker'!$T$5:$T$554,$K321)="","",INDEX('Prospect Tracker'!$T$5:$T$554,$K321)))</f>
        <v/>
      </c>
      <c r="J321" s="6" t="str">
        <f aca="false">IF($K321="","",IF(INDEX('Prospect Tracker'!$L$5:$L$554,$K321)="","",INDEX('Prospect Tracker'!$L$5:$L$554,$K321)))</f>
        <v/>
      </c>
      <c r="K321" s="1" t="n">
        <f aca="false">IFERROR(MATCH(SMALL('Prospect Tracker'!$X$5:$X$554,ROW()-4),'Prospect Tracker'!$X$5:$X$554,0),"")</f>
        <v>317</v>
      </c>
    </row>
    <row r="322" customFormat="false" ht="15" hidden="false" customHeight="true" outlineLevel="0" collapsed="false">
      <c r="A322" s="11" t="str">
        <f aca="false">IF($K322="","",IF(INDEX('Prospect Tracker'!$W$5:$W$554,$K322)="","",INDEX('Prospect Tracker'!$W$5:$W$554,$K322)))</f>
        <v/>
      </c>
      <c r="B322" s="11" t="str">
        <f aca="false">IF($K322="","",IF(INDEX('Prospect Tracker'!$A$5:$A$554,$K322)="","",INDEX('Prospect Tracker'!$A$5:$A$554,$K322)))</f>
        <v/>
      </c>
      <c r="C322" s="11" t="str">
        <f aca="false">IF($K322="","",IF(INDEX('Prospect Tracker'!$B$5:$B$554,$K322)="","",INDEX('Prospect Tracker'!$B$5:$B$554,$K322)))</f>
        <v/>
      </c>
      <c r="D322" s="11" t="str">
        <f aca="false">IF($K322="","",IF(INDEX('Prospect Tracker'!$M$5:$M$554,$K322)="","",INDEX('Prospect Tracker'!$M$5:$M$554,$K322)))</f>
        <v/>
      </c>
      <c r="E322" s="11" t="str">
        <f aca="false">IF($K322="","",IF(INDEX('Prospect Tracker'!$R$5:$R$554,$K322)="","",INDEX('Prospect Tracker'!$R$5:$R$554,$K322)))</f>
        <v/>
      </c>
      <c r="F322" s="11" t="str">
        <f aca="false">IF($K322="","",IF(INDEX('Prospect Tracker'!$J$5:$J$554,$K322)="","",INDEX('Prospect Tracker'!$J$5:$J$554,$K322)))</f>
        <v/>
      </c>
      <c r="G322" s="11" t="str">
        <f aca="false">IF($K322="","",IF(INDEX('Prospect Tracker'!$H$5:$H$554,$K322)="","",INDEX('Prospect Tracker'!$H$5:$H$554,$K322)))</f>
        <v/>
      </c>
      <c r="H322" s="12" t="str">
        <f aca="false">IF($K322="","",IF(INDEX('Prospect Tracker'!$K$5:$K$554,$K322)="","",INDEX('Prospect Tracker'!$K$5:$K$554,$K322)))</f>
        <v/>
      </c>
      <c r="I322" s="11" t="str">
        <f aca="false">IF($K322="","",IF(INDEX('Prospect Tracker'!$T$5:$T$554,$K322)="","",INDEX('Prospect Tracker'!$T$5:$T$554,$K322)))</f>
        <v/>
      </c>
      <c r="J322" s="11" t="str">
        <f aca="false">IF($K322="","",IF(INDEX('Prospect Tracker'!$L$5:$L$554,$K322)="","",INDEX('Prospect Tracker'!$L$5:$L$554,$K322)))</f>
        <v/>
      </c>
      <c r="K322" s="1" t="n">
        <f aca="false">IFERROR(MATCH(SMALL('Prospect Tracker'!$X$5:$X$554,ROW()-4),'Prospect Tracker'!$X$5:$X$554,0),"")</f>
        <v>318</v>
      </c>
    </row>
    <row r="323" customFormat="false" ht="15" hidden="false" customHeight="true" outlineLevel="0" collapsed="false">
      <c r="A323" s="6" t="str">
        <f aca="false">IF($K323="","",IF(INDEX('Prospect Tracker'!$W$5:$W$554,$K323)="","",INDEX('Prospect Tracker'!$W$5:$W$554,$K323)))</f>
        <v/>
      </c>
      <c r="B323" s="6" t="str">
        <f aca="false">IF($K323="","",IF(INDEX('Prospect Tracker'!$A$5:$A$554,$K323)="","",INDEX('Prospect Tracker'!$A$5:$A$554,$K323)))</f>
        <v/>
      </c>
      <c r="C323" s="6" t="str">
        <f aca="false">IF($K323="","",IF(INDEX('Prospect Tracker'!$B$5:$B$554,$K323)="","",INDEX('Prospect Tracker'!$B$5:$B$554,$K323)))</f>
        <v/>
      </c>
      <c r="D323" s="6" t="str">
        <f aca="false">IF($K323="","",IF(INDEX('Prospect Tracker'!$M$5:$M$554,$K323)="","",INDEX('Prospect Tracker'!$M$5:$M$554,$K323)))</f>
        <v/>
      </c>
      <c r="E323" s="6" t="str">
        <f aca="false">IF($K323="","",IF(INDEX('Prospect Tracker'!$R$5:$R$554,$K323)="","",INDEX('Prospect Tracker'!$R$5:$R$554,$K323)))</f>
        <v/>
      </c>
      <c r="F323" s="6" t="str">
        <f aca="false">IF($K323="","",IF(INDEX('Prospect Tracker'!$J$5:$J$554,$K323)="","",INDEX('Prospect Tracker'!$J$5:$J$554,$K323)))</f>
        <v/>
      </c>
      <c r="G323" s="6" t="str">
        <f aca="false">IF($K323="","",IF(INDEX('Prospect Tracker'!$H$5:$H$554,$K323)="","",INDEX('Prospect Tracker'!$H$5:$H$554,$K323)))</f>
        <v/>
      </c>
      <c r="H323" s="7" t="str">
        <f aca="false">IF($K323="","",IF(INDEX('Prospect Tracker'!$K$5:$K$554,$K323)="","",INDEX('Prospect Tracker'!$K$5:$K$554,$K323)))</f>
        <v/>
      </c>
      <c r="I323" s="6" t="str">
        <f aca="false">IF($K323="","",IF(INDEX('Prospect Tracker'!$T$5:$T$554,$K323)="","",INDEX('Prospect Tracker'!$T$5:$T$554,$K323)))</f>
        <v/>
      </c>
      <c r="J323" s="6" t="str">
        <f aca="false">IF($K323="","",IF(INDEX('Prospect Tracker'!$L$5:$L$554,$K323)="","",INDEX('Prospect Tracker'!$L$5:$L$554,$K323)))</f>
        <v/>
      </c>
      <c r="K323" s="1" t="n">
        <f aca="false">IFERROR(MATCH(SMALL('Prospect Tracker'!$X$5:$X$554,ROW()-4),'Prospect Tracker'!$X$5:$X$554,0),"")</f>
        <v>319</v>
      </c>
    </row>
    <row r="324" customFormat="false" ht="15" hidden="false" customHeight="true" outlineLevel="0" collapsed="false">
      <c r="A324" s="11" t="str">
        <f aca="false">IF($K324="","",IF(INDEX('Prospect Tracker'!$W$5:$W$554,$K324)="","",INDEX('Prospect Tracker'!$W$5:$W$554,$K324)))</f>
        <v/>
      </c>
      <c r="B324" s="11" t="str">
        <f aca="false">IF($K324="","",IF(INDEX('Prospect Tracker'!$A$5:$A$554,$K324)="","",INDEX('Prospect Tracker'!$A$5:$A$554,$K324)))</f>
        <v/>
      </c>
      <c r="C324" s="11" t="str">
        <f aca="false">IF($K324="","",IF(INDEX('Prospect Tracker'!$B$5:$B$554,$K324)="","",INDEX('Prospect Tracker'!$B$5:$B$554,$K324)))</f>
        <v/>
      </c>
      <c r="D324" s="11" t="str">
        <f aca="false">IF($K324="","",IF(INDEX('Prospect Tracker'!$M$5:$M$554,$K324)="","",INDEX('Prospect Tracker'!$M$5:$M$554,$K324)))</f>
        <v/>
      </c>
      <c r="E324" s="11" t="str">
        <f aca="false">IF($K324="","",IF(INDEX('Prospect Tracker'!$R$5:$R$554,$K324)="","",INDEX('Prospect Tracker'!$R$5:$R$554,$K324)))</f>
        <v/>
      </c>
      <c r="F324" s="11" t="str">
        <f aca="false">IF($K324="","",IF(INDEX('Prospect Tracker'!$J$5:$J$554,$K324)="","",INDEX('Prospect Tracker'!$J$5:$J$554,$K324)))</f>
        <v/>
      </c>
      <c r="G324" s="11" t="str">
        <f aca="false">IF($K324="","",IF(INDEX('Prospect Tracker'!$H$5:$H$554,$K324)="","",INDEX('Prospect Tracker'!$H$5:$H$554,$K324)))</f>
        <v/>
      </c>
      <c r="H324" s="12" t="str">
        <f aca="false">IF($K324="","",IF(INDEX('Prospect Tracker'!$K$5:$K$554,$K324)="","",INDEX('Prospect Tracker'!$K$5:$K$554,$K324)))</f>
        <v/>
      </c>
      <c r="I324" s="11" t="str">
        <f aca="false">IF($K324="","",IF(INDEX('Prospect Tracker'!$T$5:$T$554,$K324)="","",INDEX('Prospect Tracker'!$T$5:$T$554,$K324)))</f>
        <v/>
      </c>
      <c r="J324" s="11" t="str">
        <f aca="false">IF($K324="","",IF(INDEX('Prospect Tracker'!$L$5:$L$554,$K324)="","",INDEX('Prospect Tracker'!$L$5:$L$554,$K324)))</f>
        <v/>
      </c>
      <c r="K324" s="1" t="n">
        <f aca="false">IFERROR(MATCH(SMALL('Prospect Tracker'!$X$5:$X$554,ROW()-4),'Prospect Tracker'!$X$5:$X$554,0),"")</f>
        <v>320</v>
      </c>
    </row>
    <row r="325" customFormat="false" ht="15" hidden="false" customHeight="true" outlineLevel="0" collapsed="false">
      <c r="A325" s="6" t="str">
        <f aca="false">IF($K325="","",IF(INDEX('Prospect Tracker'!$W$5:$W$554,$K325)="","",INDEX('Prospect Tracker'!$W$5:$W$554,$K325)))</f>
        <v/>
      </c>
      <c r="B325" s="6" t="str">
        <f aca="false">IF($K325="","",IF(INDEX('Prospect Tracker'!$A$5:$A$554,$K325)="","",INDEX('Prospect Tracker'!$A$5:$A$554,$K325)))</f>
        <v/>
      </c>
      <c r="C325" s="6" t="str">
        <f aca="false">IF($K325="","",IF(INDEX('Prospect Tracker'!$B$5:$B$554,$K325)="","",INDEX('Prospect Tracker'!$B$5:$B$554,$K325)))</f>
        <v/>
      </c>
      <c r="D325" s="6" t="str">
        <f aca="false">IF($K325="","",IF(INDEX('Prospect Tracker'!$M$5:$M$554,$K325)="","",INDEX('Prospect Tracker'!$M$5:$M$554,$K325)))</f>
        <v/>
      </c>
      <c r="E325" s="6" t="str">
        <f aca="false">IF($K325="","",IF(INDEX('Prospect Tracker'!$R$5:$R$554,$K325)="","",INDEX('Prospect Tracker'!$R$5:$R$554,$K325)))</f>
        <v/>
      </c>
      <c r="F325" s="6" t="str">
        <f aca="false">IF($K325="","",IF(INDEX('Prospect Tracker'!$J$5:$J$554,$K325)="","",INDEX('Prospect Tracker'!$J$5:$J$554,$K325)))</f>
        <v/>
      </c>
      <c r="G325" s="6" t="str">
        <f aca="false">IF($K325="","",IF(INDEX('Prospect Tracker'!$H$5:$H$554,$K325)="","",INDEX('Prospect Tracker'!$H$5:$H$554,$K325)))</f>
        <v/>
      </c>
      <c r="H325" s="7" t="str">
        <f aca="false">IF($K325="","",IF(INDEX('Prospect Tracker'!$K$5:$K$554,$K325)="","",INDEX('Prospect Tracker'!$K$5:$K$554,$K325)))</f>
        <v/>
      </c>
      <c r="I325" s="6" t="str">
        <f aca="false">IF($K325="","",IF(INDEX('Prospect Tracker'!$T$5:$T$554,$K325)="","",INDEX('Prospect Tracker'!$T$5:$T$554,$K325)))</f>
        <v/>
      </c>
      <c r="J325" s="6" t="str">
        <f aca="false">IF($K325="","",IF(INDEX('Prospect Tracker'!$L$5:$L$554,$K325)="","",INDEX('Prospect Tracker'!$L$5:$L$554,$K325)))</f>
        <v/>
      </c>
      <c r="K325" s="1" t="n">
        <f aca="false">IFERROR(MATCH(SMALL('Prospect Tracker'!$X$5:$X$554,ROW()-4),'Prospect Tracker'!$X$5:$X$554,0),"")</f>
        <v>321</v>
      </c>
    </row>
    <row r="326" customFormat="false" ht="15" hidden="false" customHeight="true" outlineLevel="0" collapsed="false">
      <c r="A326" s="11" t="str">
        <f aca="false">IF($K326="","",IF(INDEX('Prospect Tracker'!$W$5:$W$554,$K326)="","",INDEX('Prospect Tracker'!$W$5:$W$554,$K326)))</f>
        <v/>
      </c>
      <c r="B326" s="11" t="str">
        <f aca="false">IF($K326="","",IF(INDEX('Prospect Tracker'!$A$5:$A$554,$K326)="","",INDEX('Prospect Tracker'!$A$5:$A$554,$K326)))</f>
        <v/>
      </c>
      <c r="C326" s="11" t="str">
        <f aca="false">IF($K326="","",IF(INDEX('Prospect Tracker'!$B$5:$B$554,$K326)="","",INDEX('Prospect Tracker'!$B$5:$B$554,$K326)))</f>
        <v/>
      </c>
      <c r="D326" s="11" t="str">
        <f aca="false">IF($K326="","",IF(INDEX('Prospect Tracker'!$M$5:$M$554,$K326)="","",INDEX('Prospect Tracker'!$M$5:$M$554,$K326)))</f>
        <v/>
      </c>
      <c r="E326" s="11" t="str">
        <f aca="false">IF($K326="","",IF(INDEX('Prospect Tracker'!$R$5:$R$554,$K326)="","",INDEX('Prospect Tracker'!$R$5:$R$554,$K326)))</f>
        <v/>
      </c>
      <c r="F326" s="11" t="str">
        <f aca="false">IF($K326="","",IF(INDEX('Prospect Tracker'!$J$5:$J$554,$K326)="","",INDEX('Prospect Tracker'!$J$5:$J$554,$K326)))</f>
        <v/>
      </c>
      <c r="G326" s="11" t="str">
        <f aca="false">IF($K326="","",IF(INDEX('Prospect Tracker'!$H$5:$H$554,$K326)="","",INDEX('Prospect Tracker'!$H$5:$H$554,$K326)))</f>
        <v/>
      </c>
      <c r="H326" s="12" t="str">
        <f aca="false">IF($K326="","",IF(INDEX('Prospect Tracker'!$K$5:$K$554,$K326)="","",INDEX('Prospect Tracker'!$K$5:$K$554,$K326)))</f>
        <v/>
      </c>
      <c r="I326" s="11" t="str">
        <f aca="false">IF($K326="","",IF(INDEX('Prospect Tracker'!$T$5:$T$554,$K326)="","",INDEX('Prospect Tracker'!$T$5:$T$554,$K326)))</f>
        <v/>
      </c>
      <c r="J326" s="11" t="str">
        <f aca="false">IF($K326="","",IF(INDEX('Prospect Tracker'!$L$5:$L$554,$K326)="","",INDEX('Prospect Tracker'!$L$5:$L$554,$K326)))</f>
        <v/>
      </c>
      <c r="K326" s="1" t="n">
        <f aca="false">IFERROR(MATCH(SMALL('Prospect Tracker'!$X$5:$X$554,ROW()-4),'Prospect Tracker'!$X$5:$X$554,0),"")</f>
        <v>322</v>
      </c>
    </row>
    <row r="327" customFormat="false" ht="15" hidden="false" customHeight="true" outlineLevel="0" collapsed="false">
      <c r="A327" s="6" t="str">
        <f aca="false">IF($K327="","",IF(INDEX('Prospect Tracker'!$W$5:$W$554,$K327)="","",INDEX('Prospect Tracker'!$W$5:$W$554,$K327)))</f>
        <v/>
      </c>
      <c r="B327" s="6" t="str">
        <f aca="false">IF($K327="","",IF(INDEX('Prospect Tracker'!$A$5:$A$554,$K327)="","",INDEX('Prospect Tracker'!$A$5:$A$554,$K327)))</f>
        <v/>
      </c>
      <c r="C327" s="6" t="str">
        <f aca="false">IF($K327="","",IF(INDEX('Prospect Tracker'!$B$5:$B$554,$K327)="","",INDEX('Prospect Tracker'!$B$5:$B$554,$K327)))</f>
        <v/>
      </c>
      <c r="D327" s="6" t="str">
        <f aca="false">IF($K327="","",IF(INDEX('Prospect Tracker'!$M$5:$M$554,$K327)="","",INDEX('Prospect Tracker'!$M$5:$M$554,$K327)))</f>
        <v/>
      </c>
      <c r="E327" s="6" t="str">
        <f aca="false">IF($K327="","",IF(INDEX('Prospect Tracker'!$R$5:$R$554,$K327)="","",INDEX('Prospect Tracker'!$R$5:$R$554,$K327)))</f>
        <v/>
      </c>
      <c r="F327" s="6" t="str">
        <f aca="false">IF($K327="","",IF(INDEX('Prospect Tracker'!$J$5:$J$554,$K327)="","",INDEX('Prospect Tracker'!$J$5:$J$554,$K327)))</f>
        <v/>
      </c>
      <c r="G327" s="6" t="str">
        <f aca="false">IF($K327="","",IF(INDEX('Prospect Tracker'!$H$5:$H$554,$K327)="","",INDEX('Prospect Tracker'!$H$5:$H$554,$K327)))</f>
        <v/>
      </c>
      <c r="H327" s="7" t="str">
        <f aca="false">IF($K327="","",IF(INDEX('Prospect Tracker'!$K$5:$K$554,$K327)="","",INDEX('Prospect Tracker'!$K$5:$K$554,$K327)))</f>
        <v/>
      </c>
      <c r="I327" s="6" t="str">
        <f aca="false">IF($K327="","",IF(INDEX('Prospect Tracker'!$T$5:$T$554,$K327)="","",INDEX('Prospect Tracker'!$T$5:$T$554,$K327)))</f>
        <v/>
      </c>
      <c r="J327" s="6" t="str">
        <f aca="false">IF($K327="","",IF(INDEX('Prospect Tracker'!$L$5:$L$554,$K327)="","",INDEX('Prospect Tracker'!$L$5:$L$554,$K327)))</f>
        <v/>
      </c>
      <c r="K327" s="1" t="n">
        <f aca="false">IFERROR(MATCH(SMALL('Prospect Tracker'!$X$5:$X$554,ROW()-4),'Prospect Tracker'!$X$5:$X$554,0),"")</f>
        <v>323</v>
      </c>
    </row>
    <row r="328" customFormat="false" ht="15" hidden="false" customHeight="true" outlineLevel="0" collapsed="false">
      <c r="A328" s="11" t="str">
        <f aca="false">IF($K328="","",IF(INDEX('Prospect Tracker'!$W$5:$W$554,$K328)="","",INDEX('Prospect Tracker'!$W$5:$W$554,$K328)))</f>
        <v/>
      </c>
      <c r="B328" s="11" t="str">
        <f aca="false">IF($K328="","",IF(INDEX('Prospect Tracker'!$A$5:$A$554,$K328)="","",INDEX('Prospect Tracker'!$A$5:$A$554,$K328)))</f>
        <v/>
      </c>
      <c r="C328" s="11" t="str">
        <f aca="false">IF($K328="","",IF(INDEX('Prospect Tracker'!$B$5:$B$554,$K328)="","",INDEX('Prospect Tracker'!$B$5:$B$554,$K328)))</f>
        <v/>
      </c>
      <c r="D328" s="11" t="str">
        <f aca="false">IF($K328="","",IF(INDEX('Prospect Tracker'!$M$5:$M$554,$K328)="","",INDEX('Prospect Tracker'!$M$5:$M$554,$K328)))</f>
        <v/>
      </c>
      <c r="E328" s="11" t="str">
        <f aca="false">IF($K328="","",IF(INDEX('Prospect Tracker'!$R$5:$R$554,$K328)="","",INDEX('Prospect Tracker'!$R$5:$R$554,$K328)))</f>
        <v/>
      </c>
      <c r="F328" s="11" t="str">
        <f aca="false">IF($K328="","",IF(INDEX('Prospect Tracker'!$J$5:$J$554,$K328)="","",INDEX('Prospect Tracker'!$J$5:$J$554,$K328)))</f>
        <v/>
      </c>
      <c r="G328" s="11" t="str">
        <f aca="false">IF($K328="","",IF(INDEX('Prospect Tracker'!$H$5:$H$554,$K328)="","",INDEX('Prospect Tracker'!$H$5:$H$554,$K328)))</f>
        <v/>
      </c>
      <c r="H328" s="12" t="str">
        <f aca="false">IF($K328="","",IF(INDEX('Prospect Tracker'!$K$5:$K$554,$K328)="","",INDEX('Prospect Tracker'!$K$5:$K$554,$K328)))</f>
        <v/>
      </c>
      <c r="I328" s="11" t="str">
        <f aca="false">IF($K328="","",IF(INDEX('Prospect Tracker'!$T$5:$T$554,$K328)="","",INDEX('Prospect Tracker'!$T$5:$T$554,$K328)))</f>
        <v/>
      </c>
      <c r="J328" s="11" t="str">
        <f aca="false">IF($K328="","",IF(INDEX('Prospect Tracker'!$L$5:$L$554,$K328)="","",INDEX('Prospect Tracker'!$L$5:$L$554,$K328)))</f>
        <v/>
      </c>
      <c r="K328" s="1" t="n">
        <f aca="false">IFERROR(MATCH(SMALL('Prospect Tracker'!$X$5:$X$554,ROW()-4),'Prospect Tracker'!$X$5:$X$554,0),"")</f>
        <v>324</v>
      </c>
    </row>
    <row r="329" customFormat="false" ht="15" hidden="false" customHeight="true" outlineLevel="0" collapsed="false">
      <c r="A329" s="6" t="str">
        <f aca="false">IF($K329="","",IF(INDEX('Prospect Tracker'!$W$5:$W$554,$K329)="","",INDEX('Prospect Tracker'!$W$5:$W$554,$K329)))</f>
        <v/>
      </c>
      <c r="B329" s="6" t="str">
        <f aca="false">IF($K329="","",IF(INDEX('Prospect Tracker'!$A$5:$A$554,$K329)="","",INDEX('Prospect Tracker'!$A$5:$A$554,$K329)))</f>
        <v/>
      </c>
      <c r="C329" s="6" t="str">
        <f aca="false">IF($K329="","",IF(INDEX('Prospect Tracker'!$B$5:$B$554,$K329)="","",INDEX('Prospect Tracker'!$B$5:$B$554,$K329)))</f>
        <v/>
      </c>
      <c r="D329" s="6" t="str">
        <f aca="false">IF($K329="","",IF(INDEX('Prospect Tracker'!$M$5:$M$554,$K329)="","",INDEX('Prospect Tracker'!$M$5:$M$554,$K329)))</f>
        <v/>
      </c>
      <c r="E329" s="6" t="str">
        <f aca="false">IF($K329="","",IF(INDEX('Prospect Tracker'!$R$5:$R$554,$K329)="","",INDEX('Prospect Tracker'!$R$5:$R$554,$K329)))</f>
        <v/>
      </c>
      <c r="F329" s="6" t="str">
        <f aca="false">IF($K329="","",IF(INDEX('Prospect Tracker'!$J$5:$J$554,$K329)="","",INDEX('Prospect Tracker'!$J$5:$J$554,$K329)))</f>
        <v/>
      </c>
      <c r="G329" s="6" t="str">
        <f aca="false">IF($K329="","",IF(INDEX('Prospect Tracker'!$H$5:$H$554,$K329)="","",INDEX('Prospect Tracker'!$H$5:$H$554,$K329)))</f>
        <v/>
      </c>
      <c r="H329" s="7" t="str">
        <f aca="false">IF($K329="","",IF(INDEX('Prospect Tracker'!$K$5:$K$554,$K329)="","",INDEX('Prospect Tracker'!$K$5:$K$554,$K329)))</f>
        <v/>
      </c>
      <c r="I329" s="6" t="str">
        <f aca="false">IF($K329="","",IF(INDEX('Prospect Tracker'!$T$5:$T$554,$K329)="","",INDEX('Prospect Tracker'!$T$5:$T$554,$K329)))</f>
        <v/>
      </c>
      <c r="J329" s="6" t="str">
        <f aca="false">IF($K329="","",IF(INDEX('Prospect Tracker'!$L$5:$L$554,$K329)="","",INDEX('Prospect Tracker'!$L$5:$L$554,$K329)))</f>
        <v/>
      </c>
      <c r="K329" s="1" t="n">
        <f aca="false">IFERROR(MATCH(SMALL('Prospect Tracker'!$X$5:$X$554,ROW()-4),'Prospect Tracker'!$X$5:$X$554,0),"")</f>
        <v>325</v>
      </c>
    </row>
    <row r="330" customFormat="false" ht="15" hidden="false" customHeight="true" outlineLevel="0" collapsed="false">
      <c r="A330" s="11" t="str">
        <f aca="false">IF($K330="","",IF(INDEX('Prospect Tracker'!$W$5:$W$554,$K330)="","",INDEX('Prospect Tracker'!$W$5:$W$554,$K330)))</f>
        <v/>
      </c>
      <c r="B330" s="11" t="str">
        <f aca="false">IF($K330="","",IF(INDEX('Prospect Tracker'!$A$5:$A$554,$K330)="","",INDEX('Prospect Tracker'!$A$5:$A$554,$K330)))</f>
        <v/>
      </c>
      <c r="C330" s="11" t="str">
        <f aca="false">IF($K330="","",IF(INDEX('Prospect Tracker'!$B$5:$B$554,$K330)="","",INDEX('Prospect Tracker'!$B$5:$B$554,$K330)))</f>
        <v/>
      </c>
      <c r="D330" s="11" t="str">
        <f aca="false">IF($K330="","",IF(INDEX('Prospect Tracker'!$M$5:$M$554,$K330)="","",INDEX('Prospect Tracker'!$M$5:$M$554,$K330)))</f>
        <v/>
      </c>
      <c r="E330" s="11" t="str">
        <f aca="false">IF($K330="","",IF(INDEX('Prospect Tracker'!$R$5:$R$554,$K330)="","",INDEX('Prospect Tracker'!$R$5:$R$554,$K330)))</f>
        <v/>
      </c>
      <c r="F330" s="11" t="str">
        <f aca="false">IF($K330="","",IF(INDEX('Prospect Tracker'!$J$5:$J$554,$K330)="","",INDEX('Prospect Tracker'!$J$5:$J$554,$K330)))</f>
        <v/>
      </c>
      <c r="G330" s="11" t="str">
        <f aca="false">IF($K330="","",IF(INDEX('Prospect Tracker'!$H$5:$H$554,$K330)="","",INDEX('Prospect Tracker'!$H$5:$H$554,$K330)))</f>
        <v/>
      </c>
      <c r="H330" s="12" t="str">
        <f aca="false">IF($K330="","",IF(INDEX('Prospect Tracker'!$K$5:$K$554,$K330)="","",INDEX('Prospect Tracker'!$K$5:$K$554,$K330)))</f>
        <v/>
      </c>
      <c r="I330" s="11" t="str">
        <f aca="false">IF($K330="","",IF(INDEX('Prospect Tracker'!$T$5:$T$554,$K330)="","",INDEX('Prospect Tracker'!$T$5:$T$554,$K330)))</f>
        <v/>
      </c>
      <c r="J330" s="11" t="str">
        <f aca="false">IF($K330="","",IF(INDEX('Prospect Tracker'!$L$5:$L$554,$K330)="","",INDEX('Prospect Tracker'!$L$5:$L$554,$K330)))</f>
        <v/>
      </c>
      <c r="K330" s="1" t="n">
        <f aca="false">IFERROR(MATCH(SMALL('Prospect Tracker'!$X$5:$X$554,ROW()-4),'Prospect Tracker'!$X$5:$X$554,0),"")</f>
        <v>326</v>
      </c>
    </row>
    <row r="331" customFormat="false" ht="15" hidden="false" customHeight="true" outlineLevel="0" collapsed="false">
      <c r="A331" s="6" t="str">
        <f aca="false">IF($K331="","",IF(INDEX('Prospect Tracker'!$W$5:$W$554,$K331)="","",INDEX('Prospect Tracker'!$W$5:$W$554,$K331)))</f>
        <v/>
      </c>
      <c r="B331" s="6" t="str">
        <f aca="false">IF($K331="","",IF(INDEX('Prospect Tracker'!$A$5:$A$554,$K331)="","",INDEX('Prospect Tracker'!$A$5:$A$554,$K331)))</f>
        <v/>
      </c>
      <c r="C331" s="6" t="str">
        <f aca="false">IF($K331="","",IF(INDEX('Prospect Tracker'!$B$5:$B$554,$K331)="","",INDEX('Prospect Tracker'!$B$5:$B$554,$K331)))</f>
        <v/>
      </c>
      <c r="D331" s="6" t="str">
        <f aca="false">IF($K331="","",IF(INDEX('Prospect Tracker'!$M$5:$M$554,$K331)="","",INDEX('Prospect Tracker'!$M$5:$M$554,$K331)))</f>
        <v/>
      </c>
      <c r="E331" s="6" t="str">
        <f aca="false">IF($K331="","",IF(INDEX('Prospect Tracker'!$R$5:$R$554,$K331)="","",INDEX('Prospect Tracker'!$R$5:$R$554,$K331)))</f>
        <v/>
      </c>
      <c r="F331" s="6" t="str">
        <f aca="false">IF($K331="","",IF(INDEX('Prospect Tracker'!$J$5:$J$554,$K331)="","",INDEX('Prospect Tracker'!$J$5:$J$554,$K331)))</f>
        <v/>
      </c>
      <c r="G331" s="6" t="str">
        <f aca="false">IF($K331="","",IF(INDEX('Prospect Tracker'!$H$5:$H$554,$K331)="","",INDEX('Prospect Tracker'!$H$5:$H$554,$K331)))</f>
        <v/>
      </c>
      <c r="H331" s="7" t="str">
        <f aca="false">IF($K331="","",IF(INDEX('Prospect Tracker'!$K$5:$K$554,$K331)="","",INDEX('Prospect Tracker'!$K$5:$K$554,$K331)))</f>
        <v/>
      </c>
      <c r="I331" s="6" t="str">
        <f aca="false">IF($K331="","",IF(INDEX('Prospect Tracker'!$T$5:$T$554,$K331)="","",INDEX('Prospect Tracker'!$T$5:$T$554,$K331)))</f>
        <v/>
      </c>
      <c r="J331" s="6" t="str">
        <f aca="false">IF($K331="","",IF(INDEX('Prospect Tracker'!$L$5:$L$554,$K331)="","",INDEX('Prospect Tracker'!$L$5:$L$554,$K331)))</f>
        <v/>
      </c>
      <c r="K331" s="1" t="n">
        <f aca="false">IFERROR(MATCH(SMALL('Prospect Tracker'!$X$5:$X$554,ROW()-4),'Prospect Tracker'!$X$5:$X$554,0),"")</f>
        <v>327</v>
      </c>
    </row>
    <row r="332" customFormat="false" ht="15" hidden="false" customHeight="true" outlineLevel="0" collapsed="false">
      <c r="A332" s="11" t="str">
        <f aca="false">IF($K332="","",IF(INDEX('Prospect Tracker'!$W$5:$W$554,$K332)="","",INDEX('Prospect Tracker'!$W$5:$W$554,$K332)))</f>
        <v/>
      </c>
      <c r="B332" s="11" t="str">
        <f aca="false">IF($K332="","",IF(INDEX('Prospect Tracker'!$A$5:$A$554,$K332)="","",INDEX('Prospect Tracker'!$A$5:$A$554,$K332)))</f>
        <v/>
      </c>
      <c r="C332" s="11" t="str">
        <f aca="false">IF($K332="","",IF(INDEX('Prospect Tracker'!$B$5:$B$554,$K332)="","",INDEX('Prospect Tracker'!$B$5:$B$554,$K332)))</f>
        <v/>
      </c>
      <c r="D332" s="11" t="str">
        <f aca="false">IF($K332="","",IF(INDEX('Prospect Tracker'!$M$5:$M$554,$K332)="","",INDEX('Prospect Tracker'!$M$5:$M$554,$K332)))</f>
        <v/>
      </c>
      <c r="E332" s="11" t="str">
        <f aca="false">IF($K332="","",IF(INDEX('Prospect Tracker'!$R$5:$R$554,$K332)="","",INDEX('Prospect Tracker'!$R$5:$R$554,$K332)))</f>
        <v/>
      </c>
      <c r="F332" s="11" t="str">
        <f aca="false">IF($K332="","",IF(INDEX('Prospect Tracker'!$J$5:$J$554,$K332)="","",INDEX('Prospect Tracker'!$J$5:$J$554,$K332)))</f>
        <v/>
      </c>
      <c r="G332" s="11" t="str">
        <f aca="false">IF($K332="","",IF(INDEX('Prospect Tracker'!$H$5:$H$554,$K332)="","",INDEX('Prospect Tracker'!$H$5:$H$554,$K332)))</f>
        <v/>
      </c>
      <c r="H332" s="12" t="str">
        <f aca="false">IF($K332="","",IF(INDEX('Prospect Tracker'!$K$5:$K$554,$K332)="","",INDEX('Prospect Tracker'!$K$5:$K$554,$K332)))</f>
        <v/>
      </c>
      <c r="I332" s="11" t="str">
        <f aca="false">IF($K332="","",IF(INDEX('Prospect Tracker'!$T$5:$T$554,$K332)="","",INDEX('Prospect Tracker'!$T$5:$T$554,$K332)))</f>
        <v/>
      </c>
      <c r="J332" s="11" t="str">
        <f aca="false">IF($K332="","",IF(INDEX('Prospect Tracker'!$L$5:$L$554,$K332)="","",INDEX('Prospect Tracker'!$L$5:$L$554,$K332)))</f>
        <v/>
      </c>
      <c r="K332" s="1" t="n">
        <f aca="false">IFERROR(MATCH(SMALL('Prospect Tracker'!$X$5:$X$554,ROW()-4),'Prospect Tracker'!$X$5:$X$554,0),"")</f>
        <v>328</v>
      </c>
    </row>
    <row r="333" customFormat="false" ht="15" hidden="false" customHeight="true" outlineLevel="0" collapsed="false">
      <c r="A333" s="6" t="str">
        <f aca="false">IF($K333="","",IF(INDEX('Prospect Tracker'!$W$5:$W$554,$K333)="","",INDEX('Prospect Tracker'!$W$5:$W$554,$K333)))</f>
        <v/>
      </c>
      <c r="B333" s="6" t="str">
        <f aca="false">IF($K333="","",IF(INDEX('Prospect Tracker'!$A$5:$A$554,$K333)="","",INDEX('Prospect Tracker'!$A$5:$A$554,$K333)))</f>
        <v/>
      </c>
      <c r="C333" s="6" t="str">
        <f aca="false">IF($K333="","",IF(INDEX('Prospect Tracker'!$B$5:$B$554,$K333)="","",INDEX('Prospect Tracker'!$B$5:$B$554,$K333)))</f>
        <v/>
      </c>
      <c r="D333" s="6" t="str">
        <f aca="false">IF($K333="","",IF(INDEX('Prospect Tracker'!$M$5:$M$554,$K333)="","",INDEX('Prospect Tracker'!$M$5:$M$554,$K333)))</f>
        <v/>
      </c>
      <c r="E333" s="6" t="str">
        <f aca="false">IF($K333="","",IF(INDEX('Prospect Tracker'!$R$5:$R$554,$K333)="","",INDEX('Prospect Tracker'!$R$5:$R$554,$K333)))</f>
        <v/>
      </c>
      <c r="F333" s="6" t="str">
        <f aca="false">IF($K333="","",IF(INDEX('Prospect Tracker'!$J$5:$J$554,$K333)="","",INDEX('Prospect Tracker'!$J$5:$J$554,$K333)))</f>
        <v/>
      </c>
      <c r="G333" s="6" t="str">
        <f aca="false">IF($K333="","",IF(INDEX('Prospect Tracker'!$H$5:$H$554,$K333)="","",INDEX('Prospect Tracker'!$H$5:$H$554,$K333)))</f>
        <v/>
      </c>
      <c r="H333" s="7" t="str">
        <f aca="false">IF($K333="","",IF(INDEX('Prospect Tracker'!$K$5:$K$554,$K333)="","",INDEX('Prospect Tracker'!$K$5:$K$554,$K333)))</f>
        <v/>
      </c>
      <c r="I333" s="6" t="str">
        <f aca="false">IF($K333="","",IF(INDEX('Prospect Tracker'!$T$5:$T$554,$K333)="","",INDEX('Prospect Tracker'!$T$5:$T$554,$K333)))</f>
        <v/>
      </c>
      <c r="J333" s="6" t="str">
        <f aca="false">IF($K333="","",IF(INDEX('Prospect Tracker'!$L$5:$L$554,$K333)="","",INDEX('Prospect Tracker'!$L$5:$L$554,$K333)))</f>
        <v/>
      </c>
      <c r="K333" s="1" t="n">
        <f aca="false">IFERROR(MATCH(SMALL('Prospect Tracker'!$X$5:$X$554,ROW()-4),'Prospect Tracker'!$X$5:$X$554,0),"")</f>
        <v>329</v>
      </c>
    </row>
    <row r="334" customFormat="false" ht="15" hidden="false" customHeight="true" outlineLevel="0" collapsed="false">
      <c r="A334" s="11" t="str">
        <f aca="false">IF($K334="","",IF(INDEX('Prospect Tracker'!$W$5:$W$554,$K334)="","",INDEX('Prospect Tracker'!$W$5:$W$554,$K334)))</f>
        <v/>
      </c>
      <c r="B334" s="11" t="str">
        <f aca="false">IF($K334="","",IF(INDEX('Prospect Tracker'!$A$5:$A$554,$K334)="","",INDEX('Prospect Tracker'!$A$5:$A$554,$K334)))</f>
        <v/>
      </c>
      <c r="C334" s="11" t="str">
        <f aca="false">IF($K334="","",IF(INDEX('Prospect Tracker'!$B$5:$B$554,$K334)="","",INDEX('Prospect Tracker'!$B$5:$B$554,$K334)))</f>
        <v/>
      </c>
      <c r="D334" s="11" t="str">
        <f aca="false">IF($K334="","",IF(INDEX('Prospect Tracker'!$M$5:$M$554,$K334)="","",INDEX('Prospect Tracker'!$M$5:$M$554,$K334)))</f>
        <v/>
      </c>
      <c r="E334" s="11" t="str">
        <f aca="false">IF($K334="","",IF(INDEX('Prospect Tracker'!$R$5:$R$554,$K334)="","",INDEX('Prospect Tracker'!$R$5:$R$554,$K334)))</f>
        <v/>
      </c>
      <c r="F334" s="11" t="str">
        <f aca="false">IF($K334="","",IF(INDEX('Prospect Tracker'!$J$5:$J$554,$K334)="","",INDEX('Prospect Tracker'!$J$5:$J$554,$K334)))</f>
        <v/>
      </c>
      <c r="G334" s="11" t="str">
        <f aca="false">IF($K334="","",IF(INDEX('Prospect Tracker'!$H$5:$H$554,$K334)="","",INDEX('Prospect Tracker'!$H$5:$H$554,$K334)))</f>
        <v/>
      </c>
      <c r="H334" s="12" t="str">
        <f aca="false">IF($K334="","",IF(INDEX('Prospect Tracker'!$K$5:$K$554,$K334)="","",INDEX('Prospect Tracker'!$K$5:$K$554,$K334)))</f>
        <v/>
      </c>
      <c r="I334" s="11" t="str">
        <f aca="false">IF($K334="","",IF(INDEX('Prospect Tracker'!$T$5:$T$554,$K334)="","",INDEX('Prospect Tracker'!$T$5:$T$554,$K334)))</f>
        <v/>
      </c>
      <c r="J334" s="11" t="str">
        <f aca="false">IF($K334="","",IF(INDEX('Prospect Tracker'!$L$5:$L$554,$K334)="","",INDEX('Prospect Tracker'!$L$5:$L$554,$K334)))</f>
        <v/>
      </c>
      <c r="K334" s="1" t="n">
        <f aca="false">IFERROR(MATCH(SMALL('Prospect Tracker'!$X$5:$X$554,ROW()-4),'Prospect Tracker'!$X$5:$X$554,0),"")</f>
        <v>330</v>
      </c>
    </row>
    <row r="335" customFormat="false" ht="15" hidden="false" customHeight="true" outlineLevel="0" collapsed="false">
      <c r="A335" s="6" t="str">
        <f aca="false">IF($K335="","",IF(INDEX('Prospect Tracker'!$W$5:$W$554,$K335)="","",INDEX('Prospect Tracker'!$W$5:$W$554,$K335)))</f>
        <v/>
      </c>
      <c r="B335" s="6" t="str">
        <f aca="false">IF($K335="","",IF(INDEX('Prospect Tracker'!$A$5:$A$554,$K335)="","",INDEX('Prospect Tracker'!$A$5:$A$554,$K335)))</f>
        <v/>
      </c>
      <c r="C335" s="6" t="str">
        <f aca="false">IF($K335="","",IF(INDEX('Prospect Tracker'!$B$5:$B$554,$K335)="","",INDEX('Prospect Tracker'!$B$5:$B$554,$K335)))</f>
        <v/>
      </c>
      <c r="D335" s="6" t="str">
        <f aca="false">IF($K335="","",IF(INDEX('Prospect Tracker'!$M$5:$M$554,$K335)="","",INDEX('Prospect Tracker'!$M$5:$M$554,$K335)))</f>
        <v/>
      </c>
      <c r="E335" s="6" t="str">
        <f aca="false">IF($K335="","",IF(INDEX('Prospect Tracker'!$R$5:$R$554,$K335)="","",INDEX('Prospect Tracker'!$R$5:$R$554,$K335)))</f>
        <v/>
      </c>
      <c r="F335" s="6" t="str">
        <f aca="false">IF($K335="","",IF(INDEX('Prospect Tracker'!$J$5:$J$554,$K335)="","",INDEX('Prospect Tracker'!$J$5:$J$554,$K335)))</f>
        <v/>
      </c>
      <c r="G335" s="6" t="str">
        <f aca="false">IF($K335="","",IF(INDEX('Prospect Tracker'!$H$5:$H$554,$K335)="","",INDEX('Prospect Tracker'!$H$5:$H$554,$K335)))</f>
        <v/>
      </c>
      <c r="H335" s="7" t="str">
        <f aca="false">IF($K335="","",IF(INDEX('Prospect Tracker'!$K$5:$K$554,$K335)="","",INDEX('Prospect Tracker'!$K$5:$K$554,$K335)))</f>
        <v/>
      </c>
      <c r="I335" s="6" t="str">
        <f aca="false">IF($K335="","",IF(INDEX('Prospect Tracker'!$T$5:$T$554,$K335)="","",INDEX('Prospect Tracker'!$T$5:$T$554,$K335)))</f>
        <v/>
      </c>
      <c r="J335" s="6" t="str">
        <f aca="false">IF($K335="","",IF(INDEX('Prospect Tracker'!$L$5:$L$554,$K335)="","",INDEX('Prospect Tracker'!$L$5:$L$554,$K335)))</f>
        <v/>
      </c>
      <c r="K335" s="1" t="n">
        <f aca="false">IFERROR(MATCH(SMALL('Prospect Tracker'!$X$5:$X$554,ROW()-4),'Prospect Tracker'!$X$5:$X$554,0),"")</f>
        <v>331</v>
      </c>
    </row>
    <row r="336" customFormat="false" ht="15" hidden="false" customHeight="true" outlineLevel="0" collapsed="false">
      <c r="A336" s="11" t="str">
        <f aca="false">IF($K336="","",IF(INDEX('Prospect Tracker'!$W$5:$W$554,$K336)="","",INDEX('Prospect Tracker'!$W$5:$W$554,$K336)))</f>
        <v/>
      </c>
      <c r="B336" s="11" t="str">
        <f aca="false">IF($K336="","",IF(INDEX('Prospect Tracker'!$A$5:$A$554,$K336)="","",INDEX('Prospect Tracker'!$A$5:$A$554,$K336)))</f>
        <v/>
      </c>
      <c r="C336" s="11" t="str">
        <f aca="false">IF($K336="","",IF(INDEX('Prospect Tracker'!$B$5:$B$554,$K336)="","",INDEX('Prospect Tracker'!$B$5:$B$554,$K336)))</f>
        <v/>
      </c>
      <c r="D336" s="11" t="str">
        <f aca="false">IF($K336="","",IF(INDEX('Prospect Tracker'!$M$5:$M$554,$K336)="","",INDEX('Prospect Tracker'!$M$5:$M$554,$K336)))</f>
        <v/>
      </c>
      <c r="E336" s="11" t="str">
        <f aca="false">IF($K336="","",IF(INDEX('Prospect Tracker'!$R$5:$R$554,$K336)="","",INDEX('Prospect Tracker'!$R$5:$R$554,$K336)))</f>
        <v/>
      </c>
      <c r="F336" s="11" t="str">
        <f aca="false">IF($K336="","",IF(INDEX('Prospect Tracker'!$J$5:$J$554,$K336)="","",INDEX('Prospect Tracker'!$J$5:$J$554,$K336)))</f>
        <v/>
      </c>
      <c r="G336" s="11" t="str">
        <f aca="false">IF($K336="","",IF(INDEX('Prospect Tracker'!$H$5:$H$554,$K336)="","",INDEX('Prospect Tracker'!$H$5:$H$554,$K336)))</f>
        <v/>
      </c>
      <c r="H336" s="12" t="str">
        <f aca="false">IF($K336="","",IF(INDEX('Prospect Tracker'!$K$5:$K$554,$K336)="","",INDEX('Prospect Tracker'!$K$5:$K$554,$K336)))</f>
        <v/>
      </c>
      <c r="I336" s="11" t="str">
        <f aca="false">IF($K336="","",IF(INDEX('Prospect Tracker'!$T$5:$T$554,$K336)="","",INDEX('Prospect Tracker'!$T$5:$T$554,$K336)))</f>
        <v/>
      </c>
      <c r="J336" s="11" t="str">
        <f aca="false">IF($K336="","",IF(INDEX('Prospect Tracker'!$L$5:$L$554,$K336)="","",INDEX('Prospect Tracker'!$L$5:$L$554,$K336)))</f>
        <v/>
      </c>
      <c r="K336" s="1" t="n">
        <f aca="false">IFERROR(MATCH(SMALL('Prospect Tracker'!$X$5:$X$554,ROW()-4),'Prospect Tracker'!$X$5:$X$554,0),"")</f>
        <v>332</v>
      </c>
    </row>
    <row r="337" customFormat="false" ht="15" hidden="false" customHeight="true" outlineLevel="0" collapsed="false">
      <c r="A337" s="6" t="str">
        <f aca="false">IF($K337="","",IF(INDEX('Prospect Tracker'!$W$5:$W$554,$K337)="","",INDEX('Prospect Tracker'!$W$5:$W$554,$K337)))</f>
        <v/>
      </c>
      <c r="B337" s="6" t="str">
        <f aca="false">IF($K337="","",IF(INDEX('Prospect Tracker'!$A$5:$A$554,$K337)="","",INDEX('Prospect Tracker'!$A$5:$A$554,$K337)))</f>
        <v/>
      </c>
      <c r="C337" s="6" t="str">
        <f aca="false">IF($K337="","",IF(INDEX('Prospect Tracker'!$B$5:$B$554,$K337)="","",INDEX('Prospect Tracker'!$B$5:$B$554,$K337)))</f>
        <v/>
      </c>
      <c r="D337" s="6" t="str">
        <f aca="false">IF($K337="","",IF(INDEX('Prospect Tracker'!$M$5:$M$554,$K337)="","",INDEX('Prospect Tracker'!$M$5:$M$554,$K337)))</f>
        <v/>
      </c>
      <c r="E337" s="6" t="str">
        <f aca="false">IF($K337="","",IF(INDEX('Prospect Tracker'!$R$5:$R$554,$K337)="","",INDEX('Prospect Tracker'!$R$5:$R$554,$K337)))</f>
        <v/>
      </c>
      <c r="F337" s="6" t="str">
        <f aca="false">IF($K337="","",IF(INDEX('Prospect Tracker'!$J$5:$J$554,$K337)="","",INDEX('Prospect Tracker'!$J$5:$J$554,$K337)))</f>
        <v/>
      </c>
      <c r="G337" s="6" t="str">
        <f aca="false">IF($K337="","",IF(INDEX('Prospect Tracker'!$H$5:$H$554,$K337)="","",INDEX('Prospect Tracker'!$H$5:$H$554,$K337)))</f>
        <v/>
      </c>
      <c r="H337" s="7" t="str">
        <f aca="false">IF($K337="","",IF(INDEX('Prospect Tracker'!$K$5:$K$554,$K337)="","",INDEX('Prospect Tracker'!$K$5:$K$554,$K337)))</f>
        <v/>
      </c>
      <c r="I337" s="6" t="str">
        <f aca="false">IF($K337="","",IF(INDEX('Prospect Tracker'!$T$5:$T$554,$K337)="","",INDEX('Prospect Tracker'!$T$5:$T$554,$K337)))</f>
        <v/>
      </c>
      <c r="J337" s="6" t="str">
        <f aca="false">IF($K337="","",IF(INDEX('Prospect Tracker'!$L$5:$L$554,$K337)="","",INDEX('Prospect Tracker'!$L$5:$L$554,$K337)))</f>
        <v/>
      </c>
      <c r="K337" s="1" t="n">
        <f aca="false">IFERROR(MATCH(SMALL('Prospect Tracker'!$X$5:$X$554,ROW()-4),'Prospect Tracker'!$X$5:$X$554,0),"")</f>
        <v>333</v>
      </c>
    </row>
    <row r="338" customFormat="false" ht="15" hidden="false" customHeight="true" outlineLevel="0" collapsed="false">
      <c r="A338" s="11" t="str">
        <f aca="false">IF($K338="","",IF(INDEX('Prospect Tracker'!$W$5:$W$554,$K338)="","",INDEX('Prospect Tracker'!$W$5:$W$554,$K338)))</f>
        <v/>
      </c>
      <c r="B338" s="11" t="str">
        <f aca="false">IF($K338="","",IF(INDEX('Prospect Tracker'!$A$5:$A$554,$K338)="","",INDEX('Prospect Tracker'!$A$5:$A$554,$K338)))</f>
        <v/>
      </c>
      <c r="C338" s="11" t="str">
        <f aca="false">IF($K338="","",IF(INDEX('Prospect Tracker'!$B$5:$B$554,$K338)="","",INDEX('Prospect Tracker'!$B$5:$B$554,$K338)))</f>
        <v/>
      </c>
      <c r="D338" s="11" t="str">
        <f aca="false">IF($K338="","",IF(INDEX('Prospect Tracker'!$M$5:$M$554,$K338)="","",INDEX('Prospect Tracker'!$M$5:$M$554,$K338)))</f>
        <v/>
      </c>
      <c r="E338" s="11" t="str">
        <f aca="false">IF($K338="","",IF(INDEX('Prospect Tracker'!$R$5:$R$554,$K338)="","",INDEX('Prospect Tracker'!$R$5:$R$554,$K338)))</f>
        <v/>
      </c>
      <c r="F338" s="11" t="str">
        <f aca="false">IF($K338="","",IF(INDEX('Prospect Tracker'!$J$5:$J$554,$K338)="","",INDEX('Prospect Tracker'!$J$5:$J$554,$K338)))</f>
        <v/>
      </c>
      <c r="G338" s="11" t="str">
        <f aca="false">IF($K338="","",IF(INDEX('Prospect Tracker'!$H$5:$H$554,$K338)="","",INDEX('Prospect Tracker'!$H$5:$H$554,$K338)))</f>
        <v/>
      </c>
      <c r="H338" s="12" t="str">
        <f aca="false">IF($K338="","",IF(INDEX('Prospect Tracker'!$K$5:$K$554,$K338)="","",INDEX('Prospect Tracker'!$K$5:$K$554,$K338)))</f>
        <v/>
      </c>
      <c r="I338" s="11" t="str">
        <f aca="false">IF($K338="","",IF(INDEX('Prospect Tracker'!$T$5:$T$554,$K338)="","",INDEX('Prospect Tracker'!$T$5:$T$554,$K338)))</f>
        <v/>
      </c>
      <c r="J338" s="11" t="str">
        <f aca="false">IF($K338="","",IF(INDEX('Prospect Tracker'!$L$5:$L$554,$K338)="","",INDEX('Prospect Tracker'!$L$5:$L$554,$K338)))</f>
        <v/>
      </c>
      <c r="K338" s="1" t="n">
        <f aca="false">IFERROR(MATCH(SMALL('Prospect Tracker'!$X$5:$X$554,ROW()-4),'Prospect Tracker'!$X$5:$X$554,0),"")</f>
        <v>334</v>
      </c>
    </row>
    <row r="339" customFormat="false" ht="15" hidden="false" customHeight="true" outlineLevel="0" collapsed="false">
      <c r="A339" s="6" t="str">
        <f aca="false">IF($K339="","",IF(INDEX('Prospect Tracker'!$W$5:$W$554,$K339)="","",INDEX('Prospect Tracker'!$W$5:$W$554,$K339)))</f>
        <v/>
      </c>
      <c r="B339" s="6" t="str">
        <f aca="false">IF($K339="","",IF(INDEX('Prospect Tracker'!$A$5:$A$554,$K339)="","",INDEX('Prospect Tracker'!$A$5:$A$554,$K339)))</f>
        <v/>
      </c>
      <c r="C339" s="6" t="str">
        <f aca="false">IF($K339="","",IF(INDEX('Prospect Tracker'!$B$5:$B$554,$K339)="","",INDEX('Prospect Tracker'!$B$5:$B$554,$K339)))</f>
        <v/>
      </c>
      <c r="D339" s="6" t="str">
        <f aca="false">IF($K339="","",IF(INDEX('Prospect Tracker'!$M$5:$M$554,$K339)="","",INDEX('Prospect Tracker'!$M$5:$M$554,$K339)))</f>
        <v/>
      </c>
      <c r="E339" s="6" t="str">
        <f aca="false">IF($K339="","",IF(INDEX('Prospect Tracker'!$R$5:$R$554,$K339)="","",INDEX('Prospect Tracker'!$R$5:$R$554,$K339)))</f>
        <v/>
      </c>
      <c r="F339" s="6" t="str">
        <f aca="false">IF($K339="","",IF(INDEX('Prospect Tracker'!$J$5:$J$554,$K339)="","",INDEX('Prospect Tracker'!$J$5:$J$554,$K339)))</f>
        <v/>
      </c>
      <c r="G339" s="6" t="str">
        <f aca="false">IF($K339="","",IF(INDEX('Prospect Tracker'!$H$5:$H$554,$K339)="","",INDEX('Prospect Tracker'!$H$5:$H$554,$K339)))</f>
        <v/>
      </c>
      <c r="H339" s="7" t="str">
        <f aca="false">IF($K339="","",IF(INDEX('Prospect Tracker'!$K$5:$K$554,$K339)="","",INDEX('Prospect Tracker'!$K$5:$K$554,$K339)))</f>
        <v/>
      </c>
      <c r="I339" s="6" t="str">
        <f aca="false">IF($K339="","",IF(INDEX('Prospect Tracker'!$T$5:$T$554,$K339)="","",INDEX('Prospect Tracker'!$T$5:$T$554,$K339)))</f>
        <v/>
      </c>
      <c r="J339" s="6" t="str">
        <f aca="false">IF($K339="","",IF(INDEX('Prospect Tracker'!$L$5:$L$554,$K339)="","",INDEX('Prospect Tracker'!$L$5:$L$554,$K339)))</f>
        <v/>
      </c>
      <c r="K339" s="1" t="n">
        <f aca="false">IFERROR(MATCH(SMALL('Prospect Tracker'!$X$5:$X$554,ROW()-4),'Prospect Tracker'!$X$5:$X$554,0),"")</f>
        <v>335</v>
      </c>
    </row>
    <row r="340" customFormat="false" ht="15" hidden="false" customHeight="true" outlineLevel="0" collapsed="false">
      <c r="A340" s="11" t="str">
        <f aca="false">IF($K340="","",IF(INDEX('Prospect Tracker'!$W$5:$W$554,$K340)="","",INDEX('Prospect Tracker'!$W$5:$W$554,$K340)))</f>
        <v/>
      </c>
      <c r="B340" s="11" t="str">
        <f aca="false">IF($K340="","",IF(INDEX('Prospect Tracker'!$A$5:$A$554,$K340)="","",INDEX('Prospect Tracker'!$A$5:$A$554,$K340)))</f>
        <v/>
      </c>
      <c r="C340" s="11" t="str">
        <f aca="false">IF($K340="","",IF(INDEX('Prospect Tracker'!$B$5:$B$554,$K340)="","",INDEX('Prospect Tracker'!$B$5:$B$554,$K340)))</f>
        <v/>
      </c>
      <c r="D340" s="11" t="str">
        <f aca="false">IF($K340="","",IF(INDEX('Prospect Tracker'!$M$5:$M$554,$K340)="","",INDEX('Prospect Tracker'!$M$5:$M$554,$K340)))</f>
        <v/>
      </c>
      <c r="E340" s="11" t="str">
        <f aca="false">IF($K340="","",IF(INDEX('Prospect Tracker'!$R$5:$R$554,$K340)="","",INDEX('Prospect Tracker'!$R$5:$R$554,$K340)))</f>
        <v/>
      </c>
      <c r="F340" s="11" t="str">
        <f aca="false">IF($K340="","",IF(INDEX('Prospect Tracker'!$J$5:$J$554,$K340)="","",INDEX('Prospect Tracker'!$J$5:$J$554,$K340)))</f>
        <v/>
      </c>
      <c r="G340" s="11" t="str">
        <f aca="false">IF($K340="","",IF(INDEX('Prospect Tracker'!$H$5:$H$554,$K340)="","",INDEX('Prospect Tracker'!$H$5:$H$554,$K340)))</f>
        <v/>
      </c>
      <c r="H340" s="12" t="str">
        <f aca="false">IF($K340="","",IF(INDEX('Prospect Tracker'!$K$5:$K$554,$K340)="","",INDEX('Prospect Tracker'!$K$5:$K$554,$K340)))</f>
        <v/>
      </c>
      <c r="I340" s="11" t="str">
        <f aca="false">IF($K340="","",IF(INDEX('Prospect Tracker'!$T$5:$T$554,$K340)="","",INDEX('Prospect Tracker'!$T$5:$T$554,$K340)))</f>
        <v/>
      </c>
      <c r="J340" s="11" t="str">
        <f aca="false">IF($K340="","",IF(INDEX('Prospect Tracker'!$L$5:$L$554,$K340)="","",INDEX('Prospect Tracker'!$L$5:$L$554,$K340)))</f>
        <v/>
      </c>
      <c r="K340" s="1" t="n">
        <f aca="false">IFERROR(MATCH(SMALL('Prospect Tracker'!$X$5:$X$554,ROW()-4),'Prospect Tracker'!$X$5:$X$554,0),"")</f>
        <v>336</v>
      </c>
    </row>
    <row r="341" customFormat="false" ht="15" hidden="false" customHeight="true" outlineLevel="0" collapsed="false">
      <c r="A341" s="6" t="str">
        <f aca="false">IF($K341="","",IF(INDEX('Prospect Tracker'!$W$5:$W$554,$K341)="","",INDEX('Prospect Tracker'!$W$5:$W$554,$K341)))</f>
        <v/>
      </c>
      <c r="B341" s="6" t="str">
        <f aca="false">IF($K341="","",IF(INDEX('Prospect Tracker'!$A$5:$A$554,$K341)="","",INDEX('Prospect Tracker'!$A$5:$A$554,$K341)))</f>
        <v/>
      </c>
      <c r="C341" s="6" t="str">
        <f aca="false">IF($K341="","",IF(INDEX('Prospect Tracker'!$B$5:$B$554,$K341)="","",INDEX('Prospect Tracker'!$B$5:$B$554,$K341)))</f>
        <v/>
      </c>
      <c r="D341" s="6" t="str">
        <f aca="false">IF($K341="","",IF(INDEX('Prospect Tracker'!$M$5:$M$554,$K341)="","",INDEX('Prospect Tracker'!$M$5:$M$554,$K341)))</f>
        <v/>
      </c>
      <c r="E341" s="6" t="str">
        <f aca="false">IF($K341="","",IF(INDEX('Prospect Tracker'!$R$5:$R$554,$K341)="","",INDEX('Prospect Tracker'!$R$5:$R$554,$K341)))</f>
        <v/>
      </c>
      <c r="F341" s="6" t="str">
        <f aca="false">IF($K341="","",IF(INDEX('Prospect Tracker'!$J$5:$J$554,$K341)="","",INDEX('Prospect Tracker'!$J$5:$J$554,$K341)))</f>
        <v/>
      </c>
      <c r="G341" s="6" t="str">
        <f aca="false">IF($K341="","",IF(INDEX('Prospect Tracker'!$H$5:$H$554,$K341)="","",INDEX('Prospect Tracker'!$H$5:$H$554,$K341)))</f>
        <v/>
      </c>
      <c r="H341" s="7" t="str">
        <f aca="false">IF($K341="","",IF(INDEX('Prospect Tracker'!$K$5:$K$554,$K341)="","",INDEX('Prospect Tracker'!$K$5:$K$554,$K341)))</f>
        <v/>
      </c>
      <c r="I341" s="6" t="str">
        <f aca="false">IF($K341="","",IF(INDEX('Prospect Tracker'!$T$5:$T$554,$K341)="","",INDEX('Prospect Tracker'!$T$5:$T$554,$K341)))</f>
        <v/>
      </c>
      <c r="J341" s="6" t="str">
        <f aca="false">IF($K341="","",IF(INDEX('Prospect Tracker'!$L$5:$L$554,$K341)="","",INDEX('Prospect Tracker'!$L$5:$L$554,$K341)))</f>
        <v/>
      </c>
      <c r="K341" s="1" t="n">
        <f aca="false">IFERROR(MATCH(SMALL('Prospect Tracker'!$X$5:$X$554,ROW()-4),'Prospect Tracker'!$X$5:$X$554,0),"")</f>
        <v>337</v>
      </c>
    </row>
    <row r="342" customFormat="false" ht="15" hidden="false" customHeight="true" outlineLevel="0" collapsed="false">
      <c r="A342" s="11" t="str">
        <f aca="false">IF($K342="","",IF(INDEX('Prospect Tracker'!$W$5:$W$554,$K342)="","",INDEX('Prospect Tracker'!$W$5:$W$554,$K342)))</f>
        <v/>
      </c>
      <c r="B342" s="11" t="str">
        <f aca="false">IF($K342="","",IF(INDEX('Prospect Tracker'!$A$5:$A$554,$K342)="","",INDEX('Prospect Tracker'!$A$5:$A$554,$K342)))</f>
        <v/>
      </c>
      <c r="C342" s="11" t="str">
        <f aca="false">IF($K342="","",IF(INDEX('Prospect Tracker'!$B$5:$B$554,$K342)="","",INDEX('Prospect Tracker'!$B$5:$B$554,$K342)))</f>
        <v/>
      </c>
      <c r="D342" s="11" t="str">
        <f aca="false">IF($K342="","",IF(INDEX('Prospect Tracker'!$M$5:$M$554,$K342)="","",INDEX('Prospect Tracker'!$M$5:$M$554,$K342)))</f>
        <v/>
      </c>
      <c r="E342" s="11" t="str">
        <f aca="false">IF($K342="","",IF(INDEX('Prospect Tracker'!$R$5:$R$554,$K342)="","",INDEX('Prospect Tracker'!$R$5:$R$554,$K342)))</f>
        <v/>
      </c>
      <c r="F342" s="11" t="str">
        <f aca="false">IF($K342="","",IF(INDEX('Prospect Tracker'!$J$5:$J$554,$K342)="","",INDEX('Prospect Tracker'!$J$5:$J$554,$K342)))</f>
        <v/>
      </c>
      <c r="G342" s="11" t="str">
        <f aca="false">IF($K342="","",IF(INDEX('Prospect Tracker'!$H$5:$H$554,$K342)="","",INDEX('Prospect Tracker'!$H$5:$H$554,$K342)))</f>
        <v/>
      </c>
      <c r="H342" s="12" t="str">
        <f aca="false">IF($K342="","",IF(INDEX('Prospect Tracker'!$K$5:$K$554,$K342)="","",INDEX('Prospect Tracker'!$K$5:$K$554,$K342)))</f>
        <v/>
      </c>
      <c r="I342" s="11" t="str">
        <f aca="false">IF($K342="","",IF(INDEX('Prospect Tracker'!$T$5:$T$554,$K342)="","",INDEX('Prospect Tracker'!$T$5:$T$554,$K342)))</f>
        <v/>
      </c>
      <c r="J342" s="11" t="str">
        <f aca="false">IF($K342="","",IF(INDEX('Prospect Tracker'!$L$5:$L$554,$K342)="","",INDEX('Prospect Tracker'!$L$5:$L$554,$K342)))</f>
        <v/>
      </c>
      <c r="K342" s="1" t="n">
        <f aca="false">IFERROR(MATCH(SMALL('Prospect Tracker'!$X$5:$X$554,ROW()-4),'Prospect Tracker'!$X$5:$X$554,0),"")</f>
        <v>338</v>
      </c>
    </row>
    <row r="343" customFormat="false" ht="15" hidden="false" customHeight="true" outlineLevel="0" collapsed="false">
      <c r="A343" s="6" t="str">
        <f aca="false">IF($K343="","",IF(INDEX('Prospect Tracker'!$W$5:$W$554,$K343)="","",INDEX('Prospect Tracker'!$W$5:$W$554,$K343)))</f>
        <v/>
      </c>
      <c r="B343" s="6" t="str">
        <f aca="false">IF($K343="","",IF(INDEX('Prospect Tracker'!$A$5:$A$554,$K343)="","",INDEX('Prospect Tracker'!$A$5:$A$554,$K343)))</f>
        <v/>
      </c>
      <c r="C343" s="6" t="str">
        <f aca="false">IF($K343="","",IF(INDEX('Prospect Tracker'!$B$5:$B$554,$K343)="","",INDEX('Prospect Tracker'!$B$5:$B$554,$K343)))</f>
        <v/>
      </c>
      <c r="D343" s="6" t="str">
        <f aca="false">IF($K343="","",IF(INDEX('Prospect Tracker'!$M$5:$M$554,$K343)="","",INDEX('Prospect Tracker'!$M$5:$M$554,$K343)))</f>
        <v/>
      </c>
      <c r="E343" s="6" t="str">
        <f aca="false">IF($K343="","",IF(INDEX('Prospect Tracker'!$R$5:$R$554,$K343)="","",INDEX('Prospect Tracker'!$R$5:$R$554,$K343)))</f>
        <v/>
      </c>
      <c r="F343" s="6" t="str">
        <f aca="false">IF($K343="","",IF(INDEX('Prospect Tracker'!$J$5:$J$554,$K343)="","",INDEX('Prospect Tracker'!$J$5:$J$554,$K343)))</f>
        <v/>
      </c>
      <c r="G343" s="6" t="str">
        <f aca="false">IF($K343="","",IF(INDEX('Prospect Tracker'!$H$5:$H$554,$K343)="","",INDEX('Prospect Tracker'!$H$5:$H$554,$K343)))</f>
        <v/>
      </c>
      <c r="H343" s="7" t="str">
        <f aca="false">IF($K343="","",IF(INDEX('Prospect Tracker'!$K$5:$K$554,$K343)="","",INDEX('Prospect Tracker'!$K$5:$K$554,$K343)))</f>
        <v/>
      </c>
      <c r="I343" s="6" t="str">
        <f aca="false">IF($K343="","",IF(INDEX('Prospect Tracker'!$T$5:$T$554,$K343)="","",INDEX('Prospect Tracker'!$T$5:$T$554,$K343)))</f>
        <v/>
      </c>
      <c r="J343" s="6" t="str">
        <f aca="false">IF($K343="","",IF(INDEX('Prospect Tracker'!$L$5:$L$554,$K343)="","",INDEX('Prospect Tracker'!$L$5:$L$554,$K343)))</f>
        <v/>
      </c>
      <c r="K343" s="1" t="n">
        <f aca="false">IFERROR(MATCH(SMALL('Prospect Tracker'!$X$5:$X$554,ROW()-4),'Prospect Tracker'!$X$5:$X$554,0),"")</f>
        <v>339</v>
      </c>
    </row>
    <row r="344" customFormat="false" ht="15" hidden="false" customHeight="true" outlineLevel="0" collapsed="false">
      <c r="A344" s="11" t="str">
        <f aca="false">IF($K344="","",IF(INDEX('Prospect Tracker'!$W$5:$W$554,$K344)="","",INDEX('Prospect Tracker'!$W$5:$W$554,$K344)))</f>
        <v/>
      </c>
      <c r="B344" s="11" t="str">
        <f aca="false">IF($K344="","",IF(INDEX('Prospect Tracker'!$A$5:$A$554,$K344)="","",INDEX('Prospect Tracker'!$A$5:$A$554,$K344)))</f>
        <v/>
      </c>
      <c r="C344" s="11" t="str">
        <f aca="false">IF($K344="","",IF(INDEX('Prospect Tracker'!$B$5:$B$554,$K344)="","",INDEX('Prospect Tracker'!$B$5:$B$554,$K344)))</f>
        <v/>
      </c>
      <c r="D344" s="11" t="str">
        <f aca="false">IF($K344="","",IF(INDEX('Prospect Tracker'!$M$5:$M$554,$K344)="","",INDEX('Prospect Tracker'!$M$5:$M$554,$K344)))</f>
        <v/>
      </c>
      <c r="E344" s="11" t="str">
        <f aca="false">IF($K344="","",IF(INDEX('Prospect Tracker'!$R$5:$R$554,$K344)="","",INDEX('Prospect Tracker'!$R$5:$R$554,$K344)))</f>
        <v/>
      </c>
      <c r="F344" s="11" t="str">
        <f aca="false">IF($K344="","",IF(INDEX('Prospect Tracker'!$J$5:$J$554,$K344)="","",INDEX('Prospect Tracker'!$J$5:$J$554,$K344)))</f>
        <v/>
      </c>
      <c r="G344" s="11" t="str">
        <f aca="false">IF($K344="","",IF(INDEX('Prospect Tracker'!$H$5:$H$554,$K344)="","",INDEX('Prospect Tracker'!$H$5:$H$554,$K344)))</f>
        <v/>
      </c>
      <c r="H344" s="12" t="str">
        <f aca="false">IF($K344="","",IF(INDEX('Prospect Tracker'!$K$5:$K$554,$K344)="","",INDEX('Prospect Tracker'!$K$5:$K$554,$K344)))</f>
        <v/>
      </c>
      <c r="I344" s="11" t="str">
        <f aca="false">IF($K344="","",IF(INDEX('Prospect Tracker'!$T$5:$T$554,$K344)="","",INDEX('Prospect Tracker'!$T$5:$T$554,$K344)))</f>
        <v/>
      </c>
      <c r="J344" s="11" t="str">
        <f aca="false">IF($K344="","",IF(INDEX('Prospect Tracker'!$L$5:$L$554,$K344)="","",INDEX('Prospect Tracker'!$L$5:$L$554,$K344)))</f>
        <v/>
      </c>
      <c r="K344" s="1" t="n">
        <f aca="false">IFERROR(MATCH(SMALL('Prospect Tracker'!$X$5:$X$554,ROW()-4),'Prospect Tracker'!$X$5:$X$554,0),"")</f>
        <v>340</v>
      </c>
    </row>
    <row r="345" customFormat="false" ht="15" hidden="false" customHeight="true" outlineLevel="0" collapsed="false">
      <c r="A345" s="6" t="str">
        <f aca="false">IF($K345="","",IF(INDEX('Prospect Tracker'!$W$5:$W$554,$K345)="","",INDEX('Prospect Tracker'!$W$5:$W$554,$K345)))</f>
        <v/>
      </c>
      <c r="B345" s="6" t="str">
        <f aca="false">IF($K345="","",IF(INDEX('Prospect Tracker'!$A$5:$A$554,$K345)="","",INDEX('Prospect Tracker'!$A$5:$A$554,$K345)))</f>
        <v/>
      </c>
      <c r="C345" s="6" t="str">
        <f aca="false">IF($K345="","",IF(INDEX('Prospect Tracker'!$B$5:$B$554,$K345)="","",INDEX('Prospect Tracker'!$B$5:$B$554,$K345)))</f>
        <v/>
      </c>
      <c r="D345" s="6" t="str">
        <f aca="false">IF($K345="","",IF(INDEX('Prospect Tracker'!$M$5:$M$554,$K345)="","",INDEX('Prospect Tracker'!$M$5:$M$554,$K345)))</f>
        <v/>
      </c>
      <c r="E345" s="6" t="str">
        <f aca="false">IF($K345="","",IF(INDEX('Prospect Tracker'!$R$5:$R$554,$K345)="","",INDEX('Prospect Tracker'!$R$5:$R$554,$K345)))</f>
        <v/>
      </c>
      <c r="F345" s="6" t="str">
        <f aca="false">IF($K345="","",IF(INDEX('Prospect Tracker'!$J$5:$J$554,$K345)="","",INDEX('Prospect Tracker'!$J$5:$J$554,$K345)))</f>
        <v/>
      </c>
      <c r="G345" s="6" t="str">
        <f aca="false">IF($K345="","",IF(INDEX('Prospect Tracker'!$H$5:$H$554,$K345)="","",INDEX('Prospect Tracker'!$H$5:$H$554,$K345)))</f>
        <v/>
      </c>
      <c r="H345" s="7" t="str">
        <f aca="false">IF($K345="","",IF(INDEX('Prospect Tracker'!$K$5:$K$554,$K345)="","",INDEX('Prospect Tracker'!$K$5:$K$554,$K345)))</f>
        <v/>
      </c>
      <c r="I345" s="6" t="str">
        <f aca="false">IF($K345="","",IF(INDEX('Prospect Tracker'!$T$5:$T$554,$K345)="","",INDEX('Prospect Tracker'!$T$5:$T$554,$K345)))</f>
        <v/>
      </c>
      <c r="J345" s="6" t="str">
        <f aca="false">IF($K345="","",IF(INDEX('Prospect Tracker'!$L$5:$L$554,$K345)="","",INDEX('Prospect Tracker'!$L$5:$L$554,$K345)))</f>
        <v/>
      </c>
      <c r="K345" s="1" t="n">
        <f aca="false">IFERROR(MATCH(SMALL('Prospect Tracker'!$X$5:$X$554,ROW()-4),'Prospect Tracker'!$X$5:$X$554,0),"")</f>
        <v>341</v>
      </c>
    </row>
    <row r="346" customFormat="false" ht="15" hidden="false" customHeight="true" outlineLevel="0" collapsed="false">
      <c r="A346" s="11" t="str">
        <f aca="false">IF($K346="","",IF(INDEX('Prospect Tracker'!$W$5:$W$554,$K346)="","",INDEX('Prospect Tracker'!$W$5:$W$554,$K346)))</f>
        <v/>
      </c>
      <c r="B346" s="11" t="str">
        <f aca="false">IF($K346="","",IF(INDEX('Prospect Tracker'!$A$5:$A$554,$K346)="","",INDEX('Prospect Tracker'!$A$5:$A$554,$K346)))</f>
        <v/>
      </c>
      <c r="C346" s="11" t="str">
        <f aca="false">IF($K346="","",IF(INDEX('Prospect Tracker'!$B$5:$B$554,$K346)="","",INDEX('Prospect Tracker'!$B$5:$B$554,$K346)))</f>
        <v/>
      </c>
      <c r="D346" s="11" t="str">
        <f aca="false">IF($K346="","",IF(INDEX('Prospect Tracker'!$M$5:$M$554,$K346)="","",INDEX('Prospect Tracker'!$M$5:$M$554,$K346)))</f>
        <v/>
      </c>
      <c r="E346" s="11" t="str">
        <f aca="false">IF($K346="","",IF(INDEX('Prospect Tracker'!$R$5:$R$554,$K346)="","",INDEX('Prospect Tracker'!$R$5:$R$554,$K346)))</f>
        <v/>
      </c>
      <c r="F346" s="11" t="str">
        <f aca="false">IF($K346="","",IF(INDEX('Prospect Tracker'!$J$5:$J$554,$K346)="","",INDEX('Prospect Tracker'!$J$5:$J$554,$K346)))</f>
        <v/>
      </c>
      <c r="G346" s="11" t="str">
        <f aca="false">IF($K346="","",IF(INDEX('Prospect Tracker'!$H$5:$H$554,$K346)="","",INDEX('Prospect Tracker'!$H$5:$H$554,$K346)))</f>
        <v/>
      </c>
      <c r="H346" s="12" t="str">
        <f aca="false">IF($K346="","",IF(INDEX('Prospect Tracker'!$K$5:$K$554,$K346)="","",INDEX('Prospect Tracker'!$K$5:$K$554,$K346)))</f>
        <v/>
      </c>
      <c r="I346" s="11" t="str">
        <f aca="false">IF($K346="","",IF(INDEX('Prospect Tracker'!$T$5:$T$554,$K346)="","",INDEX('Prospect Tracker'!$T$5:$T$554,$K346)))</f>
        <v/>
      </c>
      <c r="J346" s="11" t="str">
        <f aca="false">IF($K346="","",IF(INDEX('Prospect Tracker'!$L$5:$L$554,$K346)="","",INDEX('Prospect Tracker'!$L$5:$L$554,$K346)))</f>
        <v/>
      </c>
      <c r="K346" s="1" t="n">
        <f aca="false">IFERROR(MATCH(SMALL('Prospect Tracker'!$X$5:$X$554,ROW()-4),'Prospect Tracker'!$X$5:$X$554,0),"")</f>
        <v>342</v>
      </c>
    </row>
    <row r="347" customFormat="false" ht="15" hidden="false" customHeight="true" outlineLevel="0" collapsed="false">
      <c r="A347" s="6" t="str">
        <f aca="false">IF($K347="","",IF(INDEX('Prospect Tracker'!$W$5:$W$554,$K347)="","",INDEX('Prospect Tracker'!$W$5:$W$554,$K347)))</f>
        <v/>
      </c>
      <c r="B347" s="6" t="str">
        <f aca="false">IF($K347="","",IF(INDEX('Prospect Tracker'!$A$5:$A$554,$K347)="","",INDEX('Prospect Tracker'!$A$5:$A$554,$K347)))</f>
        <v/>
      </c>
      <c r="C347" s="6" t="str">
        <f aca="false">IF($K347="","",IF(INDEX('Prospect Tracker'!$B$5:$B$554,$K347)="","",INDEX('Prospect Tracker'!$B$5:$B$554,$K347)))</f>
        <v/>
      </c>
      <c r="D347" s="6" t="str">
        <f aca="false">IF($K347="","",IF(INDEX('Prospect Tracker'!$M$5:$M$554,$K347)="","",INDEX('Prospect Tracker'!$M$5:$M$554,$K347)))</f>
        <v/>
      </c>
      <c r="E347" s="6" t="str">
        <f aca="false">IF($K347="","",IF(INDEX('Prospect Tracker'!$R$5:$R$554,$K347)="","",INDEX('Prospect Tracker'!$R$5:$R$554,$K347)))</f>
        <v/>
      </c>
      <c r="F347" s="6" t="str">
        <f aca="false">IF($K347="","",IF(INDEX('Prospect Tracker'!$J$5:$J$554,$K347)="","",INDEX('Prospect Tracker'!$J$5:$J$554,$K347)))</f>
        <v/>
      </c>
      <c r="G347" s="6" t="str">
        <f aca="false">IF($K347="","",IF(INDEX('Prospect Tracker'!$H$5:$H$554,$K347)="","",INDEX('Prospect Tracker'!$H$5:$H$554,$K347)))</f>
        <v/>
      </c>
      <c r="H347" s="7" t="str">
        <f aca="false">IF($K347="","",IF(INDEX('Prospect Tracker'!$K$5:$K$554,$K347)="","",INDEX('Prospect Tracker'!$K$5:$K$554,$K347)))</f>
        <v/>
      </c>
      <c r="I347" s="6" t="str">
        <f aca="false">IF($K347="","",IF(INDEX('Prospect Tracker'!$T$5:$T$554,$K347)="","",INDEX('Prospect Tracker'!$T$5:$T$554,$K347)))</f>
        <v/>
      </c>
      <c r="J347" s="6" t="str">
        <f aca="false">IF($K347="","",IF(INDEX('Prospect Tracker'!$L$5:$L$554,$K347)="","",INDEX('Prospect Tracker'!$L$5:$L$554,$K347)))</f>
        <v/>
      </c>
      <c r="K347" s="1" t="n">
        <f aca="false">IFERROR(MATCH(SMALL('Prospect Tracker'!$X$5:$X$554,ROW()-4),'Prospect Tracker'!$X$5:$X$554,0),"")</f>
        <v>343</v>
      </c>
    </row>
    <row r="348" customFormat="false" ht="15" hidden="false" customHeight="true" outlineLevel="0" collapsed="false">
      <c r="A348" s="11" t="str">
        <f aca="false">IF($K348="","",IF(INDEX('Prospect Tracker'!$W$5:$W$554,$K348)="","",INDEX('Prospect Tracker'!$W$5:$W$554,$K348)))</f>
        <v/>
      </c>
      <c r="B348" s="11" t="str">
        <f aca="false">IF($K348="","",IF(INDEX('Prospect Tracker'!$A$5:$A$554,$K348)="","",INDEX('Prospect Tracker'!$A$5:$A$554,$K348)))</f>
        <v/>
      </c>
      <c r="C348" s="11" t="str">
        <f aca="false">IF($K348="","",IF(INDEX('Prospect Tracker'!$B$5:$B$554,$K348)="","",INDEX('Prospect Tracker'!$B$5:$B$554,$K348)))</f>
        <v/>
      </c>
      <c r="D348" s="11" t="str">
        <f aca="false">IF($K348="","",IF(INDEX('Prospect Tracker'!$M$5:$M$554,$K348)="","",INDEX('Prospect Tracker'!$M$5:$M$554,$K348)))</f>
        <v/>
      </c>
      <c r="E348" s="11" t="str">
        <f aca="false">IF($K348="","",IF(INDEX('Prospect Tracker'!$R$5:$R$554,$K348)="","",INDEX('Prospect Tracker'!$R$5:$R$554,$K348)))</f>
        <v/>
      </c>
      <c r="F348" s="11" t="str">
        <f aca="false">IF($K348="","",IF(INDEX('Prospect Tracker'!$J$5:$J$554,$K348)="","",INDEX('Prospect Tracker'!$J$5:$J$554,$K348)))</f>
        <v/>
      </c>
      <c r="G348" s="11" t="str">
        <f aca="false">IF($K348="","",IF(INDEX('Prospect Tracker'!$H$5:$H$554,$K348)="","",INDEX('Prospect Tracker'!$H$5:$H$554,$K348)))</f>
        <v/>
      </c>
      <c r="H348" s="12" t="str">
        <f aca="false">IF($K348="","",IF(INDEX('Prospect Tracker'!$K$5:$K$554,$K348)="","",INDEX('Prospect Tracker'!$K$5:$K$554,$K348)))</f>
        <v/>
      </c>
      <c r="I348" s="11" t="str">
        <f aca="false">IF($K348="","",IF(INDEX('Prospect Tracker'!$T$5:$T$554,$K348)="","",INDEX('Prospect Tracker'!$T$5:$T$554,$K348)))</f>
        <v/>
      </c>
      <c r="J348" s="11" t="str">
        <f aca="false">IF($K348="","",IF(INDEX('Prospect Tracker'!$L$5:$L$554,$K348)="","",INDEX('Prospect Tracker'!$L$5:$L$554,$K348)))</f>
        <v/>
      </c>
      <c r="K348" s="1" t="n">
        <f aca="false">IFERROR(MATCH(SMALL('Prospect Tracker'!$X$5:$X$554,ROW()-4),'Prospect Tracker'!$X$5:$X$554,0),"")</f>
        <v>344</v>
      </c>
    </row>
    <row r="349" customFormat="false" ht="15" hidden="false" customHeight="true" outlineLevel="0" collapsed="false">
      <c r="A349" s="6" t="str">
        <f aca="false">IF($K349="","",IF(INDEX('Prospect Tracker'!$W$5:$W$554,$K349)="","",INDEX('Prospect Tracker'!$W$5:$W$554,$K349)))</f>
        <v/>
      </c>
      <c r="B349" s="6" t="str">
        <f aca="false">IF($K349="","",IF(INDEX('Prospect Tracker'!$A$5:$A$554,$K349)="","",INDEX('Prospect Tracker'!$A$5:$A$554,$K349)))</f>
        <v/>
      </c>
      <c r="C349" s="6" t="str">
        <f aca="false">IF($K349="","",IF(INDEX('Prospect Tracker'!$B$5:$B$554,$K349)="","",INDEX('Prospect Tracker'!$B$5:$B$554,$K349)))</f>
        <v/>
      </c>
      <c r="D349" s="6" t="str">
        <f aca="false">IF($K349="","",IF(INDEX('Prospect Tracker'!$M$5:$M$554,$K349)="","",INDEX('Prospect Tracker'!$M$5:$M$554,$K349)))</f>
        <v/>
      </c>
      <c r="E349" s="6" t="str">
        <f aca="false">IF($K349="","",IF(INDEX('Prospect Tracker'!$R$5:$R$554,$K349)="","",INDEX('Prospect Tracker'!$R$5:$R$554,$K349)))</f>
        <v/>
      </c>
      <c r="F349" s="6" t="str">
        <f aca="false">IF($K349="","",IF(INDEX('Prospect Tracker'!$J$5:$J$554,$K349)="","",INDEX('Prospect Tracker'!$J$5:$J$554,$K349)))</f>
        <v/>
      </c>
      <c r="G349" s="6" t="str">
        <f aca="false">IF($K349="","",IF(INDEX('Prospect Tracker'!$H$5:$H$554,$K349)="","",INDEX('Prospect Tracker'!$H$5:$H$554,$K349)))</f>
        <v/>
      </c>
      <c r="H349" s="7" t="str">
        <f aca="false">IF($K349="","",IF(INDEX('Prospect Tracker'!$K$5:$K$554,$K349)="","",INDEX('Prospect Tracker'!$K$5:$K$554,$K349)))</f>
        <v/>
      </c>
      <c r="I349" s="6" t="str">
        <f aca="false">IF($K349="","",IF(INDEX('Prospect Tracker'!$T$5:$T$554,$K349)="","",INDEX('Prospect Tracker'!$T$5:$T$554,$K349)))</f>
        <v/>
      </c>
      <c r="J349" s="6" t="str">
        <f aca="false">IF($K349="","",IF(INDEX('Prospect Tracker'!$L$5:$L$554,$K349)="","",INDEX('Prospect Tracker'!$L$5:$L$554,$K349)))</f>
        <v/>
      </c>
      <c r="K349" s="1" t="n">
        <f aca="false">IFERROR(MATCH(SMALL('Prospect Tracker'!$X$5:$X$554,ROW()-4),'Prospect Tracker'!$X$5:$X$554,0),"")</f>
        <v>345</v>
      </c>
    </row>
    <row r="350" customFormat="false" ht="15" hidden="false" customHeight="true" outlineLevel="0" collapsed="false">
      <c r="A350" s="11" t="str">
        <f aca="false">IF($K350="","",IF(INDEX('Prospect Tracker'!$W$5:$W$554,$K350)="","",INDEX('Prospect Tracker'!$W$5:$W$554,$K350)))</f>
        <v/>
      </c>
      <c r="B350" s="11" t="str">
        <f aca="false">IF($K350="","",IF(INDEX('Prospect Tracker'!$A$5:$A$554,$K350)="","",INDEX('Prospect Tracker'!$A$5:$A$554,$K350)))</f>
        <v/>
      </c>
      <c r="C350" s="11" t="str">
        <f aca="false">IF($K350="","",IF(INDEX('Prospect Tracker'!$B$5:$B$554,$K350)="","",INDEX('Prospect Tracker'!$B$5:$B$554,$K350)))</f>
        <v/>
      </c>
      <c r="D350" s="11" t="str">
        <f aca="false">IF($K350="","",IF(INDEX('Prospect Tracker'!$M$5:$M$554,$K350)="","",INDEX('Prospect Tracker'!$M$5:$M$554,$K350)))</f>
        <v/>
      </c>
      <c r="E350" s="11" t="str">
        <f aca="false">IF($K350="","",IF(INDEX('Prospect Tracker'!$R$5:$R$554,$K350)="","",INDEX('Prospect Tracker'!$R$5:$R$554,$K350)))</f>
        <v/>
      </c>
      <c r="F350" s="11" t="str">
        <f aca="false">IF($K350="","",IF(INDEX('Prospect Tracker'!$J$5:$J$554,$K350)="","",INDEX('Prospect Tracker'!$J$5:$J$554,$K350)))</f>
        <v/>
      </c>
      <c r="G350" s="11" t="str">
        <f aca="false">IF($K350="","",IF(INDEX('Prospect Tracker'!$H$5:$H$554,$K350)="","",INDEX('Prospect Tracker'!$H$5:$H$554,$K350)))</f>
        <v/>
      </c>
      <c r="H350" s="12" t="str">
        <f aca="false">IF($K350="","",IF(INDEX('Prospect Tracker'!$K$5:$K$554,$K350)="","",INDEX('Prospect Tracker'!$K$5:$K$554,$K350)))</f>
        <v/>
      </c>
      <c r="I350" s="11" t="str">
        <f aca="false">IF($K350="","",IF(INDEX('Prospect Tracker'!$T$5:$T$554,$K350)="","",INDEX('Prospect Tracker'!$T$5:$T$554,$K350)))</f>
        <v/>
      </c>
      <c r="J350" s="11" t="str">
        <f aca="false">IF($K350="","",IF(INDEX('Prospect Tracker'!$L$5:$L$554,$K350)="","",INDEX('Prospect Tracker'!$L$5:$L$554,$K350)))</f>
        <v/>
      </c>
      <c r="K350" s="1" t="n">
        <f aca="false">IFERROR(MATCH(SMALL('Prospect Tracker'!$X$5:$X$554,ROW()-4),'Prospect Tracker'!$X$5:$X$554,0),"")</f>
        <v>346</v>
      </c>
    </row>
    <row r="351" customFormat="false" ht="15" hidden="false" customHeight="true" outlineLevel="0" collapsed="false">
      <c r="A351" s="6" t="str">
        <f aca="false">IF($K351="","",IF(INDEX('Prospect Tracker'!$W$5:$W$554,$K351)="","",INDEX('Prospect Tracker'!$W$5:$W$554,$K351)))</f>
        <v/>
      </c>
      <c r="B351" s="6" t="str">
        <f aca="false">IF($K351="","",IF(INDEX('Prospect Tracker'!$A$5:$A$554,$K351)="","",INDEX('Prospect Tracker'!$A$5:$A$554,$K351)))</f>
        <v/>
      </c>
      <c r="C351" s="6" t="str">
        <f aca="false">IF($K351="","",IF(INDEX('Prospect Tracker'!$B$5:$B$554,$K351)="","",INDEX('Prospect Tracker'!$B$5:$B$554,$K351)))</f>
        <v/>
      </c>
      <c r="D351" s="6" t="str">
        <f aca="false">IF($K351="","",IF(INDEX('Prospect Tracker'!$M$5:$M$554,$K351)="","",INDEX('Prospect Tracker'!$M$5:$M$554,$K351)))</f>
        <v/>
      </c>
      <c r="E351" s="6" t="str">
        <f aca="false">IF($K351="","",IF(INDEX('Prospect Tracker'!$R$5:$R$554,$K351)="","",INDEX('Prospect Tracker'!$R$5:$R$554,$K351)))</f>
        <v/>
      </c>
      <c r="F351" s="6" t="str">
        <f aca="false">IF($K351="","",IF(INDEX('Prospect Tracker'!$J$5:$J$554,$K351)="","",INDEX('Prospect Tracker'!$J$5:$J$554,$K351)))</f>
        <v/>
      </c>
      <c r="G351" s="6" t="str">
        <f aca="false">IF($K351="","",IF(INDEX('Prospect Tracker'!$H$5:$H$554,$K351)="","",INDEX('Prospect Tracker'!$H$5:$H$554,$K351)))</f>
        <v/>
      </c>
      <c r="H351" s="7" t="str">
        <f aca="false">IF($K351="","",IF(INDEX('Prospect Tracker'!$K$5:$K$554,$K351)="","",INDEX('Prospect Tracker'!$K$5:$K$554,$K351)))</f>
        <v/>
      </c>
      <c r="I351" s="6" t="str">
        <f aca="false">IF($K351="","",IF(INDEX('Prospect Tracker'!$T$5:$T$554,$K351)="","",INDEX('Prospect Tracker'!$T$5:$T$554,$K351)))</f>
        <v/>
      </c>
      <c r="J351" s="6" t="str">
        <f aca="false">IF($K351="","",IF(INDEX('Prospect Tracker'!$L$5:$L$554,$K351)="","",INDEX('Prospect Tracker'!$L$5:$L$554,$K351)))</f>
        <v/>
      </c>
      <c r="K351" s="1" t="n">
        <f aca="false">IFERROR(MATCH(SMALL('Prospect Tracker'!$X$5:$X$554,ROW()-4),'Prospect Tracker'!$X$5:$X$554,0),"")</f>
        <v>347</v>
      </c>
    </row>
    <row r="352" customFormat="false" ht="15" hidden="false" customHeight="true" outlineLevel="0" collapsed="false">
      <c r="A352" s="11" t="str">
        <f aca="false">IF($K352="","",IF(INDEX('Prospect Tracker'!$W$5:$W$554,$K352)="","",INDEX('Prospect Tracker'!$W$5:$W$554,$K352)))</f>
        <v/>
      </c>
      <c r="B352" s="11" t="str">
        <f aca="false">IF($K352="","",IF(INDEX('Prospect Tracker'!$A$5:$A$554,$K352)="","",INDEX('Prospect Tracker'!$A$5:$A$554,$K352)))</f>
        <v/>
      </c>
      <c r="C352" s="11" t="str">
        <f aca="false">IF($K352="","",IF(INDEX('Prospect Tracker'!$B$5:$B$554,$K352)="","",INDEX('Prospect Tracker'!$B$5:$B$554,$K352)))</f>
        <v/>
      </c>
      <c r="D352" s="11" t="str">
        <f aca="false">IF($K352="","",IF(INDEX('Prospect Tracker'!$M$5:$M$554,$K352)="","",INDEX('Prospect Tracker'!$M$5:$M$554,$K352)))</f>
        <v/>
      </c>
      <c r="E352" s="11" t="str">
        <f aca="false">IF($K352="","",IF(INDEX('Prospect Tracker'!$R$5:$R$554,$K352)="","",INDEX('Prospect Tracker'!$R$5:$R$554,$K352)))</f>
        <v/>
      </c>
      <c r="F352" s="11" t="str">
        <f aca="false">IF($K352="","",IF(INDEX('Prospect Tracker'!$J$5:$J$554,$K352)="","",INDEX('Prospect Tracker'!$J$5:$J$554,$K352)))</f>
        <v/>
      </c>
      <c r="G352" s="11" t="str">
        <f aca="false">IF($K352="","",IF(INDEX('Prospect Tracker'!$H$5:$H$554,$K352)="","",INDEX('Prospect Tracker'!$H$5:$H$554,$K352)))</f>
        <v/>
      </c>
      <c r="H352" s="12" t="str">
        <f aca="false">IF($K352="","",IF(INDEX('Prospect Tracker'!$K$5:$K$554,$K352)="","",INDEX('Prospect Tracker'!$K$5:$K$554,$K352)))</f>
        <v/>
      </c>
      <c r="I352" s="11" t="str">
        <f aca="false">IF($K352="","",IF(INDEX('Prospect Tracker'!$T$5:$T$554,$K352)="","",INDEX('Prospect Tracker'!$T$5:$T$554,$K352)))</f>
        <v/>
      </c>
      <c r="J352" s="11" t="str">
        <f aca="false">IF($K352="","",IF(INDEX('Prospect Tracker'!$L$5:$L$554,$K352)="","",INDEX('Prospect Tracker'!$L$5:$L$554,$K352)))</f>
        <v/>
      </c>
      <c r="K352" s="1" t="n">
        <f aca="false">IFERROR(MATCH(SMALL('Prospect Tracker'!$X$5:$X$554,ROW()-4),'Prospect Tracker'!$X$5:$X$554,0),"")</f>
        <v>348</v>
      </c>
    </row>
    <row r="353" customFormat="false" ht="15" hidden="false" customHeight="true" outlineLevel="0" collapsed="false">
      <c r="A353" s="6" t="str">
        <f aca="false">IF($K353="","",IF(INDEX('Prospect Tracker'!$W$5:$W$554,$K353)="","",INDEX('Prospect Tracker'!$W$5:$W$554,$K353)))</f>
        <v/>
      </c>
      <c r="B353" s="6" t="str">
        <f aca="false">IF($K353="","",IF(INDEX('Prospect Tracker'!$A$5:$A$554,$K353)="","",INDEX('Prospect Tracker'!$A$5:$A$554,$K353)))</f>
        <v/>
      </c>
      <c r="C353" s="6" t="str">
        <f aca="false">IF($K353="","",IF(INDEX('Prospect Tracker'!$B$5:$B$554,$K353)="","",INDEX('Prospect Tracker'!$B$5:$B$554,$K353)))</f>
        <v/>
      </c>
      <c r="D353" s="6" t="str">
        <f aca="false">IF($K353="","",IF(INDEX('Prospect Tracker'!$M$5:$M$554,$K353)="","",INDEX('Prospect Tracker'!$M$5:$M$554,$K353)))</f>
        <v/>
      </c>
      <c r="E353" s="6" t="str">
        <f aca="false">IF($K353="","",IF(INDEX('Prospect Tracker'!$R$5:$R$554,$K353)="","",INDEX('Prospect Tracker'!$R$5:$R$554,$K353)))</f>
        <v/>
      </c>
      <c r="F353" s="6" t="str">
        <f aca="false">IF($K353="","",IF(INDEX('Prospect Tracker'!$J$5:$J$554,$K353)="","",INDEX('Prospect Tracker'!$J$5:$J$554,$K353)))</f>
        <v/>
      </c>
      <c r="G353" s="6" t="str">
        <f aca="false">IF($K353="","",IF(INDEX('Prospect Tracker'!$H$5:$H$554,$K353)="","",INDEX('Prospect Tracker'!$H$5:$H$554,$K353)))</f>
        <v/>
      </c>
      <c r="H353" s="7" t="str">
        <f aca="false">IF($K353="","",IF(INDEX('Prospect Tracker'!$K$5:$K$554,$K353)="","",INDEX('Prospect Tracker'!$K$5:$K$554,$K353)))</f>
        <v/>
      </c>
      <c r="I353" s="6" t="str">
        <f aca="false">IF($K353="","",IF(INDEX('Prospect Tracker'!$T$5:$T$554,$K353)="","",INDEX('Prospect Tracker'!$T$5:$T$554,$K353)))</f>
        <v/>
      </c>
      <c r="J353" s="6" t="str">
        <f aca="false">IF($K353="","",IF(INDEX('Prospect Tracker'!$L$5:$L$554,$K353)="","",INDEX('Prospect Tracker'!$L$5:$L$554,$K353)))</f>
        <v/>
      </c>
      <c r="K353" s="1" t="n">
        <f aca="false">IFERROR(MATCH(SMALL('Prospect Tracker'!$X$5:$X$554,ROW()-4),'Prospect Tracker'!$X$5:$X$554,0),"")</f>
        <v>349</v>
      </c>
    </row>
    <row r="354" customFormat="false" ht="15" hidden="false" customHeight="true" outlineLevel="0" collapsed="false">
      <c r="A354" s="11" t="str">
        <f aca="false">IF($K354="","",IF(INDEX('Prospect Tracker'!$W$5:$W$554,$K354)="","",INDEX('Prospect Tracker'!$W$5:$W$554,$K354)))</f>
        <v/>
      </c>
      <c r="B354" s="11" t="str">
        <f aca="false">IF($K354="","",IF(INDEX('Prospect Tracker'!$A$5:$A$554,$K354)="","",INDEX('Prospect Tracker'!$A$5:$A$554,$K354)))</f>
        <v/>
      </c>
      <c r="C354" s="11" t="str">
        <f aca="false">IF($K354="","",IF(INDEX('Prospect Tracker'!$B$5:$B$554,$K354)="","",INDEX('Prospect Tracker'!$B$5:$B$554,$K354)))</f>
        <v/>
      </c>
      <c r="D354" s="11" t="str">
        <f aca="false">IF($K354="","",IF(INDEX('Prospect Tracker'!$M$5:$M$554,$K354)="","",INDEX('Prospect Tracker'!$M$5:$M$554,$K354)))</f>
        <v/>
      </c>
      <c r="E354" s="11" t="str">
        <f aca="false">IF($K354="","",IF(INDEX('Prospect Tracker'!$R$5:$R$554,$K354)="","",INDEX('Prospect Tracker'!$R$5:$R$554,$K354)))</f>
        <v/>
      </c>
      <c r="F354" s="11" t="str">
        <f aca="false">IF($K354="","",IF(INDEX('Prospect Tracker'!$J$5:$J$554,$K354)="","",INDEX('Prospect Tracker'!$J$5:$J$554,$K354)))</f>
        <v/>
      </c>
      <c r="G354" s="11" t="str">
        <f aca="false">IF($K354="","",IF(INDEX('Prospect Tracker'!$H$5:$H$554,$K354)="","",INDEX('Prospect Tracker'!$H$5:$H$554,$K354)))</f>
        <v/>
      </c>
      <c r="H354" s="12" t="str">
        <f aca="false">IF($K354="","",IF(INDEX('Prospect Tracker'!$K$5:$K$554,$K354)="","",INDEX('Prospect Tracker'!$K$5:$K$554,$K354)))</f>
        <v/>
      </c>
      <c r="I354" s="11" t="str">
        <f aca="false">IF($K354="","",IF(INDEX('Prospect Tracker'!$T$5:$T$554,$K354)="","",INDEX('Prospect Tracker'!$T$5:$T$554,$K354)))</f>
        <v/>
      </c>
      <c r="J354" s="11" t="str">
        <f aca="false">IF($K354="","",IF(INDEX('Prospect Tracker'!$L$5:$L$554,$K354)="","",INDEX('Prospect Tracker'!$L$5:$L$554,$K354)))</f>
        <v/>
      </c>
      <c r="K354" s="1" t="n">
        <f aca="false">IFERROR(MATCH(SMALL('Prospect Tracker'!$X$5:$X$554,ROW()-4),'Prospect Tracker'!$X$5:$X$554,0),"")</f>
        <v>350</v>
      </c>
    </row>
    <row r="355" customFormat="false" ht="15" hidden="false" customHeight="true" outlineLevel="0" collapsed="false">
      <c r="A355" s="6" t="str">
        <f aca="false">IF($K355="","",IF(INDEX('Prospect Tracker'!$W$5:$W$554,$K355)="","",INDEX('Prospect Tracker'!$W$5:$W$554,$K355)))</f>
        <v/>
      </c>
      <c r="B355" s="6" t="str">
        <f aca="false">IF($K355="","",IF(INDEX('Prospect Tracker'!$A$5:$A$554,$K355)="","",INDEX('Prospect Tracker'!$A$5:$A$554,$K355)))</f>
        <v/>
      </c>
      <c r="C355" s="6" t="str">
        <f aca="false">IF($K355="","",IF(INDEX('Prospect Tracker'!$B$5:$B$554,$K355)="","",INDEX('Prospect Tracker'!$B$5:$B$554,$K355)))</f>
        <v/>
      </c>
      <c r="D355" s="6" t="str">
        <f aca="false">IF($K355="","",IF(INDEX('Prospect Tracker'!$M$5:$M$554,$K355)="","",INDEX('Prospect Tracker'!$M$5:$M$554,$K355)))</f>
        <v/>
      </c>
      <c r="E355" s="6" t="str">
        <f aca="false">IF($K355="","",IF(INDEX('Prospect Tracker'!$R$5:$R$554,$K355)="","",INDEX('Prospect Tracker'!$R$5:$R$554,$K355)))</f>
        <v/>
      </c>
      <c r="F355" s="6" t="str">
        <f aca="false">IF($K355="","",IF(INDEX('Prospect Tracker'!$J$5:$J$554,$K355)="","",INDEX('Prospect Tracker'!$J$5:$J$554,$K355)))</f>
        <v/>
      </c>
      <c r="G355" s="6" t="str">
        <f aca="false">IF($K355="","",IF(INDEX('Prospect Tracker'!$H$5:$H$554,$K355)="","",INDEX('Prospect Tracker'!$H$5:$H$554,$K355)))</f>
        <v/>
      </c>
      <c r="H355" s="7" t="str">
        <f aca="false">IF($K355="","",IF(INDEX('Prospect Tracker'!$K$5:$K$554,$K355)="","",INDEX('Prospect Tracker'!$K$5:$K$554,$K355)))</f>
        <v/>
      </c>
      <c r="I355" s="6" t="str">
        <f aca="false">IF($K355="","",IF(INDEX('Prospect Tracker'!$T$5:$T$554,$K355)="","",INDEX('Prospect Tracker'!$T$5:$T$554,$K355)))</f>
        <v/>
      </c>
      <c r="J355" s="6" t="str">
        <f aca="false">IF($K355="","",IF(INDEX('Prospect Tracker'!$L$5:$L$554,$K355)="","",INDEX('Prospect Tracker'!$L$5:$L$554,$K355)))</f>
        <v/>
      </c>
      <c r="K355" s="1" t="n">
        <f aca="false">IFERROR(MATCH(SMALL('Prospect Tracker'!$X$5:$X$554,ROW()-4),'Prospect Tracker'!$X$5:$X$554,0),"")</f>
        <v>351</v>
      </c>
    </row>
    <row r="356" customFormat="false" ht="15" hidden="false" customHeight="true" outlineLevel="0" collapsed="false">
      <c r="A356" s="11" t="str">
        <f aca="false">IF($K356="","",IF(INDEX('Prospect Tracker'!$W$5:$W$554,$K356)="","",INDEX('Prospect Tracker'!$W$5:$W$554,$K356)))</f>
        <v/>
      </c>
      <c r="B356" s="11" t="str">
        <f aca="false">IF($K356="","",IF(INDEX('Prospect Tracker'!$A$5:$A$554,$K356)="","",INDEX('Prospect Tracker'!$A$5:$A$554,$K356)))</f>
        <v/>
      </c>
      <c r="C356" s="11" t="str">
        <f aca="false">IF($K356="","",IF(INDEX('Prospect Tracker'!$B$5:$B$554,$K356)="","",INDEX('Prospect Tracker'!$B$5:$B$554,$K356)))</f>
        <v/>
      </c>
      <c r="D356" s="11" t="str">
        <f aca="false">IF($K356="","",IF(INDEX('Prospect Tracker'!$M$5:$M$554,$K356)="","",INDEX('Prospect Tracker'!$M$5:$M$554,$K356)))</f>
        <v/>
      </c>
      <c r="E356" s="11" t="str">
        <f aca="false">IF($K356="","",IF(INDEX('Prospect Tracker'!$R$5:$R$554,$K356)="","",INDEX('Prospect Tracker'!$R$5:$R$554,$K356)))</f>
        <v/>
      </c>
      <c r="F356" s="11" t="str">
        <f aca="false">IF($K356="","",IF(INDEX('Prospect Tracker'!$J$5:$J$554,$K356)="","",INDEX('Prospect Tracker'!$J$5:$J$554,$K356)))</f>
        <v/>
      </c>
      <c r="G356" s="11" t="str">
        <f aca="false">IF($K356="","",IF(INDEX('Prospect Tracker'!$H$5:$H$554,$K356)="","",INDEX('Prospect Tracker'!$H$5:$H$554,$K356)))</f>
        <v/>
      </c>
      <c r="H356" s="12" t="str">
        <f aca="false">IF($K356="","",IF(INDEX('Prospect Tracker'!$K$5:$K$554,$K356)="","",INDEX('Prospect Tracker'!$K$5:$K$554,$K356)))</f>
        <v/>
      </c>
      <c r="I356" s="11" t="str">
        <f aca="false">IF($K356="","",IF(INDEX('Prospect Tracker'!$T$5:$T$554,$K356)="","",INDEX('Prospect Tracker'!$T$5:$T$554,$K356)))</f>
        <v/>
      </c>
      <c r="J356" s="11" t="str">
        <f aca="false">IF($K356="","",IF(INDEX('Prospect Tracker'!$L$5:$L$554,$K356)="","",INDEX('Prospect Tracker'!$L$5:$L$554,$K356)))</f>
        <v/>
      </c>
      <c r="K356" s="1" t="n">
        <f aca="false">IFERROR(MATCH(SMALL('Prospect Tracker'!$X$5:$X$554,ROW()-4),'Prospect Tracker'!$X$5:$X$554,0),"")</f>
        <v>352</v>
      </c>
    </row>
    <row r="357" customFormat="false" ht="15" hidden="false" customHeight="true" outlineLevel="0" collapsed="false">
      <c r="A357" s="6" t="str">
        <f aca="false">IF($K357="","",IF(INDEX('Prospect Tracker'!$W$5:$W$554,$K357)="","",INDEX('Prospect Tracker'!$W$5:$W$554,$K357)))</f>
        <v/>
      </c>
      <c r="B357" s="6" t="str">
        <f aca="false">IF($K357="","",IF(INDEX('Prospect Tracker'!$A$5:$A$554,$K357)="","",INDEX('Prospect Tracker'!$A$5:$A$554,$K357)))</f>
        <v/>
      </c>
      <c r="C357" s="6" t="str">
        <f aca="false">IF($K357="","",IF(INDEX('Prospect Tracker'!$B$5:$B$554,$K357)="","",INDEX('Prospect Tracker'!$B$5:$B$554,$K357)))</f>
        <v/>
      </c>
      <c r="D357" s="6" t="str">
        <f aca="false">IF($K357="","",IF(INDEX('Prospect Tracker'!$M$5:$M$554,$K357)="","",INDEX('Prospect Tracker'!$M$5:$M$554,$K357)))</f>
        <v/>
      </c>
      <c r="E357" s="6" t="str">
        <f aca="false">IF($K357="","",IF(INDEX('Prospect Tracker'!$R$5:$R$554,$K357)="","",INDEX('Prospect Tracker'!$R$5:$R$554,$K357)))</f>
        <v/>
      </c>
      <c r="F357" s="6" t="str">
        <f aca="false">IF($K357="","",IF(INDEX('Prospect Tracker'!$J$5:$J$554,$K357)="","",INDEX('Prospect Tracker'!$J$5:$J$554,$K357)))</f>
        <v/>
      </c>
      <c r="G357" s="6" t="str">
        <f aca="false">IF($K357="","",IF(INDEX('Prospect Tracker'!$H$5:$H$554,$K357)="","",INDEX('Prospect Tracker'!$H$5:$H$554,$K357)))</f>
        <v/>
      </c>
      <c r="H357" s="7" t="str">
        <f aca="false">IF($K357="","",IF(INDEX('Prospect Tracker'!$K$5:$K$554,$K357)="","",INDEX('Prospect Tracker'!$K$5:$K$554,$K357)))</f>
        <v/>
      </c>
      <c r="I357" s="6" t="str">
        <f aca="false">IF($K357="","",IF(INDEX('Prospect Tracker'!$T$5:$T$554,$K357)="","",INDEX('Prospect Tracker'!$T$5:$T$554,$K357)))</f>
        <v/>
      </c>
      <c r="J357" s="6" t="str">
        <f aca="false">IF($K357="","",IF(INDEX('Prospect Tracker'!$L$5:$L$554,$K357)="","",INDEX('Prospect Tracker'!$L$5:$L$554,$K357)))</f>
        <v/>
      </c>
      <c r="K357" s="1" t="n">
        <f aca="false">IFERROR(MATCH(SMALL('Prospect Tracker'!$X$5:$X$554,ROW()-4),'Prospect Tracker'!$X$5:$X$554,0),"")</f>
        <v>353</v>
      </c>
    </row>
    <row r="358" customFormat="false" ht="15" hidden="false" customHeight="true" outlineLevel="0" collapsed="false">
      <c r="A358" s="11" t="str">
        <f aca="false">IF($K358="","",IF(INDEX('Prospect Tracker'!$W$5:$W$554,$K358)="","",INDEX('Prospect Tracker'!$W$5:$W$554,$K358)))</f>
        <v/>
      </c>
      <c r="B358" s="11" t="str">
        <f aca="false">IF($K358="","",IF(INDEX('Prospect Tracker'!$A$5:$A$554,$K358)="","",INDEX('Prospect Tracker'!$A$5:$A$554,$K358)))</f>
        <v/>
      </c>
      <c r="C358" s="11" t="str">
        <f aca="false">IF($K358="","",IF(INDEX('Prospect Tracker'!$B$5:$B$554,$K358)="","",INDEX('Prospect Tracker'!$B$5:$B$554,$K358)))</f>
        <v/>
      </c>
      <c r="D358" s="11" t="str">
        <f aca="false">IF($K358="","",IF(INDEX('Prospect Tracker'!$M$5:$M$554,$K358)="","",INDEX('Prospect Tracker'!$M$5:$M$554,$K358)))</f>
        <v/>
      </c>
      <c r="E358" s="11" t="str">
        <f aca="false">IF($K358="","",IF(INDEX('Prospect Tracker'!$R$5:$R$554,$K358)="","",INDEX('Prospect Tracker'!$R$5:$R$554,$K358)))</f>
        <v/>
      </c>
      <c r="F358" s="11" t="str">
        <f aca="false">IF($K358="","",IF(INDEX('Prospect Tracker'!$J$5:$J$554,$K358)="","",INDEX('Prospect Tracker'!$J$5:$J$554,$K358)))</f>
        <v/>
      </c>
      <c r="G358" s="11" t="str">
        <f aca="false">IF($K358="","",IF(INDEX('Prospect Tracker'!$H$5:$H$554,$K358)="","",INDEX('Prospect Tracker'!$H$5:$H$554,$K358)))</f>
        <v/>
      </c>
      <c r="H358" s="12" t="str">
        <f aca="false">IF($K358="","",IF(INDEX('Prospect Tracker'!$K$5:$K$554,$K358)="","",INDEX('Prospect Tracker'!$K$5:$K$554,$K358)))</f>
        <v/>
      </c>
      <c r="I358" s="11" t="str">
        <f aca="false">IF($K358="","",IF(INDEX('Prospect Tracker'!$T$5:$T$554,$K358)="","",INDEX('Prospect Tracker'!$T$5:$T$554,$K358)))</f>
        <v/>
      </c>
      <c r="J358" s="11" t="str">
        <f aca="false">IF($K358="","",IF(INDEX('Prospect Tracker'!$L$5:$L$554,$K358)="","",INDEX('Prospect Tracker'!$L$5:$L$554,$K358)))</f>
        <v/>
      </c>
      <c r="K358" s="1" t="n">
        <f aca="false">IFERROR(MATCH(SMALL('Prospect Tracker'!$X$5:$X$554,ROW()-4),'Prospect Tracker'!$X$5:$X$554,0),"")</f>
        <v>354</v>
      </c>
    </row>
    <row r="359" customFormat="false" ht="15" hidden="false" customHeight="true" outlineLevel="0" collapsed="false">
      <c r="A359" s="6" t="str">
        <f aca="false">IF($K359="","",IF(INDEX('Prospect Tracker'!$W$5:$W$554,$K359)="","",INDEX('Prospect Tracker'!$W$5:$W$554,$K359)))</f>
        <v/>
      </c>
      <c r="B359" s="6" t="str">
        <f aca="false">IF($K359="","",IF(INDEX('Prospect Tracker'!$A$5:$A$554,$K359)="","",INDEX('Prospect Tracker'!$A$5:$A$554,$K359)))</f>
        <v/>
      </c>
      <c r="C359" s="6" t="str">
        <f aca="false">IF($K359="","",IF(INDEX('Prospect Tracker'!$B$5:$B$554,$K359)="","",INDEX('Prospect Tracker'!$B$5:$B$554,$K359)))</f>
        <v/>
      </c>
      <c r="D359" s="6" t="str">
        <f aca="false">IF($K359="","",IF(INDEX('Prospect Tracker'!$M$5:$M$554,$K359)="","",INDEX('Prospect Tracker'!$M$5:$M$554,$K359)))</f>
        <v/>
      </c>
      <c r="E359" s="6" t="str">
        <f aca="false">IF($K359="","",IF(INDEX('Prospect Tracker'!$R$5:$R$554,$K359)="","",INDEX('Prospect Tracker'!$R$5:$R$554,$K359)))</f>
        <v/>
      </c>
      <c r="F359" s="6" t="str">
        <f aca="false">IF($K359="","",IF(INDEX('Prospect Tracker'!$J$5:$J$554,$K359)="","",INDEX('Prospect Tracker'!$J$5:$J$554,$K359)))</f>
        <v/>
      </c>
      <c r="G359" s="6" t="str">
        <f aca="false">IF($K359="","",IF(INDEX('Prospect Tracker'!$H$5:$H$554,$K359)="","",INDEX('Prospect Tracker'!$H$5:$H$554,$K359)))</f>
        <v/>
      </c>
      <c r="H359" s="7" t="str">
        <f aca="false">IF($K359="","",IF(INDEX('Prospect Tracker'!$K$5:$K$554,$K359)="","",INDEX('Prospect Tracker'!$K$5:$K$554,$K359)))</f>
        <v/>
      </c>
      <c r="I359" s="6" t="str">
        <f aca="false">IF($K359="","",IF(INDEX('Prospect Tracker'!$T$5:$T$554,$K359)="","",INDEX('Prospect Tracker'!$T$5:$T$554,$K359)))</f>
        <v/>
      </c>
      <c r="J359" s="6" t="str">
        <f aca="false">IF($K359="","",IF(INDEX('Prospect Tracker'!$L$5:$L$554,$K359)="","",INDEX('Prospect Tracker'!$L$5:$L$554,$K359)))</f>
        <v/>
      </c>
      <c r="K359" s="1" t="n">
        <f aca="false">IFERROR(MATCH(SMALL('Prospect Tracker'!$X$5:$X$554,ROW()-4),'Prospect Tracker'!$X$5:$X$554,0),"")</f>
        <v>355</v>
      </c>
    </row>
    <row r="360" customFormat="false" ht="15" hidden="false" customHeight="true" outlineLevel="0" collapsed="false">
      <c r="A360" s="11" t="str">
        <f aca="false">IF($K360="","",IF(INDEX('Prospect Tracker'!$W$5:$W$554,$K360)="","",INDEX('Prospect Tracker'!$W$5:$W$554,$K360)))</f>
        <v/>
      </c>
      <c r="B360" s="11" t="str">
        <f aca="false">IF($K360="","",IF(INDEX('Prospect Tracker'!$A$5:$A$554,$K360)="","",INDEX('Prospect Tracker'!$A$5:$A$554,$K360)))</f>
        <v/>
      </c>
      <c r="C360" s="11" t="str">
        <f aca="false">IF($K360="","",IF(INDEX('Prospect Tracker'!$B$5:$B$554,$K360)="","",INDEX('Prospect Tracker'!$B$5:$B$554,$K360)))</f>
        <v/>
      </c>
      <c r="D360" s="11" t="str">
        <f aca="false">IF($K360="","",IF(INDEX('Prospect Tracker'!$M$5:$M$554,$K360)="","",INDEX('Prospect Tracker'!$M$5:$M$554,$K360)))</f>
        <v/>
      </c>
      <c r="E360" s="11" t="str">
        <f aca="false">IF($K360="","",IF(INDEX('Prospect Tracker'!$R$5:$R$554,$K360)="","",INDEX('Prospect Tracker'!$R$5:$R$554,$K360)))</f>
        <v/>
      </c>
      <c r="F360" s="11" t="str">
        <f aca="false">IF($K360="","",IF(INDEX('Prospect Tracker'!$J$5:$J$554,$K360)="","",INDEX('Prospect Tracker'!$J$5:$J$554,$K360)))</f>
        <v/>
      </c>
      <c r="G360" s="11" t="str">
        <f aca="false">IF($K360="","",IF(INDEX('Prospect Tracker'!$H$5:$H$554,$K360)="","",INDEX('Prospect Tracker'!$H$5:$H$554,$K360)))</f>
        <v/>
      </c>
      <c r="H360" s="12" t="str">
        <f aca="false">IF($K360="","",IF(INDEX('Prospect Tracker'!$K$5:$K$554,$K360)="","",INDEX('Prospect Tracker'!$K$5:$K$554,$K360)))</f>
        <v/>
      </c>
      <c r="I360" s="11" t="str">
        <f aca="false">IF($K360="","",IF(INDEX('Prospect Tracker'!$T$5:$T$554,$K360)="","",INDEX('Prospect Tracker'!$T$5:$T$554,$K360)))</f>
        <v/>
      </c>
      <c r="J360" s="11" t="str">
        <f aca="false">IF($K360="","",IF(INDEX('Prospect Tracker'!$L$5:$L$554,$K360)="","",INDEX('Prospect Tracker'!$L$5:$L$554,$K360)))</f>
        <v/>
      </c>
      <c r="K360" s="1" t="n">
        <f aca="false">IFERROR(MATCH(SMALL('Prospect Tracker'!$X$5:$X$554,ROW()-4),'Prospect Tracker'!$X$5:$X$554,0),"")</f>
        <v>356</v>
      </c>
    </row>
    <row r="361" customFormat="false" ht="15" hidden="false" customHeight="true" outlineLevel="0" collapsed="false">
      <c r="A361" s="6" t="str">
        <f aca="false">IF($K361="","",IF(INDEX('Prospect Tracker'!$W$5:$W$554,$K361)="","",INDEX('Prospect Tracker'!$W$5:$W$554,$K361)))</f>
        <v/>
      </c>
      <c r="B361" s="6" t="str">
        <f aca="false">IF($K361="","",IF(INDEX('Prospect Tracker'!$A$5:$A$554,$K361)="","",INDEX('Prospect Tracker'!$A$5:$A$554,$K361)))</f>
        <v/>
      </c>
      <c r="C361" s="6" t="str">
        <f aca="false">IF($K361="","",IF(INDEX('Prospect Tracker'!$B$5:$B$554,$K361)="","",INDEX('Prospect Tracker'!$B$5:$B$554,$K361)))</f>
        <v/>
      </c>
      <c r="D361" s="6" t="str">
        <f aca="false">IF($K361="","",IF(INDEX('Prospect Tracker'!$M$5:$M$554,$K361)="","",INDEX('Prospect Tracker'!$M$5:$M$554,$K361)))</f>
        <v/>
      </c>
      <c r="E361" s="6" t="str">
        <f aca="false">IF($K361="","",IF(INDEX('Prospect Tracker'!$R$5:$R$554,$K361)="","",INDEX('Prospect Tracker'!$R$5:$R$554,$K361)))</f>
        <v/>
      </c>
      <c r="F361" s="6" t="str">
        <f aca="false">IF($K361="","",IF(INDEX('Prospect Tracker'!$J$5:$J$554,$K361)="","",INDEX('Prospect Tracker'!$J$5:$J$554,$K361)))</f>
        <v/>
      </c>
      <c r="G361" s="6" t="str">
        <f aca="false">IF($K361="","",IF(INDEX('Prospect Tracker'!$H$5:$H$554,$K361)="","",INDEX('Prospect Tracker'!$H$5:$H$554,$K361)))</f>
        <v/>
      </c>
      <c r="H361" s="7" t="str">
        <f aca="false">IF($K361="","",IF(INDEX('Prospect Tracker'!$K$5:$K$554,$K361)="","",INDEX('Prospect Tracker'!$K$5:$K$554,$K361)))</f>
        <v/>
      </c>
      <c r="I361" s="6" t="str">
        <f aca="false">IF($K361="","",IF(INDEX('Prospect Tracker'!$T$5:$T$554,$K361)="","",INDEX('Prospect Tracker'!$T$5:$T$554,$K361)))</f>
        <v/>
      </c>
      <c r="J361" s="6" t="str">
        <f aca="false">IF($K361="","",IF(INDEX('Prospect Tracker'!$L$5:$L$554,$K361)="","",INDEX('Prospect Tracker'!$L$5:$L$554,$K361)))</f>
        <v/>
      </c>
      <c r="K361" s="1" t="n">
        <f aca="false">IFERROR(MATCH(SMALL('Prospect Tracker'!$X$5:$X$554,ROW()-4),'Prospect Tracker'!$X$5:$X$554,0),"")</f>
        <v>357</v>
      </c>
    </row>
    <row r="362" customFormat="false" ht="15" hidden="false" customHeight="true" outlineLevel="0" collapsed="false">
      <c r="A362" s="11" t="str">
        <f aca="false">IF($K362="","",IF(INDEX('Prospect Tracker'!$W$5:$W$554,$K362)="","",INDEX('Prospect Tracker'!$W$5:$W$554,$K362)))</f>
        <v/>
      </c>
      <c r="B362" s="11" t="str">
        <f aca="false">IF($K362="","",IF(INDEX('Prospect Tracker'!$A$5:$A$554,$K362)="","",INDEX('Prospect Tracker'!$A$5:$A$554,$K362)))</f>
        <v/>
      </c>
      <c r="C362" s="11" t="str">
        <f aca="false">IF($K362="","",IF(INDEX('Prospect Tracker'!$B$5:$B$554,$K362)="","",INDEX('Prospect Tracker'!$B$5:$B$554,$K362)))</f>
        <v/>
      </c>
      <c r="D362" s="11" t="str">
        <f aca="false">IF($K362="","",IF(INDEX('Prospect Tracker'!$M$5:$M$554,$K362)="","",INDEX('Prospect Tracker'!$M$5:$M$554,$K362)))</f>
        <v/>
      </c>
      <c r="E362" s="11" t="str">
        <f aca="false">IF($K362="","",IF(INDEX('Prospect Tracker'!$R$5:$R$554,$K362)="","",INDEX('Prospect Tracker'!$R$5:$R$554,$K362)))</f>
        <v/>
      </c>
      <c r="F362" s="11" t="str">
        <f aca="false">IF($K362="","",IF(INDEX('Prospect Tracker'!$J$5:$J$554,$K362)="","",INDEX('Prospect Tracker'!$J$5:$J$554,$K362)))</f>
        <v/>
      </c>
      <c r="G362" s="11" t="str">
        <f aca="false">IF($K362="","",IF(INDEX('Prospect Tracker'!$H$5:$H$554,$K362)="","",INDEX('Prospect Tracker'!$H$5:$H$554,$K362)))</f>
        <v/>
      </c>
      <c r="H362" s="12" t="str">
        <f aca="false">IF($K362="","",IF(INDEX('Prospect Tracker'!$K$5:$K$554,$K362)="","",INDEX('Prospect Tracker'!$K$5:$K$554,$K362)))</f>
        <v/>
      </c>
      <c r="I362" s="11" t="str">
        <f aca="false">IF($K362="","",IF(INDEX('Prospect Tracker'!$T$5:$T$554,$K362)="","",INDEX('Prospect Tracker'!$T$5:$T$554,$K362)))</f>
        <v/>
      </c>
      <c r="J362" s="11" t="str">
        <f aca="false">IF($K362="","",IF(INDEX('Prospect Tracker'!$L$5:$L$554,$K362)="","",INDEX('Prospect Tracker'!$L$5:$L$554,$K362)))</f>
        <v/>
      </c>
      <c r="K362" s="1" t="n">
        <f aca="false">IFERROR(MATCH(SMALL('Prospect Tracker'!$X$5:$X$554,ROW()-4),'Prospect Tracker'!$X$5:$X$554,0),"")</f>
        <v>358</v>
      </c>
    </row>
    <row r="363" customFormat="false" ht="15" hidden="false" customHeight="true" outlineLevel="0" collapsed="false">
      <c r="A363" s="6" t="str">
        <f aca="false">IF($K363="","",IF(INDEX('Prospect Tracker'!$W$5:$W$554,$K363)="","",INDEX('Prospect Tracker'!$W$5:$W$554,$K363)))</f>
        <v/>
      </c>
      <c r="B363" s="6" t="str">
        <f aca="false">IF($K363="","",IF(INDEX('Prospect Tracker'!$A$5:$A$554,$K363)="","",INDEX('Prospect Tracker'!$A$5:$A$554,$K363)))</f>
        <v/>
      </c>
      <c r="C363" s="6" t="str">
        <f aca="false">IF($K363="","",IF(INDEX('Prospect Tracker'!$B$5:$B$554,$K363)="","",INDEX('Prospect Tracker'!$B$5:$B$554,$K363)))</f>
        <v/>
      </c>
      <c r="D363" s="6" t="str">
        <f aca="false">IF($K363="","",IF(INDEX('Prospect Tracker'!$M$5:$M$554,$K363)="","",INDEX('Prospect Tracker'!$M$5:$M$554,$K363)))</f>
        <v/>
      </c>
      <c r="E363" s="6" t="str">
        <f aca="false">IF($K363="","",IF(INDEX('Prospect Tracker'!$R$5:$R$554,$K363)="","",INDEX('Prospect Tracker'!$R$5:$R$554,$K363)))</f>
        <v/>
      </c>
      <c r="F363" s="6" t="str">
        <f aca="false">IF($K363="","",IF(INDEX('Prospect Tracker'!$J$5:$J$554,$K363)="","",INDEX('Prospect Tracker'!$J$5:$J$554,$K363)))</f>
        <v/>
      </c>
      <c r="G363" s="6" t="str">
        <f aca="false">IF($K363="","",IF(INDEX('Prospect Tracker'!$H$5:$H$554,$K363)="","",INDEX('Prospect Tracker'!$H$5:$H$554,$K363)))</f>
        <v/>
      </c>
      <c r="H363" s="7" t="str">
        <f aca="false">IF($K363="","",IF(INDEX('Prospect Tracker'!$K$5:$K$554,$K363)="","",INDEX('Prospect Tracker'!$K$5:$K$554,$K363)))</f>
        <v/>
      </c>
      <c r="I363" s="6" t="str">
        <f aca="false">IF($K363="","",IF(INDEX('Prospect Tracker'!$T$5:$T$554,$K363)="","",INDEX('Prospect Tracker'!$T$5:$T$554,$K363)))</f>
        <v/>
      </c>
      <c r="J363" s="6" t="str">
        <f aca="false">IF($K363="","",IF(INDEX('Prospect Tracker'!$L$5:$L$554,$K363)="","",INDEX('Prospect Tracker'!$L$5:$L$554,$K363)))</f>
        <v/>
      </c>
      <c r="K363" s="1" t="n">
        <f aca="false">IFERROR(MATCH(SMALL('Prospect Tracker'!$X$5:$X$554,ROW()-4),'Prospect Tracker'!$X$5:$X$554,0),"")</f>
        <v>359</v>
      </c>
    </row>
    <row r="364" customFormat="false" ht="15" hidden="false" customHeight="true" outlineLevel="0" collapsed="false">
      <c r="A364" s="11" t="str">
        <f aca="false">IF($K364="","",IF(INDEX('Prospect Tracker'!$W$5:$W$554,$K364)="","",INDEX('Prospect Tracker'!$W$5:$W$554,$K364)))</f>
        <v/>
      </c>
      <c r="B364" s="11" t="str">
        <f aca="false">IF($K364="","",IF(INDEX('Prospect Tracker'!$A$5:$A$554,$K364)="","",INDEX('Prospect Tracker'!$A$5:$A$554,$K364)))</f>
        <v/>
      </c>
      <c r="C364" s="11" t="str">
        <f aca="false">IF($K364="","",IF(INDEX('Prospect Tracker'!$B$5:$B$554,$K364)="","",INDEX('Prospect Tracker'!$B$5:$B$554,$K364)))</f>
        <v/>
      </c>
      <c r="D364" s="11" t="str">
        <f aca="false">IF($K364="","",IF(INDEX('Prospect Tracker'!$M$5:$M$554,$K364)="","",INDEX('Prospect Tracker'!$M$5:$M$554,$K364)))</f>
        <v/>
      </c>
      <c r="E364" s="11" t="str">
        <f aca="false">IF($K364="","",IF(INDEX('Prospect Tracker'!$R$5:$R$554,$K364)="","",INDEX('Prospect Tracker'!$R$5:$R$554,$K364)))</f>
        <v/>
      </c>
      <c r="F364" s="11" t="str">
        <f aca="false">IF($K364="","",IF(INDEX('Prospect Tracker'!$J$5:$J$554,$K364)="","",INDEX('Prospect Tracker'!$J$5:$J$554,$K364)))</f>
        <v/>
      </c>
      <c r="G364" s="11" t="str">
        <f aca="false">IF($K364="","",IF(INDEX('Prospect Tracker'!$H$5:$H$554,$K364)="","",INDEX('Prospect Tracker'!$H$5:$H$554,$K364)))</f>
        <v/>
      </c>
      <c r="H364" s="12" t="str">
        <f aca="false">IF($K364="","",IF(INDEX('Prospect Tracker'!$K$5:$K$554,$K364)="","",INDEX('Prospect Tracker'!$K$5:$K$554,$K364)))</f>
        <v/>
      </c>
      <c r="I364" s="11" t="str">
        <f aca="false">IF($K364="","",IF(INDEX('Prospect Tracker'!$T$5:$T$554,$K364)="","",INDEX('Prospect Tracker'!$T$5:$T$554,$K364)))</f>
        <v/>
      </c>
      <c r="J364" s="11" t="str">
        <f aca="false">IF($K364="","",IF(INDEX('Prospect Tracker'!$L$5:$L$554,$K364)="","",INDEX('Prospect Tracker'!$L$5:$L$554,$K364)))</f>
        <v/>
      </c>
      <c r="K364" s="1" t="n">
        <f aca="false">IFERROR(MATCH(SMALL('Prospect Tracker'!$X$5:$X$554,ROW()-4),'Prospect Tracker'!$X$5:$X$554,0),"")</f>
        <v>360</v>
      </c>
    </row>
    <row r="365" customFormat="false" ht="15" hidden="false" customHeight="true" outlineLevel="0" collapsed="false">
      <c r="A365" s="6" t="str">
        <f aca="false">IF($K365="","",IF(INDEX('Prospect Tracker'!$W$5:$W$554,$K365)="","",INDEX('Prospect Tracker'!$W$5:$W$554,$K365)))</f>
        <v/>
      </c>
      <c r="B365" s="6" t="str">
        <f aca="false">IF($K365="","",IF(INDEX('Prospect Tracker'!$A$5:$A$554,$K365)="","",INDEX('Prospect Tracker'!$A$5:$A$554,$K365)))</f>
        <v/>
      </c>
      <c r="C365" s="6" t="str">
        <f aca="false">IF($K365="","",IF(INDEX('Prospect Tracker'!$B$5:$B$554,$K365)="","",INDEX('Prospect Tracker'!$B$5:$B$554,$K365)))</f>
        <v/>
      </c>
      <c r="D365" s="6" t="str">
        <f aca="false">IF($K365="","",IF(INDEX('Prospect Tracker'!$M$5:$M$554,$K365)="","",INDEX('Prospect Tracker'!$M$5:$M$554,$K365)))</f>
        <v/>
      </c>
      <c r="E365" s="6" t="str">
        <f aca="false">IF($K365="","",IF(INDEX('Prospect Tracker'!$R$5:$R$554,$K365)="","",INDEX('Prospect Tracker'!$R$5:$R$554,$K365)))</f>
        <v/>
      </c>
      <c r="F365" s="6" t="str">
        <f aca="false">IF($K365="","",IF(INDEX('Prospect Tracker'!$J$5:$J$554,$K365)="","",INDEX('Prospect Tracker'!$J$5:$J$554,$K365)))</f>
        <v/>
      </c>
      <c r="G365" s="6" t="str">
        <f aca="false">IF($K365="","",IF(INDEX('Prospect Tracker'!$H$5:$H$554,$K365)="","",INDEX('Prospect Tracker'!$H$5:$H$554,$K365)))</f>
        <v/>
      </c>
      <c r="H365" s="7" t="str">
        <f aca="false">IF($K365="","",IF(INDEX('Prospect Tracker'!$K$5:$K$554,$K365)="","",INDEX('Prospect Tracker'!$K$5:$K$554,$K365)))</f>
        <v/>
      </c>
      <c r="I365" s="6" t="str">
        <f aca="false">IF($K365="","",IF(INDEX('Prospect Tracker'!$T$5:$T$554,$K365)="","",INDEX('Prospect Tracker'!$T$5:$T$554,$K365)))</f>
        <v/>
      </c>
      <c r="J365" s="6" t="str">
        <f aca="false">IF($K365="","",IF(INDEX('Prospect Tracker'!$L$5:$L$554,$K365)="","",INDEX('Prospect Tracker'!$L$5:$L$554,$K365)))</f>
        <v/>
      </c>
      <c r="K365" s="1" t="n">
        <f aca="false">IFERROR(MATCH(SMALL('Prospect Tracker'!$X$5:$X$554,ROW()-4),'Prospect Tracker'!$X$5:$X$554,0),"")</f>
        <v>361</v>
      </c>
    </row>
    <row r="366" customFormat="false" ht="15" hidden="false" customHeight="true" outlineLevel="0" collapsed="false">
      <c r="A366" s="11" t="str">
        <f aca="false">IF($K366="","",IF(INDEX('Prospect Tracker'!$W$5:$W$554,$K366)="","",INDEX('Prospect Tracker'!$W$5:$W$554,$K366)))</f>
        <v/>
      </c>
      <c r="B366" s="11" t="str">
        <f aca="false">IF($K366="","",IF(INDEX('Prospect Tracker'!$A$5:$A$554,$K366)="","",INDEX('Prospect Tracker'!$A$5:$A$554,$K366)))</f>
        <v/>
      </c>
      <c r="C366" s="11" t="str">
        <f aca="false">IF($K366="","",IF(INDEX('Prospect Tracker'!$B$5:$B$554,$K366)="","",INDEX('Prospect Tracker'!$B$5:$B$554,$K366)))</f>
        <v/>
      </c>
      <c r="D366" s="11" t="str">
        <f aca="false">IF($K366="","",IF(INDEX('Prospect Tracker'!$M$5:$M$554,$K366)="","",INDEX('Prospect Tracker'!$M$5:$M$554,$K366)))</f>
        <v/>
      </c>
      <c r="E366" s="11" t="str">
        <f aca="false">IF($K366="","",IF(INDEX('Prospect Tracker'!$R$5:$R$554,$K366)="","",INDEX('Prospect Tracker'!$R$5:$R$554,$K366)))</f>
        <v/>
      </c>
      <c r="F366" s="11" t="str">
        <f aca="false">IF($K366="","",IF(INDEX('Prospect Tracker'!$J$5:$J$554,$K366)="","",INDEX('Prospect Tracker'!$J$5:$J$554,$K366)))</f>
        <v/>
      </c>
      <c r="G366" s="11" t="str">
        <f aca="false">IF($K366="","",IF(INDEX('Prospect Tracker'!$H$5:$H$554,$K366)="","",INDEX('Prospect Tracker'!$H$5:$H$554,$K366)))</f>
        <v/>
      </c>
      <c r="H366" s="12" t="str">
        <f aca="false">IF($K366="","",IF(INDEX('Prospect Tracker'!$K$5:$K$554,$K366)="","",INDEX('Prospect Tracker'!$K$5:$K$554,$K366)))</f>
        <v/>
      </c>
      <c r="I366" s="11" t="str">
        <f aca="false">IF($K366="","",IF(INDEX('Prospect Tracker'!$T$5:$T$554,$K366)="","",INDEX('Prospect Tracker'!$T$5:$T$554,$K366)))</f>
        <v/>
      </c>
      <c r="J366" s="11" t="str">
        <f aca="false">IF($K366="","",IF(INDEX('Prospect Tracker'!$L$5:$L$554,$K366)="","",INDEX('Prospect Tracker'!$L$5:$L$554,$K366)))</f>
        <v/>
      </c>
      <c r="K366" s="1" t="n">
        <f aca="false">IFERROR(MATCH(SMALL('Prospect Tracker'!$X$5:$X$554,ROW()-4),'Prospect Tracker'!$X$5:$X$554,0),"")</f>
        <v>362</v>
      </c>
    </row>
    <row r="367" customFormat="false" ht="15" hidden="false" customHeight="true" outlineLevel="0" collapsed="false">
      <c r="A367" s="6" t="str">
        <f aca="false">IF($K367="","",IF(INDEX('Prospect Tracker'!$W$5:$W$554,$K367)="","",INDEX('Prospect Tracker'!$W$5:$W$554,$K367)))</f>
        <v/>
      </c>
      <c r="B367" s="6" t="str">
        <f aca="false">IF($K367="","",IF(INDEX('Prospect Tracker'!$A$5:$A$554,$K367)="","",INDEX('Prospect Tracker'!$A$5:$A$554,$K367)))</f>
        <v/>
      </c>
      <c r="C367" s="6" t="str">
        <f aca="false">IF($K367="","",IF(INDEX('Prospect Tracker'!$B$5:$B$554,$K367)="","",INDEX('Prospect Tracker'!$B$5:$B$554,$K367)))</f>
        <v/>
      </c>
      <c r="D367" s="6" t="str">
        <f aca="false">IF($K367="","",IF(INDEX('Prospect Tracker'!$M$5:$M$554,$K367)="","",INDEX('Prospect Tracker'!$M$5:$M$554,$K367)))</f>
        <v/>
      </c>
      <c r="E367" s="6" t="str">
        <f aca="false">IF($K367="","",IF(INDEX('Prospect Tracker'!$R$5:$R$554,$K367)="","",INDEX('Prospect Tracker'!$R$5:$R$554,$K367)))</f>
        <v/>
      </c>
      <c r="F367" s="6" t="str">
        <f aca="false">IF($K367="","",IF(INDEX('Prospect Tracker'!$J$5:$J$554,$K367)="","",INDEX('Prospect Tracker'!$J$5:$J$554,$K367)))</f>
        <v/>
      </c>
      <c r="G367" s="6" t="str">
        <f aca="false">IF($K367="","",IF(INDEX('Prospect Tracker'!$H$5:$H$554,$K367)="","",INDEX('Prospect Tracker'!$H$5:$H$554,$K367)))</f>
        <v/>
      </c>
      <c r="H367" s="7" t="str">
        <f aca="false">IF($K367="","",IF(INDEX('Prospect Tracker'!$K$5:$K$554,$K367)="","",INDEX('Prospect Tracker'!$K$5:$K$554,$K367)))</f>
        <v/>
      </c>
      <c r="I367" s="6" t="str">
        <f aca="false">IF($K367="","",IF(INDEX('Prospect Tracker'!$T$5:$T$554,$K367)="","",INDEX('Prospect Tracker'!$T$5:$T$554,$K367)))</f>
        <v/>
      </c>
      <c r="J367" s="6" t="str">
        <f aca="false">IF($K367="","",IF(INDEX('Prospect Tracker'!$L$5:$L$554,$K367)="","",INDEX('Prospect Tracker'!$L$5:$L$554,$K367)))</f>
        <v/>
      </c>
      <c r="K367" s="1" t="n">
        <f aca="false">IFERROR(MATCH(SMALL('Prospect Tracker'!$X$5:$X$554,ROW()-4),'Prospect Tracker'!$X$5:$X$554,0),"")</f>
        <v>363</v>
      </c>
    </row>
    <row r="368" customFormat="false" ht="15" hidden="false" customHeight="true" outlineLevel="0" collapsed="false">
      <c r="A368" s="11" t="str">
        <f aca="false">IF($K368="","",IF(INDEX('Prospect Tracker'!$W$5:$W$554,$K368)="","",INDEX('Prospect Tracker'!$W$5:$W$554,$K368)))</f>
        <v/>
      </c>
      <c r="B368" s="11" t="str">
        <f aca="false">IF($K368="","",IF(INDEX('Prospect Tracker'!$A$5:$A$554,$K368)="","",INDEX('Prospect Tracker'!$A$5:$A$554,$K368)))</f>
        <v/>
      </c>
      <c r="C368" s="11" t="str">
        <f aca="false">IF($K368="","",IF(INDEX('Prospect Tracker'!$B$5:$B$554,$K368)="","",INDEX('Prospect Tracker'!$B$5:$B$554,$K368)))</f>
        <v/>
      </c>
      <c r="D368" s="11" t="str">
        <f aca="false">IF($K368="","",IF(INDEX('Prospect Tracker'!$M$5:$M$554,$K368)="","",INDEX('Prospect Tracker'!$M$5:$M$554,$K368)))</f>
        <v/>
      </c>
      <c r="E368" s="11" t="str">
        <f aca="false">IF($K368="","",IF(INDEX('Prospect Tracker'!$R$5:$R$554,$K368)="","",INDEX('Prospect Tracker'!$R$5:$R$554,$K368)))</f>
        <v/>
      </c>
      <c r="F368" s="11" t="str">
        <f aca="false">IF($K368="","",IF(INDEX('Prospect Tracker'!$J$5:$J$554,$K368)="","",INDEX('Prospect Tracker'!$J$5:$J$554,$K368)))</f>
        <v/>
      </c>
      <c r="G368" s="11" t="str">
        <f aca="false">IF($K368="","",IF(INDEX('Prospect Tracker'!$H$5:$H$554,$K368)="","",INDEX('Prospect Tracker'!$H$5:$H$554,$K368)))</f>
        <v/>
      </c>
      <c r="H368" s="12" t="str">
        <f aca="false">IF($K368="","",IF(INDEX('Prospect Tracker'!$K$5:$K$554,$K368)="","",INDEX('Prospect Tracker'!$K$5:$K$554,$K368)))</f>
        <v/>
      </c>
      <c r="I368" s="11" t="str">
        <f aca="false">IF($K368="","",IF(INDEX('Prospect Tracker'!$T$5:$T$554,$K368)="","",INDEX('Prospect Tracker'!$T$5:$T$554,$K368)))</f>
        <v/>
      </c>
      <c r="J368" s="11" t="str">
        <f aca="false">IF($K368="","",IF(INDEX('Prospect Tracker'!$L$5:$L$554,$K368)="","",INDEX('Prospect Tracker'!$L$5:$L$554,$K368)))</f>
        <v/>
      </c>
      <c r="K368" s="1" t="n">
        <f aca="false">IFERROR(MATCH(SMALL('Prospect Tracker'!$X$5:$X$554,ROW()-4),'Prospect Tracker'!$X$5:$X$554,0),"")</f>
        <v>364</v>
      </c>
    </row>
    <row r="369" customFormat="false" ht="15" hidden="false" customHeight="true" outlineLevel="0" collapsed="false">
      <c r="A369" s="6" t="str">
        <f aca="false">IF($K369="","",IF(INDEX('Prospect Tracker'!$W$5:$W$554,$K369)="","",INDEX('Prospect Tracker'!$W$5:$W$554,$K369)))</f>
        <v/>
      </c>
      <c r="B369" s="6" t="str">
        <f aca="false">IF($K369="","",IF(INDEX('Prospect Tracker'!$A$5:$A$554,$K369)="","",INDEX('Prospect Tracker'!$A$5:$A$554,$K369)))</f>
        <v/>
      </c>
      <c r="C369" s="6" t="str">
        <f aca="false">IF($K369="","",IF(INDEX('Prospect Tracker'!$B$5:$B$554,$K369)="","",INDEX('Prospect Tracker'!$B$5:$B$554,$K369)))</f>
        <v/>
      </c>
      <c r="D369" s="6" t="str">
        <f aca="false">IF($K369="","",IF(INDEX('Prospect Tracker'!$M$5:$M$554,$K369)="","",INDEX('Prospect Tracker'!$M$5:$M$554,$K369)))</f>
        <v/>
      </c>
      <c r="E369" s="6" t="str">
        <f aca="false">IF($K369="","",IF(INDEX('Prospect Tracker'!$R$5:$R$554,$K369)="","",INDEX('Prospect Tracker'!$R$5:$R$554,$K369)))</f>
        <v/>
      </c>
      <c r="F369" s="6" t="str">
        <f aca="false">IF($K369="","",IF(INDEX('Prospect Tracker'!$J$5:$J$554,$K369)="","",INDEX('Prospect Tracker'!$J$5:$J$554,$K369)))</f>
        <v/>
      </c>
      <c r="G369" s="6" t="str">
        <f aca="false">IF($K369="","",IF(INDEX('Prospect Tracker'!$H$5:$H$554,$K369)="","",INDEX('Prospect Tracker'!$H$5:$H$554,$K369)))</f>
        <v/>
      </c>
      <c r="H369" s="7" t="str">
        <f aca="false">IF($K369="","",IF(INDEX('Prospect Tracker'!$K$5:$K$554,$K369)="","",INDEX('Prospect Tracker'!$K$5:$K$554,$K369)))</f>
        <v/>
      </c>
      <c r="I369" s="6" t="str">
        <f aca="false">IF($K369="","",IF(INDEX('Prospect Tracker'!$T$5:$T$554,$K369)="","",INDEX('Prospect Tracker'!$T$5:$T$554,$K369)))</f>
        <v/>
      </c>
      <c r="J369" s="6" t="str">
        <f aca="false">IF($K369="","",IF(INDEX('Prospect Tracker'!$L$5:$L$554,$K369)="","",INDEX('Prospect Tracker'!$L$5:$L$554,$K369)))</f>
        <v/>
      </c>
      <c r="K369" s="1" t="n">
        <f aca="false">IFERROR(MATCH(SMALL('Prospect Tracker'!$X$5:$X$554,ROW()-4),'Prospect Tracker'!$X$5:$X$554,0),"")</f>
        <v>365</v>
      </c>
    </row>
    <row r="370" customFormat="false" ht="15" hidden="false" customHeight="true" outlineLevel="0" collapsed="false">
      <c r="A370" s="11" t="str">
        <f aca="false">IF($K370="","",IF(INDEX('Prospect Tracker'!$W$5:$W$554,$K370)="","",INDEX('Prospect Tracker'!$W$5:$W$554,$K370)))</f>
        <v/>
      </c>
      <c r="B370" s="11" t="str">
        <f aca="false">IF($K370="","",IF(INDEX('Prospect Tracker'!$A$5:$A$554,$K370)="","",INDEX('Prospect Tracker'!$A$5:$A$554,$K370)))</f>
        <v/>
      </c>
      <c r="C370" s="11" t="str">
        <f aca="false">IF($K370="","",IF(INDEX('Prospect Tracker'!$B$5:$B$554,$K370)="","",INDEX('Prospect Tracker'!$B$5:$B$554,$K370)))</f>
        <v/>
      </c>
      <c r="D370" s="11" t="str">
        <f aca="false">IF($K370="","",IF(INDEX('Prospect Tracker'!$M$5:$M$554,$K370)="","",INDEX('Prospect Tracker'!$M$5:$M$554,$K370)))</f>
        <v/>
      </c>
      <c r="E370" s="11" t="str">
        <f aca="false">IF($K370="","",IF(INDEX('Prospect Tracker'!$R$5:$R$554,$K370)="","",INDEX('Prospect Tracker'!$R$5:$R$554,$K370)))</f>
        <v/>
      </c>
      <c r="F370" s="11" t="str">
        <f aca="false">IF($K370="","",IF(INDEX('Prospect Tracker'!$J$5:$J$554,$K370)="","",INDEX('Prospect Tracker'!$J$5:$J$554,$K370)))</f>
        <v/>
      </c>
      <c r="G370" s="11" t="str">
        <f aca="false">IF($K370="","",IF(INDEX('Prospect Tracker'!$H$5:$H$554,$K370)="","",INDEX('Prospect Tracker'!$H$5:$H$554,$K370)))</f>
        <v/>
      </c>
      <c r="H370" s="12" t="str">
        <f aca="false">IF($K370="","",IF(INDEX('Prospect Tracker'!$K$5:$K$554,$K370)="","",INDEX('Prospect Tracker'!$K$5:$K$554,$K370)))</f>
        <v/>
      </c>
      <c r="I370" s="11" t="str">
        <f aca="false">IF($K370="","",IF(INDEX('Prospect Tracker'!$T$5:$T$554,$K370)="","",INDEX('Prospect Tracker'!$T$5:$T$554,$K370)))</f>
        <v/>
      </c>
      <c r="J370" s="11" t="str">
        <f aca="false">IF($K370="","",IF(INDEX('Prospect Tracker'!$L$5:$L$554,$K370)="","",INDEX('Prospect Tracker'!$L$5:$L$554,$K370)))</f>
        <v/>
      </c>
      <c r="K370" s="1" t="n">
        <f aca="false">IFERROR(MATCH(SMALL('Prospect Tracker'!$X$5:$X$554,ROW()-4),'Prospect Tracker'!$X$5:$X$554,0),"")</f>
        <v>366</v>
      </c>
    </row>
    <row r="371" customFormat="false" ht="15" hidden="false" customHeight="true" outlineLevel="0" collapsed="false">
      <c r="A371" s="6" t="str">
        <f aca="false">IF($K371="","",IF(INDEX('Prospect Tracker'!$W$5:$W$554,$K371)="","",INDEX('Prospect Tracker'!$W$5:$W$554,$K371)))</f>
        <v/>
      </c>
      <c r="B371" s="6" t="str">
        <f aca="false">IF($K371="","",IF(INDEX('Prospect Tracker'!$A$5:$A$554,$K371)="","",INDEX('Prospect Tracker'!$A$5:$A$554,$K371)))</f>
        <v/>
      </c>
      <c r="C371" s="6" t="str">
        <f aca="false">IF($K371="","",IF(INDEX('Prospect Tracker'!$B$5:$B$554,$K371)="","",INDEX('Prospect Tracker'!$B$5:$B$554,$K371)))</f>
        <v/>
      </c>
      <c r="D371" s="6" t="str">
        <f aca="false">IF($K371="","",IF(INDEX('Prospect Tracker'!$M$5:$M$554,$K371)="","",INDEX('Prospect Tracker'!$M$5:$M$554,$K371)))</f>
        <v/>
      </c>
      <c r="E371" s="6" t="str">
        <f aca="false">IF($K371="","",IF(INDEX('Prospect Tracker'!$R$5:$R$554,$K371)="","",INDEX('Prospect Tracker'!$R$5:$R$554,$K371)))</f>
        <v/>
      </c>
      <c r="F371" s="6" t="str">
        <f aca="false">IF($K371="","",IF(INDEX('Prospect Tracker'!$J$5:$J$554,$K371)="","",INDEX('Prospect Tracker'!$J$5:$J$554,$K371)))</f>
        <v/>
      </c>
      <c r="G371" s="6" t="str">
        <f aca="false">IF($K371="","",IF(INDEX('Prospect Tracker'!$H$5:$H$554,$K371)="","",INDEX('Prospect Tracker'!$H$5:$H$554,$K371)))</f>
        <v/>
      </c>
      <c r="H371" s="7" t="str">
        <f aca="false">IF($K371="","",IF(INDEX('Prospect Tracker'!$K$5:$K$554,$K371)="","",INDEX('Prospect Tracker'!$K$5:$K$554,$K371)))</f>
        <v/>
      </c>
      <c r="I371" s="6" t="str">
        <f aca="false">IF($K371="","",IF(INDEX('Prospect Tracker'!$T$5:$T$554,$K371)="","",INDEX('Prospect Tracker'!$T$5:$T$554,$K371)))</f>
        <v/>
      </c>
      <c r="J371" s="6" t="str">
        <f aca="false">IF($K371="","",IF(INDEX('Prospect Tracker'!$L$5:$L$554,$K371)="","",INDEX('Prospect Tracker'!$L$5:$L$554,$K371)))</f>
        <v/>
      </c>
      <c r="K371" s="1" t="n">
        <f aca="false">IFERROR(MATCH(SMALL('Prospect Tracker'!$X$5:$X$554,ROW()-4),'Prospect Tracker'!$X$5:$X$554,0),"")</f>
        <v>367</v>
      </c>
    </row>
    <row r="372" customFormat="false" ht="15" hidden="false" customHeight="true" outlineLevel="0" collapsed="false">
      <c r="A372" s="11" t="str">
        <f aca="false">IF($K372="","",IF(INDEX('Prospect Tracker'!$W$5:$W$554,$K372)="","",INDEX('Prospect Tracker'!$W$5:$W$554,$K372)))</f>
        <v/>
      </c>
      <c r="B372" s="11" t="str">
        <f aca="false">IF($K372="","",IF(INDEX('Prospect Tracker'!$A$5:$A$554,$K372)="","",INDEX('Prospect Tracker'!$A$5:$A$554,$K372)))</f>
        <v/>
      </c>
      <c r="C372" s="11" t="str">
        <f aca="false">IF($K372="","",IF(INDEX('Prospect Tracker'!$B$5:$B$554,$K372)="","",INDEX('Prospect Tracker'!$B$5:$B$554,$K372)))</f>
        <v/>
      </c>
      <c r="D372" s="11" t="str">
        <f aca="false">IF($K372="","",IF(INDEX('Prospect Tracker'!$M$5:$M$554,$K372)="","",INDEX('Prospect Tracker'!$M$5:$M$554,$K372)))</f>
        <v/>
      </c>
      <c r="E372" s="11" t="str">
        <f aca="false">IF($K372="","",IF(INDEX('Prospect Tracker'!$R$5:$R$554,$K372)="","",INDEX('Prospect Tracker'!$R$5:$R$554,$K372)))</f>
        <v/>
      </c>
      <c r="F372" s="11" t="str">
        <f aca="false">IF($K372="","",IF(INDEX('Prospect Tracker'!$J$5:$J$554,$K372)="","",INDEX('Prospect Tracker'!$J$5:$J$554,$K372)))</f>
        <v/>
      </c>
      <c r="G372" s="11" t="str">
        <f aca="false">IF($K372="","",IF(INDEX('Prospect Tracker'!$H$5:$H$554,$K372)="","",INDEX('Prospect Tracker'!$H$5:$H$554,$K372)))</f>
        <v/>
      </c>
      <c r="H372" s="12" t="str">
        <f aca="false">IF($K372="","",IF(INDEX('Prospect Tracker'!$K$5:$K$554,$K372)="","",INDEX('Prospect Tracker'!$K$5:$K$554,$K372)))</f>
        <v/>
      </c>
      <c r="I372" s="11" t="str">
        <f aca="false">IF($K372="","",IF(INDEX('Prospect Tracker'!$T$5:$T$554,$K372)="","",INDEX('Prospect Tracker'!$T$5:$T$554,$K372)))</f>
        <v/>
      </c>
      <c r="J372" s="11" t="str">
        <f aca="false">IF($K372="","",IF(INDEX('Prospect Tracker'!$L$5:$L$554,$K372)="","",INDEX('Prospect Tracker'!$L$5:$L$554,$K372)))</f>
        <v/>
      </c>
      <c r="K372" s="1" t="n">
        <f aca="false">IFERROR(MATCH(SMALL('Prospect Tracker'!$X$5:$X$554,ROW()-4),'Prospect Tracker'!$X$5:$X$554,0),"")</f>
        <v>368</v>
      </c>
    </row>
    <row r="373" customFormat="false" ht="15" hidden="false" customHeight="true" outlineLevel="0" collapsed="false">
      <c r="A373" s="6" t="str">
        <f aca="false">IF($K373="","",IF(INDEX('Prospect Tracker'!$W$5:$W$554,$K373)="","",INDEX('Prospect Tracker'!$W$5:$W$554,$K373)))</f>
        <v/>
      </c>
      <c r="B373" s="6" t="str">
        <f aca="false">IF($K373="","",IF(INDEX('Prospect Tracker'!$A$5:$A$554,$K373)="","",INDEX('Prospect Tracker'!$A$5:$A$554,$K373)))</f>
        <v/>
      </c>
      <c r="C373" s="6" t="str">
        <f aca="false">IF($K373="","",IF(INDEX('Prospect Tracker'!$B$5:$B$554,$K373)="","",INDEX('Prospect Tracker'!$B$5:$B$554,$K373)))</f>
        <v/>
      </c>
      <c r="D373" s="6" t="str">
        <f aca="false">IF($K373="","",IF(INDEX('Prospect Tracker'!$M$5:$M$554,$K373)="","",INDEX('Prospect Tracker'!$M$5:$M$554,$K373)))</f>
        <v/>
      </c>
      <c r="E373" s="6" t="str">
        <f aca="false">IF($K373="","",IF(INDEX('Prospect Tracker'!$R$5:$R$554,$K373)="","",INDEX('Prospect Tracker'!$R$5:$R$554,$K373)))</f>
        <v/>
      </c>
      <c r="F373" s="6" t="str">
        <f aca="false">IF($K373="","",IF(INDEX('Prospect Tracker'!$J$5:$J$554,$K373)="","",INDEX('Prospect Tracker'!$J$5:$J$554,$K373)))</f>
        <v/>
      </c>
      <c r="G373" s="6" t="str">
        <f aca="false">IF($K373="","",IF(INDEX('Prospect Tracker'!$H$5:$H$554,$K373)="","",INDEX('Prospect Tracker'!$H$5:$H$554,$K373)))</f>
        <v/>
      </c>
      <c r="H373" s="7" t="str">
        <f aca="false">IF($K373="","",IF(INDEX('Prospect Tracker'!$K$5:$K$554,$K373)="","",INDEX('Prospect Tracker'!$K$5:$K$554,$K373)))</f>
        <v/>
      </c>
      <c r="I373" s="6" t="str">
        <f aca="false">IF($K373="","",IF(INDEX('Prospect Tracker'!$T$5:$T$554,$K373)="","",INDEX('Prospect Tracker'!$T$5:$T$554,$K373)))</f>
        <v/>
      </c>
      <c r="J373" s="6" t="str">
        <f aca="false">IF($K373="","",IF(INDEX('Prospect Tracker'!$L$5:$L$554,$K373)="","",INDEX('Prospect Tracker'!$L$5:$L$554,$K373)))</f>
        <v/>
      </c>
      <c r="K373" s="1" t="n">
        <f aca="false">IFERROR(MATCH(SMALL('Prospect Tracker'!$X$5:$X$554,ROW()-4),'Prospect Tracker'!$X$5:$X$554,0),"")</f>
        <v>369</v>
      </c>
    </row>
    <row r="374" customFormat="false" ht="15" hidden="false" customHeight="true" outlineLevel="0" collapsed="false">
      <c r="A374" s="11" t="str">
        <f aca="false">IF($K374="","",IF(INDEX('Prospect Tracker'!$W$5:$W$554,$K374)="","",INDEX('Prospect Tracker'!$W$5:$W$554,$K374)))</f>
        <v/>
      </c>
      <c r="B374" s="11" t="str">
        <f aca="false">IF($K374="","",IF(INDEX('Prospect Tracker'!$A$5:$A$554,$K374)="","",INDEX('Prospect Tracker'!$A$5:$A$554,$K374)))</f>
        <v/>
      </c>
      <c r="C374" s="11" t="str">
        <f aca="false">IF($K374="","",IF(INDEX('Prospect Tracker'!$B$5:$B$554,$K374)="","",INDEX('Prospect Tracker'!$B$5:$B$554,$K374)))</f>
        <v/>
      </c>
      <c r="D374" s="11" t="str">
        <f aca="false">IF($K374="","",IF(INDEX('Prospect Tracker'!$M$5:$M$554,$K374)="","",INDEX('Prospect Tracker'!$M$5:$M$554,$K374)))</f>
        <v/>
      </c>
      <c r="E374" s="11" t="str">
        <f aca="false">IF($K374="","",IF(INDEX('Prospect Tracker'!$R$5:$R$554,$K374)="","",INDEX('Prospect Tracker'!$R$5:$R$554,$K374)))</f>
        <v/>
      </c>
      <c r="F374" s="11" t="str">
        <f aca="false">IF($K374="","",IF(INDEX('Prospect Tracker'!$J$5:$J$554,$K374)="","",INDEX('Prospect Tracker'!$J$5:$J$554,$K374)))</f>
        <v/>
      </c>
      <c r="G374" s="11" t="str">
        <f aca="false">IF($K374="","",IF(INDEX('Prospect Tracker'!$H$5:$H$554,$K374)="","",INDEX('Prospect Tracker'!$H$5:$H$554,$K374)))</f>
        <v/>
      </c>
      <c r="H374" s="12" t="str">
        <f aca="false">IF($K374="","",IF(INDEX('Prospect Tracker'!$K$5:$K$554,$K374)="","",INDEX('Prospect Tracker'!$K$5:$K$554,$K374)))</f>
        <v/>
      </c>
      <c r="I374" s="11" t="str">
        <f aca="false">IF($K374="","",IF(INDEX('Prospect Tracker'!$T$5:$T$554,$K374)="","",INDEX('Prospect Tracker'!$T$5:$T$554,$K374)))</f>
        <v/>
      </c>
      <c r="J374" s="11" t="str">
        <f aca="false">IF($K374="","",IF(INDEX('Prospect Tracker'!$L$5:$L$554,$K374)="","",INDEX('Prospect Tracker'!$L$5:$L$554,$K374)))</f>
        <v/>
      </c>
      <c r="K374" s="1" t="n">
        <f aca="false">IFERROR(MATCH(SMALL('Prospect Tracker'!$X$5:$X$554,ROW()-4),'Prospect Tracker'!$X$5:$X$554,0),"")</f>
        <v>370</v>
      </c>
    </row>
    <row r="375" customFormat="false" ht="15" hidden="false" customHeight="true" outlineLevel="0" collapsed="false">
      <c r="A375" s="6" t="str">
        <f aca="false">IF($K375="","",IF(INDEX('Prospect Tracker'!$W$5:$W$554,$K375)="","",INDEX('Prospect Tracker'!$W$5:$W$554,$K375)))</f>
        <v/>
      </c>
      <c r="B375" s="6" t="str">
        <f aca="false">IF($K375="","",IF(INDEX('Prospect Tracker'!$A$5:$A$554,$K375)="","",INDEX('Prospect Tracker'!$A$5:$A$554,$K375)))</f>
        <v/>
      </c>
      <c r="C375" s="6" t="str">
        <f aca="false">IF($K375="","",IF(INDEX('Prospect Tracker'!$B$5:$B$554,$K375)="","",INDEX('Prospect Tracker'!$B$5:$B$554,$K375)))</f>
        <v/>
      </c>
      <c r="D375" s="6" t="str">
        <f aca="false">IF($K375="","",IF(INDEX('Prospect Tracker'!$M$5:$M$554,$K375)="","",INDEX('Prospect Tracker'!$M$5:$M$554,$K375)))</f>
        <v/>
      </c>
      <c r="E375" s="6" t="str">
        <f aca="false">IF($K375="","",IF(INDEX('Prospect Tracker'!$R$5:$R$554,$K375)="","",INDEX('Prospect Tracker'!$R$5:$R$554,$K375)))</f>
        <v/>
      </c>
      <c r="F375" s="6" t="str">
        <f aca="false">IF($K375="","",IF(INDEX('Prospect Tracker'!$J$5:$J$554,$K375)="","",INDEX('Prospect Tracker'!$J$5:$J$554,$K375)))</f>
        <v/>
      </c>
      <c r="G375" s="6" t="str">
        <f aca="false">IF($K375="","",IF(INDEX('Prospect Tracker'!$H$5:$H$554,$K375)="","",INDEX('Prospect Tracker'!$H$5:$H$554,$K375)))</f>
        <v/>
      </c>
      <c r="H375" s="7" t="str">
        <f aca="false">IF($K375="","",IF(INDEX('Prospect Tracker'!$K$5:$K$554,$K375)="","",INDEX('Prospect Tracker'!$K$5:$K$554,$K375)))</f>
        <v/>
      </c>
      <c r="I375" s="6" t="str">
        <f aca="false">IF($K375="","",IF(INDEX('Prospect Tracker'!$T$5:$T$554,$K375)="","",INDEX('Prospect Tracker'!$T$5:$T$554,$K375)))</f>
        <v/>
      </c>
      <c r="J375" s="6" t="str">
        <f aca="false">IF($K375="","",IF(INDEX('Prospect Tracker'!$L$5:$L$554,$K375)="","",INDEX('Prospect Tracker'!$L$5:$L$554,$K375)))</f>
        <v/>
      </c>
      <c r="K375" s="1" t="n">
        <f aca="false">IFERROR(MATCH(SMALL('Prospect Tracker'!$X$5:$X$554,ROW()-4),'Prospect Tracker'!$X$5:$X$554,0),"")</f>
        <v>371</v>
      </c>
    </row>
    <row r="376" customFormat="false" ht="15" hidden="false" customHeight="true" outlineLevel="0" collapsed="false">
      <c r="A376" s="11" t="str">
        <f aca="false">IF($K376="","",IF(INDEX('Prospect Tracker'!$W$5:$W$554,$K376)="","",INDEX('Prospect Tracker'!$W$5:$W$554,$K376)))</f>
        <v/>
      </c>
      <c r="B376" s="11" t="str">
        <f aca="false">IF($K376="","",IF(INDEX('Prospect Tracker'!$A$5:$A$554,$K376)="","",INDEX('Prospect Tracker'!$A$5:$A$554,$K376)))</f>
        <v/>
      </c>
      <c r="C376" s="11" t="str">
        <f aca="false">IF($K376="","",IF(INDEX('Prospect Tracker'!$B$5:$B$554,$K376)="","",INDEX('Prospect Tracker'!$B$5:$B$554,$K376)))</f>
        <v/>
      </c>
      <c r="D376" s="11" t="str">
        <f aca="false">IF($K376="","",IF(INDEX('Prospect Tracker'!$M$5:$M$554,$K376)="","",INDEX('Prospect Tracker'!$M$5:$M$554,$K376)))</f>
        <v/>
      </c>
      <c r="E376" s="11" t="str">
        <f aca="false">IF($K376="","",IF(INDEX('Prospect Tracker'!$R$5:$R$554,$K376)="","",INDEX('Prospect Tracker'!$R$5:$R$554,$K376)))</f>
        <v/>
      </c>
      <c r="F376" s="11" t="str">
        <f aca="false">IF($K376="","",IF(INDEX('Prospect Tracker'!$J$5:$J$554,$K376)="","",INDEX('Prospect Tracker'!$J$5:$J$554,$K376)))</f>
        <v/>
      </c>
      <c r="G376" s="11" t="str">
        <f aca="false">IF($K376="","",IF(INDEX('Prospect Tracker'!$H$5:$H$554,$K376)="","",INDEX('Prospect Tracker'!$H$5:$H$554,$K376)))</f>
        <v/>
      </c>
      <c r="H376" s="12" t="str">
        <f aca="false">IF($K376="","",IF(INDEX('Prospect Tracker'!$K$5:$K$554,$K376)="","",INDEX('Prospect Tracker'!$K$5:$K$554,$K376)))</f>
        <v/>
      </c>
      <c r="I376" s="11" t="str">
        <f aca="false">IF($K376="","",IF(INDEX('Prospect Tracker'!$T$5:$T$554,$K376)="","",INDEX('Prospect Tracker'!$T$5:$T$554,$K376)))</f>
        <v/>
      </c>
      <c r="J376" s="11" t="str">
        <f aca="false">IF($K376="","",IF(INDEX('Prospect Tracker'!$L$5:$L$554,$K376)="","",INDEX('Prospect Tracker'!$L$5:$L$554,$K376)))</f>
        <v/>
      </c>
      <c r="K376" s="1" t="n">
        <f aca="false">IFERROR(MATCH(SMALL('Prospect Tracker'!$X$5:$X$554,ROW()-4),'Prospect Tracker'!$X$5:$X$554,0),"")</f>
        <v>372</v>
      </c>
    </row>
    <row r="377" customFormat="false" ht="15" hidden="false" customHeight="true" outlineLevel="0" collapsed="false">
      <c r="A377" s="6" t="str">
        <f aca="false">IF($K377="","",IF(INDEX('Prospect Tracker'!$W$5:$W$554,$K377)="","",INDEX('Prospect Tracker'!$W$5:$W$554,$K377)))</f>
        <v/>
      </c>
      <c r="B377" s="6" t="str">
        <f aca="false">IF($K377="","",IF(INDEX('Prospect Tracker'!$A$5:$A$554,$K377)="","",INDEX('Prospect Tracker'!$A$5:$A$554,$K377)))</f>
        <v/>
      </c>
      <c r="C377" s="6" t="str">
        <f aca="false">IF($K377="","",IF(INDEX('Prospect Tracker'!$B$5:$B$554,$K377)="","",INDEX('Prospect Tracker'!$B$5:$B$554,$K377)))</f>
        <v/>
      </c>
      <c r="D377" s="6" t="str">
        <f aca="false">IF($K377="","",IF(INDEX('Prospect Tracker'!$M$5:$M$554,$K377)="","",INDEX('Prospect Tracker'!$M$5:$M$554,$K377)))</f>
        <v/>
      </c>
      <c r="E377" s="6" t="str">
        <f aca="false">IF($K377="","",IF(INDEX('Prospect Tracker'!$R$5:$R$554,$K377)="","",INDEX('Prospect Tracker'!$R$5:$R$554,$K377)))</f>
        <v/>
      </c>
      <c r="F377" s="6" t="str">
        <f aca="false">IF($K377="","",IF(INDEX('Prospect Tracker'!$J$5:$J$554,$K377)="","",INDEX('Prospect Tracker'!$J$5:$J$554,$K377)))</f>
        <v/>
      </c>
      <c r="G377" s="6" t="str">
        <f aca="false">IF($K377="","",IF(INDEX('Prospect Tracker'!$H$5:$H$554,$K377)="","",INDEX('Prospect Tracker'!$H$5:$H$554,$K377)))</f>
        <v/>
      </c>
      <c r="H377" s="7" t="str">
        <f aca="false">IF($K377="","",IF(INDEX('Prospect Tracker'!$K$5:$K$554,$K377)="","",INDEX('Prospect Tracker'!$K$5:$K$554,$K377)))</f>
        <v/>
      </c>
      <c r="I377" s="6" t="str">
        <f aca="false">IF($K377="","",IF(INDEX('Prospect Tracker'!$T$5:$T$554,$K377)="","",INDEX('Prospect Tracker'!$T$5:$T$554,$K377)))</f>
        <v/>
      </c>
      <c r="J377" s="6" t="str">
        <f aca="false">IF($K377="","",IF(INDEX('Prospect Tracker'!$L$5:$L$554,$K377)="","",INDEX('Prospect Tracker'!$L$5:$L$554,$K377)))</f>
        <v/>
      </c>
      <c r="K377" s="1" t="n">
        <f aca="false">IFERROR(MATCH(SMALL('Prospect Tracker'!$X$5:$X$554,ROW()-4),'Prospect Tracker'!$X$5:$X$554,0),"")</f>
        <v>373</v>
      </c>
    </row>
    <row r="378" customFormat="false" ht="15" hidden="false" customHeight="true" outlineLevel="0" collapsed="false">
      <c r="A378" s="11" t="str">
        <f aca="false">IF($K378="","",IF(INDEX('Prospect Tracker'!$W$5:$W$554,$K378)="","",INDEX('Prospect Tracker'!$W$5:$W$554,$K378)))</f>
        <v/>
      </c>
      <c r="B378" s="11" t="str">
        <f aca="false">IF($K378="","",IF(INDEX('Prospect Tracker'!$A$5:$A$554,$K378)="","",INDEX('Prospect Tracker'!$A$5:$A$554,$K378)))</f>
        <v/>
      </c>
      <c r="C378" s="11" t="str">
        <f aca="false">IF($K378="","",IF(INDEX('Prospect Tracker'!$B$5:$B$554,$K378)="","",INDEX('Prospect Tracker'!$B$5:$B$554,$K378)))</f>
        <v/>
      </c>
      <c r="D378" s="11" t="str">
        <f aca="false">IF($K378="","",IF(INDEX('Prospect Tracker'!$M$5:$M$554,$K378)="","",INDEX('Prospect Tracker'!$M$5:$M$554,$K378)))</f>
        <v/>
      </c>
      <c r="E378" s="11" t="str">
        <f aca="false">IF($K378="","",IF(INDEX('Prospect Tracker'!$R$5:$R$554,$K378)="","",INDEX('Prospect Tracker'!$R$5:$R$554,$K378)))</f>
        <v/>
      </c>
      <c r="F378" s="11" t="str">
        <f aca="false">IF($K378="","",IF(INDEX('Prospect Tracker'!$J$5:$J$554,$K378)="","",INDEX('Prospect Tracker'!$J$5:$J$554,$K378)))</f>
        <v/>
      </c>
      <c r="G378" s="11" t="str">
        <f aca="false">IF($K378="","",IF(INDEX('Prospect Tracker'!$H$5:$H$554,$K378)="","",INDEX('Prospect Tracker'!$H$5:$H$554,$K378)))</f>
        <v/>
      </c>
      <c r="H378" s="12" t="str">
        <f aca="false">IF($K378="","",IF(INDEX('Prospect Tracker'!$K$5:$K$554,$K378)="","",INDEX('Prospect Tracker'!$K$5:$K$554,$K378)))</f>
        <v/>
      </c>
      <c r="I378" s="11" t="str">
        <f aca="false">IF($K378="","",IF(INDEX('Prospect Tracker'!$T$5:$T$554,$K378)="","",INDEX('Prospect Tracker'!$T$5:$T$554,$K378)))</f>
        <v/>
      </c>
      <c r="J378" s="11" t="str">
        <f aca="false">IF($K378="","",IF(INDEX('Prospect Tracker'!$L$5:$L$554,$K378)="","",INDEX('Prospect Tracker'!$L$5:$L$554,$K378)))</f>
        <v/>
      </c>
      <c r="K378" s="1" t="n">
        <f aca="false">IFERROR(MATCH(SMALL('Prospect Tracker'!$X$5:$X$554,ROW()-4),'Prospect Tracker'!$X$5:$X$554,0),"")</f>
        <v>374</v>
      </c>
    </row>
    <row r="379" customFormat="false" ht="15" hidden="false" customHeight="true" outlineLevel="0" collapsed="false">
      <c r="A379" s="6" t="str">
        <f aca="false">IF($K379="","",IF(INDEX('Prospect Tracker'!$W$5:$W$554,$K379)="","",INDEX('Prospect Tracker'!$W$5:$W$554,$K379)))</f>
        <v/>
      </c>
      <c r="B379" s="6" t="str">
        <f aca="false">IF($K379="","",IF(INDEX('Prospect Tracker'!$A$5:$A$554,$K379)="","",INDEX('Prospect Tracker'!$A$5:$A$554,$K379)))</f>
        <v/>
      </c>
      <c r="C379" s="6" t="str">
        <f aca="false">IF($K379="","",IF(INDEX('Prospect Tracker'!$B$5:$B$554,$K379)="","",INDEX('Prospect Tracker'!$B$5:$B$554,$K379)))</f>
        <v/>
      </c>
      <c r="D379" s="6" t="str">
        <f aca="false">IF($K379="","",IF(INDEX('Prospect Tracker'!$M$5:$M$554,$K379)="","",INDEX('Prospect Tracker'!$M$5:$M$554,$K379)))</f>
        <v/>
      </c>
      <c r="E379" s="6" t="str">
        <f aca="false">IF($K379="","",IF(INDEX('Prospect Tracker'!$R$5:$R$554,$K379)="","",INDEX('Prospect Tracker'!$R$5:$R$554,$K379)))</f>
        <v/>
      </c>
      <c r="F379" s="6" t="str">
        <f aca="false">IF($K379="","",IF(INDEX('Prospect Tracker'!$J$5:$J$554,$K379)="","",INDEX('Prospect Tracker'!$J$5:$J$554,$K379)))</f>
        <v/>
      </c>
      <c r="G379" s="6" t="str">
        <f aca="false">IF($K379="","",IF(INDEX('Prospect Tracker'!$H$5:$H$554,$K379)="","",INDEX('Prospect Tracker'!$H$5:$H$554,$K379)))</f>
        <v/>
      </c>
      <c r="H379" s="7" t="str">
        <f aca="false">IF($K379="","",IF(INDEX('Prospect Tracker'!$K$5:$K$554,$K379)="","",INDEX('Prospect Tracker'!$K$5:$K$554,$K379)))</f>
        <v/>
      </c>
      <c r="I379" s="6" t="str">
        <f aca="false">IF($K379="","",IF(INDEX('Prospect Tracker'!$T$5:$T$554,$K379)="","",INDEX('Prospect Tracker'!$T$5:$T$554,$K379)))</f>
        <v/>
      </c>
      <c r="J379" s="6" t="str">
        <f aca="false">IF($K379="","",IF(INDEX('Prospect Tracker'!$L$5:$L$554,$K379)="","",INDEX('Prospect Tracker'!$L$5:$L$554,$K379)))</f>
        <v/>
      </c>
      <c r="K379" s="1" t="n">
        <f aca="false">IFERROR(MATCH(SMALL('Prospect Tracker'!$X$5:$X$554,ROW()-4),'Prospect Tracker'!$X$5:$X$554,0),"")</f>
        <v>375</v>
      </c>
    </row>
    <row r="380" customFormat="false" ht="15" hidden="false" customHeight="true" outlineLevel="0" collapsed="false">
      <c r="A380" s="11" t="str">
        <f aca="false">IF($K380="","",IF(INDEX('Prospect Tracker'!$W$5:$W$554,$K380)="","",INDEX('Prospect Tracker'!$W$5:$W$554,$K380)))</f>
        <v/>
      </c>
      <c r="B380" s="11" t="str">
        <f aca="false">IF($K380="","",IF(INDEX('Prospect Tracker'!$A$5:$A$554,$K380)="","",INDEX('Prospect Tracker'!$A$5:$A$554,$K380)))</f>
        <v/>
      </c>
      <c r="C380" s="11" t="str">
        <f aca="false">IF($K380="","",IF(INDEX('Prospect Tracker'!$B$5:$B$554,$K380)="","",INDEX('Prospect Tracker'!$B$5:$B$554,$K380)))</f>
        <v/>
      </c>
      <c r="D380" s="11" t="str">
        <f aca="false">IF($K380="","",IF(INDEX('Prospect Tracker'!$M$5:$M$554,$K380)="","",INDEX('Prospect Tracker'!$M$5:$M$554,$K380)))</f>
        <v/>
      </c>
      <c r="E380" s="11" t="str">
        <f aca="false">IF($K380="","",IF(INDEX('Prospect Tracker'!$R$5:$R$554,$K380)="","",INDEX('Prospect Tracker'!$R$5:$R$554,$K380)))</f>
        <v/>
      </c>
      <c r="F380" s="11" t="str">
        <f aca="false">IF($K380="","",IF(INDEX('Prospect Tracker'!$J$5:$J$554,$K380)="","",INDEX('Prospect Tracker'!$J$5:$J$554,$K380)))</f>
        <v/>
      </c>
      <c r="G380" s="11" t="str">
        <f aca="false">IF($K380="","",IF(INDEX('Prospect Tracker'!$H$5:$H$554,$K380)="","",INDEX('Prospect Tracker'!$H$5:$H$554,$K380)))</f>
        <v/>
      </c>
      <c r="H380" s="12" t="str">
        <f aca="false">IF($K380="","",IF(INDEX('Prospect Tracker'!$K$5:$K$554,$K380)="","",INDEX('Prospect Tracker'!$K$5:$K$554,$K380)))</f>
        <v/>
      </c>
      <c r="I380" s="11" t="str">
        <f aca="false">IF($K380="","",IF(INDEX('Prospect Tracker'!$T$5:$T$554,$K380)="","",INDEX('Prospect Tracker'!$T$5:$T$554,$K380)))</f>
        <v/>
      </c>
      <c r="J380" s="11" t="str">
        <f aca="false">IF($K380="","",IF(INDEX('Prospect Tracker'!$L$5:$L$554,$K380)="","",INDEX('Prospect Tracker'!$L$5:$L$554,$K380)))</f>
        <v/>
      </c>
      <c r="K380" s="1" t="n">
        <f aca="false">IFERROR(MATCH(SMALL('Prospect Tracker'!$X$5:$X$554,ROW()-4),'Prospect Tracker'!$X$5:$X$554,0),"")</f>
        <v>376</v>
      </c>
    </row>
    <row r="381" customFormat="false" ht="15" hidden="false" customHeight="true" outlineLevel="0" collapsed="false">
      <c r="A381" s="6" t="str">
        <f aca="false">IF($K381="","",IF(INDEX('Prospect Tracker'!$W$5:$W$554,$K381)="","",INDEX('Prospect Tracker'!$W$5:$W$554,$K381)))</f>
        <v/>
      </c>
      <c r="B381" s="6" t="str">
        <f aca="false">IF($K381="","",IF(INDEX('Prospect Tracker'!$A$5:$A$554,$K381)="","",INDEX('Prospect Tracker'!$A$5:$A$554,$K381)))</f>
        <v/>
      </c>
      <c r="C381" s="6" t="str">
        <f aca="false">IF($K381="","",IF(INDEX('Prospect Tracker'!$B$5:$B$554,$K381)="","",INDEX('Prospect Tracker'!$B$5:$B$554,$K381)))</f>
        <v/>
      </c>
      <c r="D381" s="6" t="str">
        <f aca="false">IF($K381="","",IF(INDEX('Prospect Tracker'!$M$5:$M$554,$K381)="","",INDEX('Prospect Tracker'!$M$5:$M$554,$K381)))</f>
        <v/>
      </c>
      <c r="E381" s="6" t="str">
        <f aca="false">IF($K381="","",IF(INDEX('Prospect Tracker'!$R$5:$R$554,$K381)="","",INDEX('Prospect Tracker'!$R$5:$R$554,$K381)))</f>
        <v/>
      </c>
      <c r="F381" s="6" t="str">
        <f aca="false">IF($K381="","",IF(INDEX('Prospect Tracker'!$J$5:$J$554,$K381)="","",INDEX('Prospect Tracker'!$J$5:$J$554,$K381)))</f>
        <v/>
      </c>
      <c r="G381" s="6" t="str">
        <f aca="false">IF($K381="","",IF(INDEX('Prospect Tracker'!$H$5:$H$554,$K381)="","",INDEX('Prospect Tracker'!$H$5:$H$554,$K381)))</f>
        <v/>
      </c>
      <c r="H381" s="7" t="str">
        <f aca="false">IF($K381="","",IF(INDEX('Prospect Tracker'!$K$5:$K$554,$K381)="","",INDEX('Prospect Tracker'!$K$5:$K$554,$K381)))</f>
        <v/>
      </c>
      <c r="I381" s="6" t="str">
        <f aca="false">IF($K381="","",IF(INDEX('Prospect Tracker'!$T$5:$T$554,$K381)="","",INDEX('Prospect Tracker'!$T$5:$T$554,$K381)))</f>
        <v/>
      </c>
      <c r="J381" s="6" t="str">
        <f aca="false">IF($K381="","",IF(INDEX('Prospect Tracker'!$L$5:$L$554,$K381)="","",INDEX('Prospect Tracker'!$L$5:$L$554,$K381)))</f>
        <v/>
      </c>
      <c r="K381" s="1" t="n">
        <f aca="false">IFERROR(MATCH(SMALL('Prospect Tracker'!$X$5:$X$554,ROW()-4),'Prospect Tracker'!$X$5:$X$554,0),"")</f>
        <v>377</v>
      </c>
    </row>
    <row r="382" customFormat="false" ht="15" hidden="false" customHeight="true" outlineLevel="0" collapsed="false">
      <c r="A382" s="11" t="str">
        <f aca="false">IF($K382="","",IF(INDEX('Prospect Tracker'!$W$5:$W$554,$K382)="","",INDEX('Prospect Tracker'!$W$5:$W$554,$K382)))</f>
        <v/>
      </c>
      <c r="B382" s="11" t="str">
        <f aca="false">IF($K382="","",IF(INDEX('Prospect Tracker'!$A$5:$A$554,$K382)="","",INDEX('Prospect Tracker'!$A$5:$A$554,$K382)))</f>
        <v/>
      </c>
      <c r="C382" s="11" t="str">
        <f aca="false">IF($K382="","",IF(INDEX('Prospect Tracker'!$B$5:$B$554,$K382)="","",INDEX('Prospect Tracker'!$B$5:$B$554,$K382)))</f>
        <v/>
      </c>
      <c r="D382" s="11" t="str">
        <f aca="false">IF($K382="","",IF(INDEX('Prospect Tracker'!$M$5:$M$554,$K382)="","",INDEX('Prospect Tracker'!$M$5:$M$554,$K382)))</f>
        <v/>
      </c>
      <c r="E382" s="11" t="str">
        <f aca="false">IF($K382="","",IF(INDEX('Prospect Tracker'!$R$5:$R$554,$K382)="","",INDEX('Prospect Tracker'!$R$5:$R$554,$K382)))</f>
        <v/>
      </c>
      <c r="F382" s="11" t="str">
        <f aca="false">IF($K382="","",IF(INDEX('Prospect Tracker'!$J$5:$J$554,$K382)="","",INDEX('Prospect Tracker'!$J$5:$J$554,$K382)))</f>
        <v/>
      </c>
      <c r="G382" s="11" t="str">
        <f aca="false">IF($K382="","",IF(INDEX('Prospect Tracker'!$H$5:$H$554,$K382)="","",INDEX('Prospect Tracker'!$H$5:$H$554,$K382)))</f>
        <v/>
      </c>
      <c r="H382" s="12" t="str">
        <f aca="false">IF($K382="","",IF(INDEX('Prospect Tracker'!$K$5:$K$554,$K382)="","",INDEX('Prospect Tracker'!$K$5:$K$554,$K382)))</f>
        <v/>
      </c>
      <c r="I382" s="11" t="str">
        <f aca="false">IF($K382="","",IF(INDEX('Prospect Tracker'!$T$5:$T$554,$K382)="","",INDEX('Prospect Tracker'!$T$5:$T$554,$K382)))</f>
        <v/>
      </c>
      <c r="J382" s="11" t="str">
        <f aca="false">IF($K382="","",IF(INDEX('Prospect Tracker'!$L$5:$L$554,$K382)="","",INDEX('Prospect Tracker'!$L$5:$L$554,$K382)))</f>
        <v/>
      </c>
      <c r="K382" s="1" t="n">
        <f aca="false">IFERROR(MATCH(SMALL('Prospect Tracker'!$X$5:$X$554,ROW()-4),'Prospect Tracker'!$X$5:$X$554,0),"")</f>
        <v>378</v>
      </c>
    </row>
    <row r="383" customFormat="false" ht="15" hidden="false" customHeight="true" outlineLevel="0" collapsed="false">
      <c r="A383" s="6" t="str">
        <f aca="false">IF($K383="","",IF(INDEX('Prospect Tracker'!$W$5:$W$554,$K383)="","",INDEX('Prospect Tracker'!$W$5:$W$554,$K383)))</f>
        <v/>
      </c>
      <c r="B383" s="6" t="str">
        <f aca="false">IF($K383="","",IF(INDEX('Prospect Tracker'!$A$5:$A$554,$K383)="","",INDEX('Prospect Tracker'!$A$5:$A$554,$K383)))</f>
        <v/>
      </c>
      <c r="C383" s="6" t="str">
        <f aca="false">IF($K383="","",IF(INDEX('Prospect Tracker'!$B$5:$B$554,$K383)="","",INDEX('Prospect Tracker'!$B$5:$B$554,$K383)))</f>
        <v/>
      </c>
      <c r="D383" s="6" t="str">
        <f aca="false">IF($K383="","",IF(INDEX('Prospect Tracker'!$M$5:$M$554,$K383)="","",INDEX('Prospect Tracker'!$M$5:$M$554,$K383)))</f>
        <v/>
      </c>
      <c r="E383" s="6" t="str">
        <f aca="false">IF($K383="","",IF(INDEX('Prospect Tracker'!$R$5:$R$554,$K383)="","",INDEX('Prospect Tracker'!$R$5:$R$554,$K383)))</f>
        <v/>
      </c>
      <c r="F383" s="6" t="str">
        <f aca="false">IF($K383="","",IF(INDEX('Prospect Tracker'!$J$5:$J$554,$K383)="","",INDEX('Prospect Tracker'!$J$5:$J$554,$K383)))</f>
        <v/>
      </c>
      <c r="G383" s="6" t="str">
        <f aca="false">IF($K383="","",IF(INDEX('Prospect Tracker'!$H$5:$H$554,$K383)="","",INDEX('Prospect Tracker'!$H$5:$H$554,$K383)))</f>
        <v/>
      </c>
      <c r="H383" s="7" t="str">
        <f aca="false">IF($K383="","",IF(INDEX('Prospect Tracker'!$K$5:$K$554,$K383)="","",INDEX('Prospect Tracker'!$K$5:$K$554,$K383)))</f>
        <v/>
      </c>
      <c r="I383" s="6" t="str">
        <f aca="false">IF($K383="","",IF(INDEX('Prospect Tracker'!$T$5:$T$554,$K383)="","",INDEX('Prospect Tracker'!$T$5:$T$554,$K383)))</f>
        <v/>
      </c>
      <c r="J383" s="6" t="str">
        <f aca="false">IF($K383="","",IF(INDEX('Prospect Tracker'!$L$5:$L$554,$K383)="","",INDEX('Prospect Tracker'!$L$5:$L$554,$K383)))</f>
        <v/>
      </c>
      <c r="K383" s="1" t="n">
        <f aca="false">IFERROR(MATCH(SMALL('Prospect Tracker'!$X$5:$X$554,ROW()-4),'Prospect Tracker'!$X$5:$X$554,0),"")</f>
        <v>379</v>
      </c>
    </row>
    <row r="384" customFormat="false" ht="15" hidden="false" customHeight="true" outlineLevel="0" collapsed="false">
      <c r="A384" s="11" t="str">
        <f aca="false">IF($K384="","",IF(INDEX('Prospect Tracker'!$W$5:$W$554,$K384)="","",INDEX('Prospect Tracker'!$W$5:$W$554,$K384)))</f>
        <v/>
      </c>
      <c r="B384" s="11" t="str">
        <f aca="false">IF($K384="","",IF(INDEX('Prospect Tracker'!$A$5:$A$554,$K384)="","",INDEX('Prospect Tracker'!$A$5:$A$554,$K384)))</f>
        <v/>
      </c>
      <c r="C384" s="11" t="str">
        <f aca="false">IF($K384="","",IF(INDEX('Prospect Tracker'!$B$5:$B$554,$K384)="","",INDEX('Prospect Tracker'!$B$5:$B$554,$K384)))</f>
        <v/>
      </c>
      <c r="D384" s="11" t="str">
        <f aca="false">IF($K384="","",IF(INDEX('Prospect Tracker'!$M$5:$M$554,$K384)="","",INDEX('Prospect Tracker'!$M$5:$M$554,$K384)))</f>
        <v/>
      </c>
      <c r="E384" s="11" t="str">
        <f aca="false">IF($K384="","",IF(INDEX('Prospect Tracker'!$R$5:$R$554,$K384)="","",INDEX('Prospect Tracker'!$R$5:$R$554,$K384)))</f>
        <v/>
      </c>
      <c r="F384" s="11" t="str">
        <f aca="false">IF($K384="","",IF(INDEX('Prospect Tracker'!$J$5:$J$554,$K384)="","",INDEX('Prospect Tracker'!$J$5:$J$554,$K384)))</f>
        <v/>
      </c>
      <c r="G384" s="11" t="str">
        <f aca="false">IF($K384="","",IF(INDEX('Prospect Tracker'!$H$5:$H$554,$K384)="","",INDEX('Prospect Tracker'!$H$5:$H$554,$K384)))</f>
        <v/>
      </c>
      <c r="H384" s="12" t="str">
        <f aca="false">IF($K384="","",IF(INDEX('Prospect Tracker'!$K$5:$K$554,$K384)="","",INDEX('Prospect Tracker'!$K$5:$K$554,$K384)))</f>
        <v/>
      </c>
      <c r="I384" s="11" t="str">
        <f aca="false">IF($K384="","",IF(INDEX('Prospect Tracker'!$T$5:$T$554,$K384)="","",INDEX('Prospect Tracker'!$T$5:$T$554,$K384)))</f>
        <v/>
      </c>
      <c r="J384" s="11" t="str">
        <f aca="false">IF($K384="","",IF(INDEX('Prospect Tracker'!$L$5:$L$554,$K384)="","",INDEX('Prospect Tracker'!$L$5:$L$554,$K384)))</f>
        <v/>
      </c>
      <c r="K384" s="1" t="n">
        <f aca="false">IFERROR(MATCH(SMALL('Prospect Tracker'!$X$5:$X$554,ROW()-4),'Prospect Tracker'!$X$5:$X$554,0),"")</f>
        <v>380</v>
      </c>
    </row>
    <row r="385" customFormat="false" ht="15" hidden="false" customHeight="true" outlineLevel="0" collapsed="false">
      <c r="A385" s="6" t="str">
        <f aca="false">IF($K385="","",IF(INDEX('Prospect Tracker'!$W$5:$W$554,$K385)="","",INDEX('Prospect Tracker'!$W$5:$W$554,$K385)))</f>
        <v/>
      </c>
      <c r="B385" s="6" t="str">
        <f aca="false">IF($K385="","",IF(INDEX('Prospect Tracker'!$A$5:$A$554,$K385)="","",INDEX('Prospect Tracker'!$A$5:$A$554,$K385)))</f>
        <v/>
      </c>
      <c r="C385" s="6" t="str">
        <f aca="false">IF($K385="","",IF(INDEX('Prospect Tracker'!$B$5:$B$554,$K385)="","",INDEX('Prospect Tracker'!$B$5:$B$554,$K385)))</f>
        <v/>
      </c>
      <c r="D385" s="6" t="str">
        <f aca="false">IF($K385="","",IF(INDEX('Prospect Tracker'!$M$5:$M$554,$K385)="","",INDEX('Prospect Tracker'!$M$5:$M$554,$K385)))</f>
        <v/>
      </c>
      <c r="E385" s="6" t="str">
        <f aca="false">IF($K385="","",IF(INDEX('Prospect Tracker'!$R$5:$R$554,$K385)="","",INDEX('Prospect Tracker'!$R$5:$R$554,$K385)))</f>
        <v/>
      </c>
      <c r="F385" s="6" t="str">
        <f aca="false">IF($K385="","",IF(INDEX('Prospect Tracker'!$J$5:$J$554,$K385)="","",INDEX('Prospect Tracker'!$J$5:$J$554,$K385)))</f>
        <v/>
      </c>
      <c r="G385" s="6" t="str">
        <f aca="false">IF($K385="","",IF(INDEX('Prospect Tracker'!$H$5:$H$554,$K385)="","",INDEX('Prospect Tracker'!$H$5:$H$554,$K385)))</f>
        <v/>
      </c>
      <c r="H385" s="7" t="str">
        <f aca="false">IF($K385="","",IF(INDEX('Prospect Tracker'!$K$5:$K$554,$K385)="","",INDEX('Prospect Tracker'!$K$5:$K$554,$K385)))</f>
        <v/>
      </c>
      <c r="I385" s="6" t="str">
        <f aca="false">IF($K385="","",IF(INDEX('Prospect Tracker'!$T$5:$T$554,$K385)="","",INDEX('Prospect Tracker'!$T$5:$T$554,$K385)))</f>
        <v/>
      </c>
      <c r="J385" s="6" t="str">
        <f aca="false">IF($K385="","",IF(INDEX('Prospect Tracker'!$L$5:$L$554,$K385)="","",INDEX('Prospect Tracker'!$L$5:$L$554,$K385)))</f>
        <v/>
      </c>
      <c r="K385" s="1" t="n">
        <f aca="false">IFERROR(MATCH(SMALL('Prospect Tracker'!$X$5:$X$554,ROW()-4),'Prospect Tracker'!$X$5:$X$554,0),"")</f>
        <v>381</v>
      </c>
    </row>
    <row r="386" customFormat="false" ht="15" hidden="false" customHeight="true" outlineLevel="0" collapsed="false">
      <c r="A386" s="11" t="str">
        <f aca="false">IF($K386="","",IF(INDEX('Prospect Tracker'!$W$5:$W$554,$K386)="","",INDEX('Prospect Tracker'!$W$5:$W$554,$K386)))</f>
        <v/>
      </c>
      <c r="B386" s="11" t="str">
        <f aca="false">IF($K386="","",IF(INDEX('Prospect Tracker'!$A$5:$A$554,$K386)="","",INDEX('Prospect Tracker'!$A$5:$A$554,$K386)))</f>
        <v/>
      </c>
      <c r="C386" s="11" t="str">
        <f aca="false">IF($K386="","",IF(INDEX('Prospect Tracker'!$B$5:$B$554,$K386)="","",INDEX('Prospect Tracker'!$B$5:$B$554,$K386)))</f>
        <v/>
      </c>
      <c r="D386" s="11" t="str">
        <f aca="false">IF($K386="","",IF(INDEX('Prospect Tracker'!$M$5:$M$554,$K386)="","",INDEX('Prospect Tracker'!$M$5:$M$554,$K386)))</f>
        <v/>
      </c>
      <c r="E386" s="11" t="str">
        <f aca="false">IF($K386="","",IF(INDEX('Prospect Tracker'!$R$5:$R$554,$K386)="","",INDEX('Prospect Tracker'!$R$5:$R$554,$K386)))</f>
        <v/>
      </c>
      <c r="F386" s="11" t="str">
        <f aca="false">IF($K386="","",IF(INDEX('Prospect Tracker'!$J$5:$J$554,$K386)="","",INDEX('Prospect Tracker'!$J$5:$J$554,$K386)))</f>
        <v/>
      </c>
      <c r="G386" s="11" t="str">
        <f aca="false">IF($K386="","",IF(INDEX('Prospect Tracker'!$H$5:$H$554,$K386)="","",INDEX('Prospect Tracker'!$H$5:$H$554,$K386)))</f>
        <v/>
      </c>
      <c r="H386" s="12" t="str">
        <f aca="false">IF($K386="","",IF(INDEX('Prospect Tracker'!$K$5:$K$554,$K386)="","",INDEX('Prospect Tracker'!$K$5:$K$554,$K386)))</f>
        <v/>
      </c>
      <c r="I386" s="11" t="str">
        <f aca="false">IF($K386="","",IF(INDEX('Prospect Tracker'!$T$5:$T$554,$K386)="","",INDEX('Prospect Tracker'!$T$5:$T$554,$K386)))</f>
        <v/>
      </c>
      <c r="J386" s="11" t="str">
        <f aca="false">IF($K386="","",IF(INDEX('Prospect Tracker'!$L$5:$L$554,$K386)="","",INDEX('Prospect Tracker'!$L$5:$L$554,$K386)))</f>
        <v/>
      </c>
      <c r="K386" s="1" t="n">
        <f aca="false">IFERROR(MATCH(SMALL('Prospect Tracker'!$X$5:$X$554,ROW()-4),'Prospect Tracker'!$X$5:$X$554,0),"")</f>
        <v>382</v>
      </c>
    </row>
    <row r="387" customFormat="false" ht="15" hidden="false" customHeight="true" outlineLevel="0" collapsed="false">
      <c r="A387" s="6" t="str">
        <f aca="false">IF($K387="","",IF(INDEX('Prospect Tracker'!$W$5:$W$554,$K387)="","",INDEX('Prospect Tracker'!$W$5:$W$554,$K387)))</f>
        <v/>
      </c>
      <c r="B387" s="6" t="str">
        <f aca="false">IF($K387="","",IF(INDEX('Prospect Tracker'!$A$5:$A$554,$K387)="","",INDEX('Prospect Tracker'!$A$5:$A$554,$K387)))</f>
        <v/>
      </c>
      <c r="C387" s="6" t="str">
        <f aca="false">IF($K387="","",IF(INDEX('Prospect Tracker'!$B$5:$B$554,$K387)="","",INDEX('Prospect Tracker'!$B$5:$B$554,$K387)))</f>
        <v/>
      </c>
      <c r="D387" s="6" t="str">
        <f aca="false">IF($K387="","",IF(INDEX('Prospect Tracker'!$M$5:$M$554,$K387)="","",INDEX('Prospect Tracker'!$M$5:$M$554,$K387)))</f>
        <v/>
      </c>
      <c r="E387" s="6" t="str">
        <f aca="false">IF($K387="","",IF(INDEX('Prospect Tracker'!$R$5:$R$554,$K387)="","",INDEX('Prospect Tracker'!$R$5:$R$554,$K387)))</f>
        <v/>
      </c>
      <c r="F387" s="6" t="str">
        <f aca="false">IF($K387="","",IF(INDEX('Prospect Tracker'!$J$5:$J$554,$K387)="","",INDEX('Prospect Tracker'!$J$5:$J$554,$K387)))</f>
        <v/>
      </c>
      <c r="G387" s="6" t="str">
        <f aca="false">IF($K387="","",IF(INDEX('Prospect Tracker'!$H$5:$H$554,$K387)="","",INDEX('Prospect Tracker'!$H$5:$H$554,$K387)))</f>
        <v/>
      </c>
      <c r="H387" s="7" t="str">
        <f aca="false">IF($K387="","",IF(INDEX('Prospect Tracker'!$K$5:$K$554,$K387)="","",INDEX('Prospect Tracker'!$K$5:$K$554,$K387)))</f>
        <v/>
      </c>
      <c r="I387" s="6" t="str">
        <f aca="false">IF($K387="","",IF(INDEX('Prospect Tracker'!$T$5:$T$554,$K387)="","",INDEX('Prospect Tracker'!$T$5:$T$554,$K387)))</f>
        <v/>
      </c>
      <c r="J387" s="6" t="str">
        <f aca="false">IF($K387="","",IF(INDEX('Prospect Tracker'!$L$5:$L$554,$K387)="","",INDEX('Prospect Tracker'!$L$5:$L$554,$K387)))</f>
        <v/>
      </c>
      <c r="K387" s="1" t="n">
        <f aca="false">IFERROR(MATCH(SMALL('Prospect Tracker'!$X$5:$X$554,ROW()-4),'Prospect Tracker'!$X$5:$X$554,0),"")</f>
        <v>383</v>
      </c>
    </row>
    <row r="388" customFormat="false" ht="15" hidden="false" customHeight="true" outlineLevel="0" collapsed="false">
      <c r="A388" s="11" t="str">
        <f aca="false">IF($K388="","",IF(INDEX('Prospect Tracker'!$W$5:$W$554,$K388)="","",INDEX('Prospect Tracker'!$W$5:$W$554,$K388)))</f>
        <v/>
      </c>
      <c r="B388" s="11" t="str">
        <f aca="false">IF($K388="","",IF(INDEX('Prospect Tracker'!$A$5:$A$554,$K388)="","",INDEX('Prospect Tracker'!$A$5:$A$554,$K388)))</f>
        <v/>
      </c>
      <c r="C388" s="11" t="str">
        <f aca="false">IF($K388="","",IF(INDEX('Prospect Tracker'!$B$5:$B$554,$K388)="","",INDEX('Prospect Tracker'!$B$5:$B$554,$K388)))</f>
        <v/>
      </c>
      <c r="D388" s="11" t="str">
        <f aca="false">IF($K388="","",IF(INDEX('Prospect Tracker'!$M$5:$M$554,$K388)="","",INDEX('Prospect Tracker'!$M$5:$M$554,$K388)))</f>
        <v/>
      </c>
      <c r="E388" s="11" t="str">
        <f aca="false">IF($K388="","",IF(INDEX('Prospect Tracker'!$R$5:$R$554,$K388)="","",INDEX('Prospect Tracker'!$R$5:$R$554,$K388)))</f>
        <v/>
      </c>
      <c r="F388" s="11" t="str">
        <f aca="false">IF($K388="","",IF(INDEX('Prospect Tracker'!$J$5:$J$554,$K388)="","",INDEX('Prospect Tracker'!$J$5:$J$554,$K388)))</f>
        <v/>
      </c>
      <c r="G388" s="11" t="str">
        <f aca="false">IF($K388="","",IF(INDEX('Prospect Tracker'!$H$5:$H$554,$K388)="","",INDEX('Prospect Tracker'!$H$5:$H$554,$K388)))</f>
        <v/>
      </c>
      <c r="H388" s="12" t="str">
        <f aca="false">IF($K388="","",IF(INDEX('Prospect Tracker'!$K$5:$K$554,$K388)="","",INDEX('Prospect Tracker'!$K$5:$K$554,$K388)))</f>
        <v/>
      </c>
      <c r="I388" s="11" t="str">
        <f aca="false">IF($K388="","",IF(INDEX('Prospect Tracker'!$T$5:$T$554,$K388)="","",INDEX('Prospect Tracker'!$T$5:$T$554,$K388)))</f>
        <v/>
      </c>
      <c r="J388" s="11" t="str">
        <f aca="false">IF($K388="","",IF(INDEX('Prospect Tracker'!$L$5:$L$554,$K388)="","",INDEX('Prospect Tracker'!$L$5:$L$554,$K388)))</f>
        <v/>
      </c>
      <c r="K388" s="1" t="n">
        <f aca="false">IFERROR(MATCH(SMALL('Prospect Tracker'!$X$5:$X$554,ROW()-4),'Prospect Tracker'!$X$5:$X$554,0),"")</f>
        <v>384</v>
      </c>
    </row>
    <row r="389" customFormat="false" ht="15" hidden="false" customHeight="true" outlineLevel="0" collapsed="false">
      <c r="A389" s="6" t="str">
        <f aca="false">IF($K389="","",IF(INDEX('Prospect Tracker'!$W$5:$W$554,$K389)="","",INDEX('Prospect Tracker'!$W$5:$W$554,$K389)))</f>
        <v/>
      </c>
      <c r="B389" s="6" t="str">
        <f aca="false">IF($K389="","",IF(INDEX('Prospect Tracker'!$A$5:$A$554,$K389)="","",INDEX('Prospect Tracker'!$A$5:$A$554,$K389)))</f>
        <v/>
      </c>
      <c r="C389" s="6" t="str">
        <f aca="false">IF($K389="","",IF(INDEX('Prospect Tracker'!$B$5:$B$554,$K389)="","",INDEX('Prospect Tracker'!$B$5:$B$554,$K389)))</f>
        <v/>
      </c>
      <c r="D389" s="6" t="str">
        <f aca="false">IF($K389="","",IF(INDEX('Prospect Tracker'!$M$5:$M$554,$K389)="","",INDEX('Prospect Tracker'!$M$5:$M$554,$K389)))</f>
        <v/>
      </c>
      <c r="E389" s="6" t="str">
        <f aca="false">IF($K389="","",IF(INDEX('Prospect Tracker'!$R$5:$R$554,$K389)="","",INDEX('Prospect Tracker'!$R$5:$R$554,$K389)))</f>
        <v/>
      </c>
      <c r="F389" s="6" t="str">
        <f aca="false">IF($K389="","",IF(INDEX('Prospect Tracker'!$J$5:$J$554,$K389)="","",INDEX('Prospect Tracker'!$J$5:$J$554,$K389)))</f>
        <v/>
      </c>
      <c r="G389" s="6" t="str">
        <f aca="false">IF($K389="","",IF(INDEX('Prospect Tracker'!$H$5:$H$554,$K389)="","",INDEX('Prospect Tracker'!$H$5:$H$554,$K389)))</f>
        <v/>
      </c>
      <c r="H389" s="7" t="str">
        <f aca="false">IF($K389="","",IF(INDEX('Prospect Tracker'!$K$5:$K$554,$K389)="","",INDEX('Prospect Tracker'!$K$5:$K$554,$K389)))</f>
        <v/>
      </c>
      <c r="I389" s="6" t="str">
        <f aca="false">IF($K389="","",IF(INDEX('Prospect Tracker'!$T$5:$T$554,$K389)="","",INDEX('Prospect Tracker'!$T$5:$T$554,$K389)))</f>
        <v/>
      </c>
      <c r="J389" s="6" t="str">
        <f aca="false">IF($K389="","",IF(INDEX('Prospect Tracker'!$L$5:$L$554,$K389)="","",INDEX('Prospect Tracker'!$L$5:$L$554,$K389)))</f>
        <v/>
      </c>
      <c r="K389" s="1" t="n">
        <f aca="false">IFERROR(MATCH(SMALL('Prospect Tracker'!$X$5:$X$554,ROW()-4),'Prospect Tracker'!$X$5:$X$554,0),"")</f>
        <v>385</v>
      </c>
    </row>
    <row r="390" customFormat="false" ht="15" hidden="false" customHeight="true" outlineLevel="0" collapsed="false">
      <c r="A390" s="11" t="str">
        <f aca="false">IF($K390="","",IF(INDEX('Prospect Tracker'!$W$5:$W$554,$K390)="","",INDEX('Prospect Tracker'!$W$5:$W$554,$K390)))</f>
        <v/>
      </c>
      <c r="B390" s="11" t="str">
        <f aca="false">IF($K390="","",IF(INDEX('Prospect Tracker'!$A$5:$A$554,$K390)="","",INDEX('Prospect Tracker'!$A$5:$A$554,$K390)))</f>
        <v/>
      </c>
      <c r="C390" s="11" t="str">
        <f aca="false">IF($K390="","",IF(INDEX('Prospect Tracker'!$B$5:$B$554,$K390)="","",INDEX('Prospect Tracker'!$B$5:$B$554,$K390)))</f>
        <v/>
      </c>
      <c r="D390" s="11" t="str">
        <f aca="false">IF($K390="","",IF(INDEX('Prospect Tracker'!$M$5:$M$554,$K390)="","",INDEX('Prospect Tracker'!$M$5:$M$554,$K390)))</f>
        <v/>
      </c>
      <c r="E390" s="11" t="str">
        <f aca="false">IF($K390="","",IF(INDEX('Prospect Tracker'!$R$5:$R$554,$K390)="","",INDEX('Prospect Tracker'!$R$5:$R$554,$K390)))</f>
        <v/>
      </c>
      <c r="F390" s="11" t="str">
        <f aca="false">IF($K390="","",IF(INDEX('Prospect Tracker'!$J$5:$J$554,$K390)="","",INDEX('Prospect Tracker'!$J$5:$J$554,$K390)))</f>
        <v/>
      </c>
      <c r="G390" s="11" t="str">
        <f aca="false">IF($K390="","",IF(INDEX('Prospect Tracker'!$H$5:$H$554,$K390)="","",INDEX('Prospect Tracker'!$H$5:$H$554,$K390)))</f>
        <v/>
      </c>
      <c r="H390" s="12" t="str">
        <f aca="false">IF($K390="","",IF(INDEX('Prospect Tracker'!$K$5:$K$554,$K390)="","",INDEX('Prospect Tracker'!$K$5:$K$554,$K390)))</f>
        <v/>
      </c>
      <c r="I390" s="11" t="str">
        <f aca="false">IF($K390="","",IF(INDEX('Prospect Tracker'!$T$5:$T$554,$K390)="","",INDEX('Prospect Tracker'!$T$5:$T$554,$K390)))</f>
        <v/>
      </c>
      <c r="J390" s="11" t="str">
        <f aca="false">IF($K390="","",IF(INDEX('Prospect Tracker'!$L$5:$L$554,$K390)="","",INDEX('Prospect Tracker'!$L$5:$L$554,$K390)))</f>
        <v/>
      </c>
      <c r="K390" s="1" t="n">
        <f aca="false">IFERROR(MATCH(SMALL('Prospect Tracker'!$X$5:$X$554,ROW()-4),'Prospect Tracker'!$X$5:$X$554,0),"")</f>
        <v>386</v>
      </c>
    </row>
    <row r="391" customFormat="false" ht="15" hidden="false" customHeight="true" outlineLevel="0" collapsed="false">
      <c r="A391" s="6" t="str">
        <f aca="false">IF($K391="","",IF(INDEX('Prospect Tracker'!$W$5:$W$554,$K391)="","",INDEX('Prospect Tracker'!$W$5:$W$554,$K391)))</f>
        <v/>
      </c>
      <c r="B391" s="6" t="str">
        <f aca="false">IF($K391="","",IF(INDEX('Prospect Tracker'!$A$5:$A$554,$K391)="","",INDEX('Prospect Tracker'!$A$5:$A$554,$K391)))</f>
        <v/>
      </c>
      <c r="C391" s="6" t="str">
        <f aca="false">IF($K391="","",IF(INDEX('Prospect Tracker'!$B$5:$B$554,$K391)="","",INDEX('Prospect Tracker'!$B$5:$B$554,$K391)))</f>
        <v/>
      </c>
      <c r="D391" s="6" t="str">
        <f aca="false">IF($K391="","",IF(INDEX('Prospect Tracker'!$M$5:$M$554,$K391)="","",INDEX('Prospect Tracker'!$M$5:$M$554,$K391)))</f>
        <v/>
      </c>
      <c r="E391" s="6" t="str">
        <f aca="false">IF($K391="","",IF(INDEX('Prospect Tracker'!$R$5:$R$554,$K391)="","",INDEX('Prospect Tracker'!$R$5:$R$554,$K391)))</f>
        <v/>
      </c>
      <c r="F391" s="6" t="str">
        <f aca="false">IF($K391="","",IF(INDEX('Prospect Tracker'!$J$5:$J$554,$K391)="","",INDEX('Prospect Tracker'!$J$5:$J$554,$K391)))</f>
        <v/>
      </c>
      <c r="G391" s="6" t="str">
        <f aca="false">IF($K391="","",IF(INDEX('Prospect Tracker'!$H$5:$H$554,$K391)="","",INDEX('Prospect Tracker'!$H$5:$H$554,$K391)))</f>
        <v/>
      </c>
      <c r="H391" s="7" t="str">
        <f aca="false">IF($K391="","",IF(INDEX('Prospect Tracker'!$K$5:$K$554,$K391)="","",INDEX('Prospect Tracker'!$K$5:$K$554,$K391)))</f>
        <v/>
      </c>
      <c r="I391" s="6" t="str">
        <f aca="false">IF($K391="","",IF(INDEX('Prospect Tracker'!$T$5:$T$554,$K391)="","",INDEX('Prospect Tracker'!$T$5:$T$554,$K391)))</f>
        <v/>
      </c>
      <c r="J391" s="6" t="str">
        <f aca="false">IF($K391="","",IF(INDEX('Prospect Tracker'!$L$5:$L$554,$K391)="","",INDEX('Prospect Tracker'!$L$5:$L$554,$K391)))</f>
        <v/>
      </c>
      <c r="K391" s="1" t="n">
        <f aca="false">IFERROR(MATCH(SMALL('Prospect Tracker'!$X$5:$X$554,ROW()-4),'Prospect Tracker'!$X$5:$X$554,0),"")</f>
        <v>387</v>
      </c>
    </row>
    <row r="392" customFormat="false" ht="15" hidden="false" customHeight="true" outlineLevel="0" collapsed="false">
      <c r="A392" s="11" t="str">
        <f aca="false">IF($K392="","",IF(INDEX('Prospect Tracker'!$W$5:$W$554,$K392)="","",INDEX('Prospect Tracker'!$W$5:$W$554,$K392)))</f>
        <v/>
      </c>
      <c r="B392" s="11" t="str">
        <f aca="false">IF($K392="","",IF(INDEX('Prospect Tracker'!$A$5:$A$554,$K392)="","",INDEX('Prospect Tracker'!$A$5:$A$554,$K392)))</f>
        <v/>
      </c>
      <c r="C392" s="11" t="str">
        <f aca="false">IF($K392="","",IF(INDEX('Prospect Tracker'!$B$5:$B$554,$K392)="","",INDEX('Prospect Tracker'!$B$5:$B$554,$K392)))</f>
        <v/>
      </c>
      <c r="D392" s="11" t="str">
        <f aca="false">IF($K392="","",IF(INDEX('Prospect Tracker'!$M$5:$M$554,$K392)="","",INDEX('Prospect Tracker'!$M$5:$M$554,$K392)))</f>
        <v/>
      </c>
      <c r="E392" s="11" t="str">
        <f aca="false">IF($K392="","",IF(INDEX('Prospect Tracker'!$R$5:$R$554,$K392)="","",INDEX('Prospect Tracker'!$R$5:$R$554,$K392)))</f>
        <v/>
      </c>
      <c r="F392" s="11" t="str">
        <f aca="false">IF($K392="","",IF(INDEX('Prospect Tracker'!$J$5:$J$554,$K392)="","",INDEX('Prospect Tracker'!$J$5:$J$554,$K392)))</f>
        <v/>
      </c>
      <c r="G392" s="11" t="str">
        <f aca="false">IF($K392="","",IF(INDEX('Prospect Tracker'!$H$5:$H$554,$K392)="","",INDEX('Prospect Tracker'!$H$5:$H$554,$K392)))</f>
        <v/>
      </c>
      <c r="H392" s="12" t="str">
        <f aca="false">IF($K392="","",IF(INDEX('Prospect Tracker'!$K$5:$K$554,$K392)="","",INDEX('Prospect Tracker'!$K$5:$K$554,$K392)))</f>
        <v/>
      </c>
      <c r="I392" s="11" t="str">
        <f aca="false">IF($K392="","",IF(INDEX('Prospect Tracker'!$T$5:$T$554,$K392)="","",INDEX('Prospect Tracker'!$T$5:$T$554,$K392)))</f>
        <v/>
      </c>
      <c r="J392" s="11" t="str">
        <f aca="false">IF($K392="","",IF(INDEX('Prospect Tracker'!$L$5:$L$554,$K392)="","",INDEX('Prospect Tracker'!$L$5:$L$554,$K392)))</f>
        <v/>
      </c>
      <c r="K392" s="1" t="n">
        <f aca="false">IFERROR(MATCH(SMALL('Prospect Tracker'!$X$5:$X$554,ROW()-4),'Prospect Tracker'!$X$5:$X$554,0),"")</f>
        <v>388</v>
      </c>
    </row>
    <row r="393" customFormat="false" ht="15" hidden="false" customHeight="true" outlineLevel="0" collapsed="false">
      <c r="A393" s="6" t="str">
        <f aca="false">IF($K393="","",IF(INDEX('Prospect Tracker'!$W$5:$W$554,$K393)="","",INDEX('Prospect Tracker'!$W$5:$W$554,$K393)))</f>
        <v/>
      </c>
      <c r="B393" s="6" t="str">
        <f aca="false">IF($K393="","",IF(INDEX('Prospect Tracker'!$A$5:$A$554,$K393)="","",INDEX('Prospect Tracker'!$A$5:$A$554,$K393)))</f>
        <v/>
      </c>
      <c r="C393" s="6" t="str">
        <f aca="false">IF($K393="","",IF(INDEX('Prospect Tracker'!$B$5:$B$554,$K393)="","",INDEX('Prospect Tracker'!$B$5:$B$554,$K393)))</f>
        <v/>
      </c>
      <c r="D393" s="6" t="str">
        <f aca="false">IF($K393="","",IF(INDEX('Prospect Tracker'!$M$5:$M$554,$K393)="","",INDEX('Prospect Tracker'!$M$5:$M$554,$K393)))</f>
        <v/>
      </c>
      <c r="E393" s="6" t="str">
        <f aca="false">IF($K393="","",IF(INDEX('Prospect Tracker'!$R$5:$R$554,$K393)="","",INDEX('Prospect Tracker'!$R$5:$R$554,$K393)))</f>
        <v/>
      </c>
      <c r="F393" s="6" t="str">
        <f aca="false">IF($K393="","",IF(INDEX('Prospect Tracker'!$J$5:$J$554,$K393)="","",INDEX('Prospect Tracker'!$J$5:$J$554,$K393)))</f>
        <v/>
      </c>
      <c r="G393" s="6" t="str">
        <f aca="false">IF($K393="","",IF(INDEX('Prospect Tracker'!$H$5:$H$554,$K393)="","",INDEX('Prospect Tracker'!$H$5:$H$554,$K393)))</f>
        <v/>
      </c>
      <c r="H393" s="7" t="str">
        <f aca="false">IF($K393="","",IF(INDEX('Prospect Tracker'!$K$5:$K$554,$K393)="","",INDEX('Prospect Tracker'!$K$5:$K$554,$K393)))</f>
        <v/>
      </c>
      <c r="I393" s="6" t="str">
        <f aca="false">IF($K393="","",IF(INDEX('Prospect Tracker'!$T$5:$T$554,$K393)="","",INDEX('Prospect Tracker'!$T$5:$T$554,$K393)))</f>
        <v/>
      </c>
      <c r="J393" s="6" t="str">
        <f aca="false">IF($K393="","",IF(INDEX('Prospect Tracker'!$L$5:$L$554,$K393)="","",INDEX('Prospect Tracker'!$L$5:$L$554,$K393)))</f>
        <v/>
      </c>
      <c r="K393" s="1" t="n">
        <f aca="false">IFERROR(MATCH(SMALL('Prospect Tracker'!$X$5:$X$554,ROW()-4),'Prospect Tracker'!$X$5:$X$554,0),"")</f>
        <v>389</v>
      </c>
    </row>
    <row r="394" customFormat="false" ht="15" hidden="false" customHeight="true" outlineLevel="0" collapsed="false">
      <c r="A394" s="11" t="str">
        <f aca="false">IF($K394="","",IF(INDEX('Prospect Tracker'!$W$5:$W$554,$K394)="","",INDEX('Prospect Tracker'!$W$5:$W$554,$K394)))</f>
        <v/>
      </c>
      <c r="B394" s="11" t="str">
        <f aca="false">IF($K394="","",IF(INDEX('Prospect Tracker'!$A$5:$A$554,$K394)="","",INDEX('Prospect Tracker'!$A$5:$A$554,$K394)))</f>
        <v/>
      </c>
      <c r="C394" s="11" t="str">
        <f aca="false">IF($K394="","",IF(INDEX('Prospect Tracker'!$B$5:$B$554,$K394)="","",INDEX('Prospect Tracker'!$B$5:$B$554,$K394)))</f>
        <v/>
      </c>
      <c r="D394" s="11" t="str">
        <f aca="false">IF($K394="","",IF(INDEX('Prospect Tracker'!$M$5:$M$554,$K394)="","",INDEX('Prospect Tracker'!$M$5:$M$554,$K394)))</f>
        <v/>
      </c>
      <c r="E394" s="11" t="str">
        <f aca="false">IF($K394="","",IF(INDEX('Prospect Tracker'!$R$5:$R$554,$K394)="","",INDEX('Prospect Tracker'!$R$5:$R$554,$K394)))</f>
        <v/>
      </c>
      <c r="F394" s="11" t="str">
        <f aca="false">IF($K394="","",IF(INDEX('Prospect Tracker'!$J$5:$J$554,$K394)="","",INDEX('Prospect Tracker'!$J$5:$J$554,$K394)))</f>
        <v/>
      </c>
      <c r="G394" s="11" t="str">
        <f aca="false">IF($K394="","",IF(INDEX('Prospect Tracker'!$H$5:$H$554,$K394)="","",INDEX('Prospect Tracker'!$H$5:$H$554,$K394)))</f>
        <v/>
      </c>
      <c r="H394" s="12" t="str">
        <f aca="false">IF($K394="","",IF(INDEX('Prospect Tracker'!$K$5:$K$554,$K394)="","",INDEX('Prospect Tracker'!$K$5:$K$554,$K394)))</f>
        <v/>
      </c>
      <c r="I394" s="11" t="str">
        <f aca="false">IF($K394="","",IF(INDEX('Prospect Tracker'!$T$5:$T$554,$K394)="","",INDEX('Prospect Tracker'!$T$5:$T$554,$K394)))</f>
        <v/>
      </c>
      <c r="J394" s="11" t="str">
        <f aca="false">IF($K394="","",IF(INDEX('Prospect Tracker'!$L$5:$L$554,$K394)="","",INDEX('Prospect Tracker'!$L$5:$L$554,$K394)))</f>
        <v/>
      </c>
      <c r="K394" s="1" t="n">
        <f aca="false">IFERROR(MATCH(SMALL('Prospect Tracker'!$X$5:$X$554,ROW()-4),'Prospect Tracker'!$X$5:$X$554,0),"")</f>
        <v>390</v>
      </c>
    </row>
    <row r="395" customFormat="false" ht="15" hidden="false" customHeight="true" outlineLevel="0" collapsed="false">
      <c r="A395" s="6" t="str">
        <f aca="false">IF($K395="","",IF(INDEX('Prospect Tracker'!$W$5:$W$554,$K395)="","",INDEX('Prospect Tracker'!$W$5:$W$554,$K395)))</f>
        <v/>
      </c>
      <c r="B395" s="6" t="str">
        <f aca="false">IF($K395="","",IF(INDEX('Prospect Tracker'!$A$5:$A$554,$K395)="","",INDEX('Prospect Tracker'!$A$5:$A$554,$K395)))</f>
        <v/>
      </c>
      <c r="C395" s="6" t="str">
        <f aca="false">IF($K395="","",IF(INDEX('Prospect Tracker'!$B$5:$B$554,$K395)="","",INDEX('Prospect Tracker'!$B$5:$B$554,$K395)))</f>
        <v/>
      </c>
      <c r="D395" s="6" t="str">
        <f aca="false">IF($K395="","",IF(INDEX('Prospect Tracker'!$M$5:$M$554,$K395)="","",INDEX('Prospect Tracker'!$M$5:$M$554,$K395)))</f>
        <v/>
      </c>
      <c r="E395" s="6" t="str">
        <f aca="false">IF($K395="","",IF(INDEX('Prospect Tracker'!$R$5:$R$554,$K395)="","",INDEX('Prospect Tracker'!$R$5:$R$554,$K395)))</f>
        <v/>
      </c>
      <c r="F395" s="6" t="str">
        <f aca="false">IF($K395="","",IF(INDEX('Prospect Tracker'!$J$5:$J$554,$K395)="","",INDEX('Prospect Tracker'!$J$5:$J$554,$K395)))</f>
        <v/>
      </c>
      <c r="G395" s="6" t="str">
        <f aca="false">IF($K395="","",IF(INDEX('Prospect Tracker'!$H$5:$H$554,$K395)="","",INDEX('Prospect Tracker'!$H$5:$H$554,$K395)))</f>
        <v/>
      </c>
      <c r="H395" s="7" t="str">
        <f aca="false">IF($K395="","",IF(INDEX('Prospect Tracker'!$K$5:$K$554,$K395)="","",INDEX('Prospect Tracker'!$K$5:$K$554,$K395)))</f>
        <v/>
      </c>
      <c r="I395" s="6" t="str">
        <f aca="false">IF($K395="","",IF(INDEX('Prospect Tracker'!$T$5:$T$554,$K395)="","",INDEX('Prospect Tracker'!$T$5:$T$554,$K395)))</f>
        <v/>
      </c>
      <c r="J395" s="6" t="str">
        <f aca="false">IF($K395="","",IF(INDEX('Prospect Tracker'!$L$5:$L$554,$K395)="","",INDEX('Prospect Tracker'!$L$5:$L$554,$K395)))</f>
        <v/>
      </c>
      <c r="K395" s="1" t="n">
        <f aca="false">IFERROR(MATCH(SMALL('Prospect Tracker'!$X$5:$X$554,ROW()-4),'Prospect Tracker'!$X$5:$X$554,0),"")</f>
        <v>391</v>
      </c>
    </row>
    <row r="396" customFormat="false" ht="15" hidden="false" customHeight="true" outlineLevel="0" collapsed="false">
      <c r="A396" s="11" t="str">
        <f aca="false">IF($K396="","",IF(INDEX('Prospect Tracker'!$W$5:$W$554,$K396)="","",INDEX('Prospect Tracker'!$W$5:$W$554,$K396)))</f>
        <v/>
      </c>
      <c r="B396" s="11" t="str">
        <f aca="false">IF($K396="","",IF(INDEX('Prospect Tracker'!$A$5:$A$554,$K396)="","",INDEX('Prospect Tracker'!$A$5:$A$554,$K396)))</f>
        <v/>
      </c>
      <c r="C396" s="11" t="str">
        <f aca="false">IF($K396="","",IF(INDEX('Prospect Tracker'!$B$5:$B$554,$K396)="","",INDEX('Prospect Tracker'!$B$5:$B$554,$K396)))</f>
        <v/>
      </c>
      <c r="D396" s="11" t="str">
        <f aca="false">IF($K396="","",IF(INDEX('Prospect Tracker'!$M$5:$M$554,$K396)="","",INDEX('Prospect Tracker'!$M$5:$M$554,$K396)))</f>
        <v/>
      </c>
      <c r="E396" s="11" t="str">
        <f aca="false">IF($K396="","",IF(INDEX('Prospect Tracker'!$R$5:$R$554,$K396)="","",INDEX('Prospect Tracker'!$R$5:$R$554,$K396)))</f>
        <v/>
      </c>
      <c r="F396" s="11" t="str">
        <f aca="false">IF($K396="","",IF(INDEX('Prospect Tracker'!$J$5:$J$554,$K396)="","",INDEX('Prospect Tracker'!$J$5:$J$554,$K396)))</f>
        <v/>
      </c>
      <c r="G396" s="11" t="str">
        <f aca="false">IF($K396="","",IF(INDEX('Prospect Tracker'!$H$5:$H$554,$K396)="","",INDEX('Prospect Tracker'!$H$5:$H$554,$K396)))</f>
        <v/>
      </c>
      <c r="H396" s="12" t="str">
        <f aca="false">IF($K396="","",IF(INDEX('Prospect Tracker'!$K$5:$K$554,$K396)="","",INDEX('Prospect Tracker'!$K$5:$K$554,$K396)))</f>
        <v/>
      </c>
      <c r="I396" s="11" t="str">
        <f aca="false">IF($K396="","",IF(INDEX('Prospect Tracker'!$T$5:$T$554,$K396)="","",INDEX('Prospect Tracker'!$T$5:$T$554,$K396)))</f>
        <v/>
      </c>
      <c r="J396" s="11" t="str">
        <f aca="false">IF($K396="","",IF(INDEX('Prospect Tracker'!$L$5:$L$554,$K396)="","",INDEX('Prospect Tracker'!$L$5:$L$554,$K396)))</f>
        <v/>
      </c>
      <c r="K396" s="1" t="n">
        <f aca="false">IFERROR(MATCH(SMALL('Prospect Tracker'!$X$5:$X$554,ROW()-4),'Prospect Tracker'!$X$5:$X$554,0),"")</f>
        <v>392</v>
      </c>
    </row>
    <row r="397" customFormat="false" ht="15" hidden="false" customHeight="true" outlineLevel="0" collapsed="false">
      <c r="A397" s="6" t="str">
        <f aca="false">IF($K397="","",IF(INDEX('Prospect Tracker'!$W$5:$W$554,$K397)="","",INDEX('Prospect Tracker'!$W$5:$W$554,$K397)))</f>
        <v/>
      </c>
      <c r="B397" s="6" t="str">
        <f aca="false">IF($K397="","",IF(INDEX('Prospect Tracker'!$A$5:$A$554,$K397)="","",INDEX('Prospect Tracker'!$A$5:$A$554,$K397)))</f>
        <v/>
      </c>
      <c r="C397" s="6" t="str">
        <f aca="false">IF($K397="","",IF(INDEX('Prospect Tracker'!$B$5:$B$554,$K397)="","",INDEX('Prospect Tracker'!$B$5:$B$554,$K397)))</f>
        <v/>
      </c>
      <c r="D397" s="6" t="str">
        <f aca="false">IF($K397="","",IF(INDEX('Prospect Tracker'!$M$5:$M$554,$K397)="","",INDEX('Prospect Tracker'!$M$5:$M$554,$K397)))</f>
        <v/>
      </c>
      <c r="E397" s="6" t="str">
        <f aca="false">IF($K397="","",IF(INDEX('Prospect Tracker'!$R$5:$R$554,$K397)="","",INDEX('Prospect Tracker'!$R$5:$R$554,$K397)))</f>
        <v/>
      </c>
      <c r="F397" s="6" t="str">
        <f aca="false">IF($K397="","",IF(INDEX('Prospect Tracker'!$J$5:$J$554,$K397)="","",INDEX('Prospect Tracker'!$J$5:$J$554,$K397)))</f>
        <v/>
      </c>
      <c r="G397" s="6" t="str">
        <f aca="false">IF($K397="","",IF(INDEX('Prospect Tracker'!$H$5:$H$554,$K397)="","",INDEX('Prospect Tracker'!$H$5:$H$554,$K397)))</f>
        <v/>
      </c>
      <c r="H397" s="7" t="str">
        <f aca="false">IF($K397="","",IF(INDEX('Prospect Tracker'!$K$5:$K$554,$K397)="","",INDEX('Prospect Tracker'!$K$5:$K$554,$K397)))</f>
        <v/>
      </c>
      <c r="I397" s="6" t="str">
        <f aca="false">IF($K397="","",IF(INDEX('Prospect Tracker'!$T$5:$T$554,$K397)="","",INDEX('Prospect Tracker'!$T$5:$T$554,$K397)))</f>
        <v/>
      </c>
      <c r="J397" s="6" t="str">
        <f aca="false">IF($K397="","",IF(INDEX('Prospect Tracker'!$L$5:$L$554,$K397)="","",INDEX('Prospect Tracker'!$L$5:$L$554,$K397)))</f>
        <v/>
      </c>
      <c r="K397" s="1" t="n">
        <f aca="false">IFERROR(MATCH(SMALL('Prospect Tracker'!$X$5:$X$554,ROW()-4),'Prospect Tracker'!$X$5:$X$554,0),"")</f>
        <v>393</v>
      </c>
    </row>
    <row r="398" customFormat="false" ht="15" hidden="false" customHeight="true" outlineLevel="0" collapsed="false">
      <c r="A398" s="11" t="str">
        <f aca="false">IF($K398="","",IF(INDEX('Prospect Tracker'!$W$5:$W$554,$K398)="","",INDEX('Prospect Tracker'!$W$5:$W$554,$K398)))</f>
        <v/>
      </c>
      <c r="B398" s="11" t="str">
        <f aca="false">IF($K398="","",IF(INDEX('Prospect Tracker'!$A$5:$A$554,$K398)="","",INDEX('Prospect Tracker'!$A$5:$A$554,$K398)))</f>
        <v/>
      </c>
      <c r="C398" s="11" t="str">
        <f aca="false">IF($K398="","",IF(INDEX('Prospect Tracker'!$B$5:$B$554,$K398)="","",INDEX('Prospect Tracker'!$B$5:$B$554,$K398)))</f>
        <v/>
      </c>
      <c r="D398" s="11" t="str">
        <f aca="false">IF($K398="","",IF(INDEX('Prospect Tracker'!$M$5:$M$554,$K398)="","",INDEX('Prospect Tracker'!$M$5:$M$554,$K398)))</f>
        <v/>
      </c>
      <c r="E398" s="11" t="str">
        <f aca="false">IF($K398="","",IF(INDEX('Prospect Tracker'!$R$5:$R$554,$K398)="","",INDEX('Prospect Tracker'!$R$5:$R$554,$K398)))</f>
        <v/>
      </c>
      <c r="F398" s="11" t="str">
        <f aca="false">IF($K398="","",IF(INDEX('Prospect Tracker'!$J$5:$J$554,$K398)="","",INDEX('Prospect Tracker'!$J$5:$J$554,$K398)))</f>
        <v/>
      </c>
      <c r="G398" s="11" t="str">
        <f aca="false">IF($K398="","",IF(INDEX('Prospect Tracker'!$H$5:$H$554,$K398)="","",INDEX('Prospect Tracker'!$H$5:$H$554,$K398)))</f>
        <v/>
      </c>
      <c r="H398" s="12" t="str">
        <f aca="false">IF($K398="","",IF(INDEX('Prospect Tracker'!$K$5:$K$554,$K398)="","",INDEX('Prospect Tracker'!$K$5:$K$554,$K398)))</f>
        <v/>
      </c>
      <c r="I398" s="11" t="str">
        <f aca="false">IF($K398="","",IF(INDEX('Prospect Tracker'!$T$5:$T$554,$K398)="","",INDEX('Prospect Tracker'!$T$5:$T$554,$K398)))</f>
        <v/>
      </c>
      <c r="J398" s="11" t="str">
        <f aca="false">IF($K398="","",IF(INDEX('Prospect Tracker'!$L$5:$L$554,$K398)="","",INDEX('Prospect Tracker'!$L$5:$L$554,$K398)))</f>
        <v/>
      </c>
      <c r="K398" s="1" t="n">
        <f aca="false">IFERROR(MATCH(SMALL('Prospect Tracker'!$X$5:$X$554,ROW()-4),'Prospect Tracker'!$X$5:$X$554,0),"")</f>
        <v>394</v>
      </c>
    </row>
    <row r="399" customFormat="false" ht="15" hidden="false" customHeight="true" outlineLevel="0" collapsed="false">
      <c r="A399" s="6" t="str">
        <f aca="false">IF($K399="","",IF(INDEX('Prospect Tracker'!$W$5:$W$554,$K399)="","",INDEX('Prospect Tracker'!$W$5:$W$554,$K399)))</f>
        <v/>
      </c>
      <c r="B399" s="6" t="str">
        <f aca="false">IF($K399="","",IF(INDEX('Prospect Tracker'!$A$5:$A$554,$K399)="","",INDEX('Prospect Tracker'!$A$5:$A$554,$K399)))</f>
        <v/>
      </c>
      <c r="C399" s="6" t="str">
        <f aca="false">IF($K399="","",IF(INDEX('Prospect Tracker'!$B$5:$B$554,$K399)="","",INDEX('Prospect Tracker'!$B$5:$B$554,$K399)))</f>
        <v/>
      </c>
      <c r="D399" s="6" t="str">
        <f aca="false">IF($K399="","",IF(INDEX('Prospect Tracker'!$M$5:$M$554,$K399)="","",INDEX('Prospect Tracker'!$M$5:$M$554,$K399)))</f>
        <v/>
      </c>
      <c r="E399" s="6" t="str">
        <f aca="false">IF($K399="","",IF(INDEX('Prospect Tracker'!$R$5:$R$554,$K399)="","",INDEX('Prospect Tracker'!$R$5:$R$554,$K399)))</f>
        <v/>
      </c>
      <c r="F399" s="6" t="str">
        <f aca="false">IF($K399="","",IF(INDEX('Prospect Tracker'!$J$5:$J$554,$K399)="","",INDEX('Prospect Tracker'!$J$5:$J$554,$K399)))</f>
        <v/>
      </c>
      <c r="G399" s="6" t="str">
        <f aca="false">IF($K399="","",IF(INDEX('Prospect Tracker'!$H$5:$H$554,$K399)="","",INDEX('Prospect Tracker'!$H$5:$H$554,$K399)))</f>
        <v/>
      </c>
      <c r="H399" s="7" t="str">
        <f aca="false">IF($K399="","",IF(INDEX('Prospect Tracker'!$K$5:$K$554,$K399)="","",INDEX('Prospect Tracker'!$K$5:$K$554,$K399)))</f>
        <v/>
      </c>
      <c r="I399" s="6" t="str">
        <f aca="false">IF($K399="","",IF(INDEX('Prospect Tracker'!$T$5:$T$554,$K399)="","",INDEX('Prospect Tracker'!$T$5:$T$554,$K399)))</f>
        <v/>
      </c>
      <c r="J399" s="6" t="str">
        <f aca="false">IF($K399="","",IF(INDEX('Prospect Tracker'!$L$5:$L$554,$K399)="","",INDEX('Prospect Tracker'!$L$5:$L$554,$K399)))</f>
        <v/>
      </c>
      <c r="K399" s="1" t="n">
        <f aca="false">IFERROR(MATCH(SMALL('Prospect Tracker'!$X$5:$X$554,ROW()-4),'Prospect Tracker'!$X$5:$X$554,0),"")</f>
        <v>395</v>
      </c>
    </row>
    <row r="400" customFormat="false" ht="15" hidden="false" customHeight="true" outlineLevel="0" collapsed="false">
      <c r="A400" s="11" t="str">
        <f aca="false">IF($K400="","",IF(INDEX('Prospect Tracker'!$W$5:$W$554,$K400)="","",INDEX('Prospect Tracker'!$W$5:$W$554,$K400)))</f>
        <v/>
      </c>
      <c r="B400" s="11" t="str">
        <f aca="false">IF($K400="","",IF(INDEX('Prospect Tracker'!$A$5:$A$554,$K400)="","",INDEX('Prospect Tracker'!$A$5:$A$554,$K400)))</f>
        <v/>
      </c>
      <c r="C400" s="11" t="str">
        <f aca="false">IF($K400="","",IF(INDEX('Prospect Tracker'!$B$5:$B$554,$K400)="","",INDEX('Prospect Tracker'!$B$5:$B$554,$K400)))</f>
        <v/>
      </c>
      <c r="D400" s="11" t="str">
        <f aca="false">IF($K400="","",IF(INDEX('Prospect Tracker'!$M$5:$M$554,$K400)="","",INDEX('Prospect Tracker'!$M$5:$M$554,$K400)))</f>
        <v/>
      </c>
      <c r="E400" s="11" t="str">
        <f aca="false">IF($K400="","",IF(INDEX('Prospect Tracker'!$R$5:$R$554,$K400)="","",INDEX('Prospect Tracker'!$R$5:$R$554,$K400)))</f>
        <v/>
      </c>
      <c r="F400" s="11" t="str">
        <f aca="false">IF($K400="","",IF(INDEX('Prospect Tracker'!$J$5:$J$554,$K400)="","",INDEX('Prospect Tracker'!$J$5:$J$554,$K400)))</f>
        <v/>
      </c>
      <c r="G400" s="11" t="str">
        <f aca="false">IF($K400="","",IF(INDEX('Prospect Tracker'!$H$5:$H$554,$K400)="","",INDEX('Prospect Tracker'!$H$5:$H$554,$K400)))</f>
        <v/>
      </c>
      <c r="H400" s="12" t="str">
        <f aca="false">IF($K400="","",IF(INDEX('Prospect Tracker'!$K$5:$K$554,$K400)="","",INDEX('Prospect Tracker'!$K$5:$K$554,$K400)))</f>
        <v/>
      </c>
      <c r="I400" s="11" t="str">
        <f aca="false">IF($K400="","",IF(INDEX('Prospect Tracker'!$T$5:$T$554,$K400)="","",INDEX('Prospect Tracker'!$T$5:$T$554,$K400)))</f>
        <v/>
      </c>
      <c r="J400" s="11" t="str">
        <f aca="false">IF($K400="","",IF(INDEX('Prospect Tracker'!$L$5:$L$554,$K400)="","",INDEX('Prospect Tracker'!$L$5:$L$554,$K400)))</f>
        <v/>
      </c>
      <c r="K400" s="1" t="n">
        <f aca="false">IFERROR(MATCH(SMALL('Prospect Tracker'!$X$5:$X$554,ROW()-4),'Prospect Tracker'!$X$5:$X$554,0),"")</f>
        <v>396</v>
      </c>
    </row>
    <row r="401" customFormat="false" ht="15" hidden="false" customHeight="true" outlineLevel="0" collapsed="false">
      <c r="A401" s="6" t="str">
        <f aca="false">IF($K401="","",IF(INDEX('Prospect Tracker'!$W$5:$W$554,$K401)="","",INDEX('Prospect Tracker'!$W$5:$W$554,$K401)))</f>
        <v/>
      </c>
      <c r="B401" s="6" t="str">
        <f aca="false">IF($K401="","",IF(INDEX('Prospect Tracker'!$A$5:$A$554,$K401)="","",INDEX('Prospect Tracker'!$A$5:$A$554,$K401)))</f>
        <v/>
      </c>
      <c r="C401" s="6" t="str">
        <f aca="false">IF($K401="","",IF(INDEX('Prospect Tracker'!$B$5:$B$554,$K401)="","",INDEX('Prospect Tracker'!$B$5:$B$554,$K401)))</f>
        <v/>
      </c>
      <c r="D401" s="6" t="str">
        <f aca="false">IF($K401="","",IF(INDEX('Prospect Tracker'!$M$5:$M$554,$K401)="","",INDEX('Prospect Tracker'!$M$5:$M$554,$K401)))</f>
        <v/>
      </c>
      <c r="E401" s="6" t="str">
        <f aca="false">IF($K401="","",IF(INDEX('Prospect Tracker'!$R$5:$R$554,$K401)="","",INDEX('Prospect Tracker'!$R$5:$R$554,$K401)))</f>
        <v/>
      </c>
      <c r="F401" s="6" t="str">
        <f aca="false">IF($K401="","",IF(INDEX('Prospect Tracker'!$J$5:$J$554,$K401)="","",INDEX('Prospect Tracker'!$J$5:$J$554,$K401)))</f>
        <v/>
      </c>
      <c r="G401" s="6" t="str">
        <f aca="false">IF($K401="","",IF(INDEX('Prospect Tracker'!$H$5:$H$554,$K401)="","",INDEX('Prospect Tracker'!$H$5:$H$554,$K401)))</f>
        <v/>
      </c>
      <c r="H401" s="7" t="str">
        <f aca="false">IF($K401="","",IF(INDEX('Prospect Tracker'!$K$5:$K$554,$K401)="","",INDEX('Prospect Tracker'!$K$5:$K$554,$K401)))</f>
        <v/>
      </c>
      <c r="I401" s="6" t="str">
        <f aca="false">IF($K401="","",IF(INDEX('Prospect Tracker'!$T$5:$T$554,$K401)="","",INDEX('Prospect Tracker'!$T$5:$T$554,$K401)))</f>
        <v/>
      </c>
      <c r="J401" s="6" t="str">
        <f aca="false">IF($K401="","",IF(INDEX('Prospect Tracker'!$L$5:$L$554,$K401)="","",INDEX('Prospect Tracker'!$L$5:$L$554,$K401)))</f>
        <v/>
      </c>
      <c r="K401" s="1" t="n">
        <f aca="false">IFERROR(MATCH(SMALL('Prospect Tracker'!$X$5:$X$554,ROW()-4),'Prospect Tracker'!$X$5:$X$554,0),"")</f>
        <v>397</v>
      </c>
    </row>
    <row r="402" customFormat="false" ht="15" hidden="false" customHeight="true" outlineLevel="0" collapsed="false">
      <c r="A402" s="11" t="str">
        <f aca="false">IF($K402="","",IF(INDEX('Prospect Tracker'!$W$5:$W$554,$K402)="","",INDEX('Prospect Tracker'!$W$5:$W$554,$K402)))</f>
        <v/>
      </c>
      <c r="B402" s="11" t="str">
        <f aca="false">IF($K402="","",IF(INDEX('Prospect Tracker'!$A$5:$A$554,$K402)="","",INDEX('Prospect Tracker'!$A$5:$A$554,$K402)))</f>
        <v/>
      </c>
      <c r="C402" s="11" t="str">
        <f aca="false">IF($K402="","",IF(INDEX('Prospect Tracker'!$B$5:$B$554,$K402)="","",INDEX('Prospect Tracker'!$B$5:$B$554,$K402)))</f>
        <v/>
      </c>
      <c r="D402" s="11" t="str">
        <f aca="false">IF($K402="","",IF(INDEX('Prospect Tracker'!$M$5:$M$554,$K402)="","",INDEX('Prospect Tracker'!$M$5:$M$554,$K402)))</f>
        <v/>
      </c>
      <c r="E402" s="11" t="str">
        <f aca="false">IF($K402="","",IF(INDEX('Prospect Tracker'!$R$5:$R$554,$K402)="","",INDEX('Prospect Tracker'!$R$5:$R$554,$K402)))</f>
        <v/>
      </c>
      <c r="F402" s="11" t="str">
        <f aca="false">IF($K402="","",IF(INDEX('Prospect Tracker'!$J$5:$J$554,$K402)="","",INDEX('Prospect Tracker'!$J$5:$J$554,$K402)))</f>
        <v/>
      </c>
      <c r="G402" s="11" t="str">
        <f aca="false">IF($K402="","",IF(INDEX('Prospect Tracker'!$H$5:$H$554,$K402)="","",INDEX('Prospect Tracker'!$H$5:$H$554,$K402)))</f>
        <v/>
      </c>
      <c r="H402" s="12" t="str">
        <f aca="false">IF($K402="","",IF(INDEX('Prospect Tracker'!$K$5:$K$554,$K402)="","",INDEX('Prospect Tracker'!$K$5:$K$554,$K402)))</f>
        <v/>
      </c>
      <c r="I402" s="11" t="str">
        <f aca="false">IF($K402="","",IF(INDEX('Prospect Tracker'!$T$5:$T$554,$K402)="","",INDEX('Prospect Tracker'!$T$5:$T$554,$K402)))</f>
        <v/>
      </c>
      <c r="J402" s="11" t="str">
        <f aca="false">IF($K402="","",IF(INDEX('Prospect Tracker'!$L$5:$L$554,$K402)="","",INDEX('Prospect Tracker'!$L$5:$L$554,$K402)))</f>
        <v/>
      </c>
      <c r="K402" s="1" t="n">
        <f aca="false">IFERROR(MATCH(SMALL('Prospect Tracker'!$X$5:$X$554,ROW()-4),'Prospect Tracker'!$X$5:$X$554,0),"")</f>
        <v>398</v>
      </c>
    </row>
    <row r="403" customFormat="false" ht="15" hidden="false" customHeight="true" outlineLevel="0" collapsed="false">
      <c r="A403" s="6" t="str">
        <f aca="false">IF($K403="","",IF(INDEX('Prospect Tracker'!$W$5:$W$554,$K403)="","",INDEX('Prospect Tracker'!$W$5:$W$554,$K403)))</f>
        <v/>
      </c>
      <c r="B403" s="6" t="str">
        <f aca="false">IF($K403="","",IF(INDEX('Prospect Tracker'!$A$5:$A$554,$K403)="","",INDEX('Prospect Tracker'!$A$5:$A$554,$K403)))</f>
        <v/>
      </c>
      <c r="C403" s="6" t="str">
        <f aca="false">IF($K403="","",IF(INDEX('Prospect Tracker'!$B$5:$B$554,$K403)="","",INDEX('Prospect Tracker'!$B$5:$B$554,$K403)))</f>
        <v/>
      </c>
      <c r="D403" s="6" t="str">
        <f aca="false">IF($K403="","",IF(INDEX('Prospect Tracker'!$M$5:$M$554,$K403)="","",INDEX('Prospect Tracker'!$M$5:$M$554,$K403)))</f>
        <v/>
      </c>
      <c r="E403" s="6" t="str">
        <f aca="false">IF($K403="","",IF(INDEX('Prospect Tracker'!$R$5:$R$554,$K403)="","",INDEX('Prospect Tracker'!$R$5:$R$554,$K403)))</f>
        <v/>
      </c>
      <c r="F403" s="6" t="str">
        <f aca="false">IF($K403="","",IF(INDEX('Prospect Tracker'!$J$5:$J$554,$K403)="","",INDEX('Prospect Tracker'!$J$5:$J$554,$K403)))</f>
        <v/>
      </c>
      <c r="G403" s="6" t="str">
        <f aca="false">IF($K403="","",IF(INDEX('Prospect Tracker'!$H$5:$H$554,$K403)="","",INDEX('Prospect Tracker'!$H$5:$H$554,$K403)))</f>
        <v/>
      </c>
      <c r="H403" s="7" t="str">
        <f aca="false">IF($K403="","",IF(INDEX('Prospect Tracker'!$K$5:$K$554,$K403)="","",INDEX('Prospect Tracker'!$K$5:$K$554,$K403)))</f>
        <v/>
      </c>
      <c r="I403" s="6" t="str">
        <f aca="false">IF($K403="","",IF(INDEX('Prospect Tracker'!$T$5:$T$554,$K403)="","",INDEX('Prospect Tracker'!$T$5:$T$554,$K403)))</f>
        <v/>
      </c>
      <c r="J403" s="6" t="str">
        <f aca="false">IF($K403="","",IF(INDEX('Prospect Tracker'!$L$5:$L$554,$K403)="","",INDEX('Prospect Tracker'!$L$5:$L$554,$K403)))</f>
        <v/>
      </c>
      <c r="K403" s="1" t="n">
        <f aca="false">IFERROR(MATCH(SMALL('Prospect Tracker'!$X$5:$X$554,ROW()-4),'Prospect Tracker'!$X$5:$X$554,0),"")</f>
        <v>399</v>
      </c>
    </row>
    <row r="404" customFormat="false" ht="15" hidden="false" customHeight="true" outlineLevel="0" collapsed="false">
      <c r="A404" s="11" t="str">
        <f aca="false">IF($K404="","",IF(INDEX('Prospect Tracker'!$W$5:$W$554,$K404)="","",INDEX('Prospect Tracker'!$W$5:$W$554,$K404)))</f>
        <v/>
      </c>
      <c r="B404" s="11" t="str">
        <f aca="false">IF($K404="","",IF(INDEX('Prospect Tracker'!$A$5:$A$554,$K404)="","",INDEX('Prospect Tracker'!$A$5:$A$554,$K404)))</f>
        <v/>
      </c>
      <c r="C404" s="11" t="str">
        <f aca="false">IF($K404="","",IF(INDEX('Prospect Tracker'!$B$5:$B$554,$K404)="","",INDEX('Prospect Tracker'!$B$5:$B$554,$K404)))</f>
        <v/>
      </c>
      <c r="D404" s="11" t="str">
        <f aca="false">IF($K404="","",IF(INDEX('Prospect Tracker'!$M$5:$M$554,$K404)="","",INDEX('Prospect Tracker'!$M$5:$M$554,$K404)))</f>
        <v/>
      </c>
      <c r="E404" s="11" t="str">
        <f aca="false">IF($K404="","",IF(INDEX('Prospect Tracker'!$R$5:$R$554,$K404)="","",INDEX('Prospect Tracker'!$R$5:$R$554,$K404)))</f>
        <v/>
      </c>
      <c r="F404" s="11" t="str">
        <f aca="false">IF($K404="","",IF(INDEX('Prospect Tracker'!$J$5:$J$554,$K404)="","",INDEX('Prospect Tracker'!$J$5:$J$554,$K404)))</f>
        <v/>
      </c>
      <c r="G404" s="11" t="str">
        <f aca="false">IF($K404="","",IF(INDEX('Prospect Tracker'!$H$5:$H$554,$K404)="","",INDEX('Prospect Tracker'!$H$5:$H$554,$K404)))</f>
        <v/>
      </c>
      <c r="H404" s="12" t="str">
        <f aca="false">IF($K404="","",IF(INDEX('Prospect Tracker'!$K$5:$K$554,$K404)="","",INDEX('Prospect Tracker'!$K$5:$K$554,$K404)))</f>
        <v/>
      </c>
      <c r="I404" s="11" t="str">
        <f aca="false">IF($K404="","",IF(INDEX('Prospect Tracker'!$T$5:$T$554,$K404)="","",INDEX('Prospect Tracker'!$T$5:$T$554,$K404)))</f>
        <v/>
      </c>
      <c r="J404" s="11" t="str">
        <f aca="false">IF($K404="","",IF(INDEX('Prospect Tracker'!$L$5:$L$554,$K404)="","",INDEX('Prospect Tracker'!$L$5:$L$554,$K404)))</f>
        <v/>
      </c>
      <c r="K404" s="1" t="n">
        <f aca="false">IFERROR(MATCH(SMALL('Prospect Tracker'!$X$5:$X$554,ROW()-4),'Prospect Tracker'!$X$5:$X$554,0),"")</f>
        <v>400</v>
      </c>
    </row>
    <row r="405" customFormat="false" ht="15" hidden="false" customHeight="true" outlineLevel="0" collapsed="false">
      <c r="A405" s="6" t="str">
        <f aca="false">IF($K405="","",IF(INDEX('Prospect Tracker'!$W$5:$W$554,$K405)="","",INDEX('Prospect Tracker'!$W$5:$W$554,$K405)))</f>
        <v/>
      </c>
      <c r="B405" s="6" t="str">
        <f aca="false">IF($K405="","",IF(INDEX('Prospect Tracker'!$A$5:$A$554,$K405)="","",INDEX('Prospect Tracker'!$A$5:$A$554,$K405)))</f>
        <v/>
      </c>
      <c r="C405" s="6" t="str">
        <f aca="false">IF($K405="","",IF(INDEX('Prospect Tracker'!$B$5:$B$554,$K405)="","",INDEX('Prospect Tracker'!$B$5:$B$554,$K405)))</f>
        <v/>
      </c>
      <c r="D405" s="6" t="str">
        <f aca="false">IF($K405="","",IF(INDEX('Prospect Tracker'!$M$5:$M$554,$K405)="","",INDEX('Prospect Tracker'!$M$5:$M$554,$K405)))</f>
        <v/>
      </c>
      <c r="E405" s="6" t="str">
        <f aca="false">IF($K405="","",IF(INDEX('Prospect Tracker'!$R$5:$R$554,$K405)="","",INDEX('Prospect Tracker'!$R$5:$R$554,$K405)))</f>
        <v/>
      </c>
      <c r="F405" s="6" t="str">
        <f aca="false">IF($K405="","",IF(INDEX('Prospect Tracker'!$J$5:$J$554,$K405)="","",INDEX('Prospect Tracker'!$J$5:$J$554,$K405)))</f>
        <v/>
      </c>
      <c r="G405" s="6" t="str">
        <f aca="false">IF($K405="","",IF(INDEX('Prospect Tracker'!$H$5:$H$554,$K405)="","",INDEX('Prospect Tracker'!$H$5:$H$554,$K405)))</f>
        <v/>
      </c>
      <c r="H405" s="7" t="str">
        <f aca="false">IF($K405="","",IF(INDEX('Prospect Tracker'!$K$5:$K$554,$K405)="","",INDEX('Prospect Tracker'!$K$5:$K$554,$K405)))</f>
        <v/>
      </c>
      <c r="I405" s="6" t="str">
        <f aca="false">IF($K405="","",IF(INDEX('Prospect Tracker'!$T$5:$T$554,$K405)="","",INDEX('Prospect Tracker'!$T$5:$T$554,$K405)))</f>
        <v/>
      </c>
      <c r="J405" s="6" t="str">
        <f aca="false">IF($K405="","",IF(INDEX('Prospect Tracker'!$L$5:$L$554,$K405)="","",INDEX('Prospect Tracker'!$L$5:$L$554,$K405)))</f>
        <v/>
      </c>
      <c r="K405" s="1" t="n">
        <f aca="false">IFERROR(MATCH(SMALL('Prospect Tracker'!$X$5:$X$554,ROW()-4),'Prospect Tracker'!$X$5:$X$554,0),"")</f>
        <v>401</v>
      </c>
    </row>
    <row r="406" customFormat="false" ht="15" hidden="false" customHeight="true" outlineLevel="0" collapsed="false">
      <c r="A406" s="11" t="str">
        <f aca="false">IF($K406="","",IF(INDEX('Prospect Tracker'!$W$5:$W$554,$K406)="","",INDEX('Prospect Tracker'!$W$5:$W$554,$K406)))</f>
        <v/>
      </c>
      <c r="B406" s="11" t="str">
        <f aca="false">IF($K406="","",IF(INDEX('Prospect Tracker'!$A$5:$A$554,$K406)="","",INDEX('Prospect Tracker'!$A$5:$A$554,$K406)))</f>
        <v/>
      </c>
      <c r="C406" s="11" t="str">
        <f aca="false">IF($K406="","",IF(INDEX('Prospect Tracker'!$B$5:$B$554,$K406)="","",INDEX('Prospect Tracker'!$B$5:$B$554,$K406)))</f>
        <v/>
      </c>
      <c r="D406" s="11" t="str">
        <f aca="false">IF($K406="","",IF(INDEX('Prospect Tracker'!$M$5:$M$554,$K406)="","",INDEX('Prospect Tracker'!$M$5:$M$554,$K406)))</f>
        <v/>
      </c>
      <c r="E406" s="11" t="str">
        <f aca="false">IF($K406="","",IF(INDEX('Prospect Tracker'!$R$5:$R$554,$K406)="","",INDEX('Prospect Tracker'!$R$5:$R$554,$K406)))</f>
        <v/>
      </c>
      <c r="F406" s="11" t="str">
        <f aca="false">IF($K406="","",IF(INDEX('Prospect Tracker'!$J$5:$J$554,$K406)="","",INDEX('Prospect Tracker'!$J$5:$J$554,$K406)))</f>
        <v/>
      </c>
      <c r="G406" s="11" t="str">
        <f aca="false">IF($K406="","",IF(INDEX('Prospect Tracker'!$H$5:$H$554,$K406)="","",INDEX('Prospect Tracker'!$H$5:$H$554,$K406)))</f>
        <v/>
      </c>
      <c r="H406" s="12" t="str">
        <f aca="false">IF($K406="","",IF(INDEX('Prospect Tracker'!$K$5:$K$554,$K406)="","",INDEX('Prospect Tracker'!$K$5:$K$554,$K406)))</f>
        <v/>
      </c>
      <c r="I406" s="11" t="str">
        <f aca="false">IF($K406="","",IF(INDEX('Prospect Tracker'!$T$5:$T$554,$K406)="","",INDEX('Prospect Tracker'!$T$5:$T$554,$K406)))</f>
        <v/>
      </c>
      <c r="J406" s="11" t="str">
        <f aca="false">IF($K406="","",IF(INDEX('Prospect Tracker'!$L$5:$L$554,$K406)="","",INDEX('Prospect Tracker'!$L$5:$L$554,$K406)))</f>
        <v/>
      </c>
      <c r="K406" s="1" t="n">
        <f aca="false">IFERROR(MATCH(SMALL('Prospect Tracker'!$X$5:$X$554,ROW()-4),'Prospect Tracker'!$X$5:$X$554,0),"")</f>
        <v>402</v>
      </c>
    </row>
    <row r="407" customFormat="false" ht="15" hidden="false" customHeight="true" outlineLevel="0" collapsed="false">
      <c r="A407" s="6" t="str">
        <f aca="false">IF($K407="","",IF(INDEX('Prospect Tracker'!$W$5:$W$554,$K407)="","",INDEX('Prospect Tracker'!$W$5:$W$554,$K407)))</f>
        <v/>
      </c>
      <c r="B407" s="6" t="str">
        <f aca="false">IF($K407="","",IF(INDEX('Prospect Tracker'!$A$5:$A$554,$K407)="","",INDEX('Prospect Tracker'!$A$5:$A$554,$K407)))</f>
        <v/>
      </c>
      <c r="C407" s="6" t="str">
        <f aca="false">IF($K407="","",IF(INDEX('Prospect Tracker'!$B$5:$B$554,$K407)="","",INDEX('Prospect Tracker'!$B$5:$B$554,$K407)))</f>
        <v/>
      </c>
      <c r="D407" s="6" t="str">
        <f aca="false">IF($K407="","",IF(INDEX('Prospect Tracker'!$M$5:$M$554,$K407)="","",INDEX('Prospect Tracker'!$M$5:$M$554,$K407)))</f>
        <v/>
      </c>
      <c r="E407" s="6" t="str">
        <f aca="false">IF($K407="","",IF(INDEX('Prospect Tracker'!$R$5:$R$554,$K407)="","",INDEX('Prospect Tracker'!$R$5:$R$554,$K407)))</f>
        <v/>
      </c>
      <c r="F407" s="6" t="str">
        <f aca="false">IF($K407="","",IF(INDEX('Prospect Tracker'!$J$5:$J$554,$K407)="","",INDEX('Prospect Tracker'!$J$5:$J$554,$K407)))</f>
        <v/>
      </c>
      <c r="G407" s="6" t="str">
        <f aca="false">IF($K407="","",IF(INDEX('Prospect Tracker'!$H$5:$H$554,$K407)="","",INDEX('Prospect Tracker'!$H$5:$H$554,$K407)))</f>
        <v/>
      </c>
      <c r="H407" s="7" t="str">
        <f aca="false">IF($K407="","",IF(INDEX('Prospect Tracker'!$K$5:$K$554,$K407)="","",INDEX('Prospect Tracker'!$K$5:$K$554,$K407)))</f>
        <v/>
      </c>
      <c r="I407" s="6" t="str">
        <f aca="false">IF($K407="","",IF(INDEX('Prospect Tracker'!$T$5:$T$554,$K407)="","",INDEX('Prospect Tracker'!$T$5:$T$554,$K407)))</f>
        <v/>
      </c>
      <c r="J407" s="6" t="str">
        <f aca="false">IF($K407="","",IF(INDEX('Prospect Tracker'!$L$5:$L$554,$K407)="","",INDEX('Prospect Tracker'!$L$5:$L$554,$K407)))</f>
        <v/>
      </c>
      <c r="K407" s="1" t="n">
        <f aca="false">IFERROR(MATCH(SMALL('Prospect Tracker'!$X$5:$X$554,ROW()-4),'Prospect Tracker'!$X$5:$X$554,0),"")</f>
        <v>403</v>
      </c>
    </row>
    <row r="408" customFormat="false" ht="15" hidden="false" customHeight="true" outlineLevel="0" collapsed="false">
      <c r="A408" s="11" t="str">
        <f aca="false">IF($K408="","",IF(INDEX('Prospect Tracker'!$W$5:$W$554,$K408)="","",INDEX('Prospect Tracker'!$W$5:$W$554,$K408)))</f>
        <v/>
      </c>
      <c r="B408" s="11" t="str">
        <f aca="false">IF($K408="","",IF(INDEX('Prospect Tracker'!$A$5:$A$554,$K408)="","",INDEX('Prospect Tracker'!$A$5:$A$554,$K408)))</f>
        <v/>
      </c>
      <c r="C408" s="11" t="str">
        <f aca="false">IF($K408="","",IF(INDEX('Prospect Tracker'!$B$5:$B$554,$K408)="","",INDEX('Prospect Tracker'!$B$5:$B$554,$K408)))</f>
        <v/>
      </c>
      <c r="D408" s="11" t="str">
        <f aca="false">IF($K408="","",IF(INDEX('Prospect Tracker'!$M$5:$M$554,$K408)="","",INDEX('Prospect Tracker'!$M$5:$M$554,$K408)))</f>
        <v/>
      </c>
      <c r="E408" s="11" t="str">
        <f aca="false">IF($K408="","",IF(INDEX('Prospect Tracker'!$R$5:$R$554,$K408)="","",INDEX('Prospect Tracker'!$R$5:$R$554,$K408)))</f>
        <v/>
      </c>
      <c r="F408" s="11" t="str">
        <f aca="false">IF($K408="","",IF(INDEX('Prospect Tracker'!$J$5:$J$554,$K408)="","",INDEX('Prospect Tracker'!$J$5:$J$554,$K408)))</f>
        <v/>
      </c>
      <c r="G408" s="11" t="str">
        <f aca="false">IF($K408="","",IF(INDEX('Prospect Tracker'!$H$5:$H$554,$K408)="","",INDEX('Prospect Tracker'!$H$5:$H$554,$K408)))</f>
        <v/>
      </c>
      <c r="H408" s="12" t="str">
        <f aca="false">IF($K408="","",IF(INDEX('Prospect Tracker'!$K$5:$K$554,$K408)="","",INDEX('Prospect Tracker'!$K$5:$K$554,$K408)))</f>
        <v/>
      </c>
      <c r="I408" s="11" t="str">
        <f aca="false">IF($K408="","",IF(INDEX('Prospect Tracker'!$T$5:$T$554,$K408)="","",INDEX('Prospect Tracker'!$T$5:$T$554,$K408)))</f>
        <v/>
      </c>
      <c r="J408" s="11" t="str">
        <f aca="false">IF($K408="","",IF(INDEX('Prospect Tracker'!$L$5:$L$554,$K408)="","",INDEX('Prospect Tracker'!$L$5:$L$554,$K408)))</f>
        <v/>
      </c>
      <c r="K408" s="1" t="n">
        <f aca="false">IFERROR(MATCH(SMALL('Prospect Tracker'!$X$5:$X$554,ROW()-4),'Prospect Tracker'!$X$5:$X$554,0),"")</f>
        <v>404</v>
      </c>
    </row>
    <row r="409" customFormat="false" ht="15" hidden="false" customHeight="true" outlineLevel="0" collapsed="false">
      <c r="A409" s="6" t="str">
        <f aca="false">IF($K409="","",IF(INDEX('Prospect Tracker'!$W$5:$W$554,$K409)="","",INDEX('Prospect Tracker'!$W$5:$W$554,$K409)))</f>
        <v/>
      </c>
      <c r="B409" s="6" t="str">
        <f aca="false">IF($K409="","",IF(INDEX('Prospect Tracker'!$A$5:$A$554,$K409)="","",INDEX('Prospect Tracker'!$A$5:$A$554,$K409)))</f>
        <v/>
      </c>
      <c r="C409" s="6" t="str">
        <f aca="false">IF($K409="","",IF(INDEX('Prospect Tracker'!$B$5:$B$554,$K409)="","",INDEX('Prospect Tracker'!$B$5:$B$554,$K409)))</f>
        <v/>
      </c>
      <c r="D409" s="6" t="str">
        <f aca="false">IF($K409="","",IF(INDEX('Prospect Tracker'!$M$5:$M$554,$K409)="","",INDEX('Prospect Tracker'!$M$5:$M$554,$K409)))</f>
        <v/>
      </c>
      <c r="E409" s="6" t="str">
        <f aca="false">IF($K409="","",IF(INDEX('Prospect Tracker'!$R$5:$R$554,$K409)="","",INDEX('Prospect Tracker'!$R$5:$R$554,$K409)))</f>
        <v/>
      </c>
      <c r="F409" s="6" t="str">
        <f aca="false">IF($K409="","",IF(INDEX('Prospect Tracker'!$J$5:$J$554,$K409)="","",INDEX('Prospect Tracker'!$J$5:$J$554,$K409)))</f>
        <v/>
      </c>
      <c r="G409" s="6" t="str">
        <f aca="false">IF($K409="","",IF(INDEX('Prospect Tracker'!$H$5:$H$554,$K409)="","",INDEX('Prospect Tracker'!$H$5:$H$554,$K409)))</f>
        <v/>
      </c>
      <c r="H409" s="7" t="str">
        <f aca="false">IF($K409="","",IF(INDEX('Prospect Tracker'!$K$5:$K$554,$K409)="","",INDEX('Prospect Tracker'!$K$5:$K$554,$K409)))</f>
        <v/>
      </c>
      <c r="I409" s="6" t="str">
        <f aca="false">IF($K409="","",IF(INDEX('Prospect Tracker'!$T$5:$T$554,$K409)="","",INDEX('Prospect Tracker'!$T$5:$T$554,$K409)))</f>
        <v/>
      </c>
      <c r="J409" s="6" t="str">
        <f aca="false">IF($K409="","",IF(INDEX('Prospect Tracker'!$L$5:$L$554,$K409)="","",INDEX('Prospect Tracker'!$L$5:$L$554,$K409)))</f>
        <v/>
      </c>
      <c r="K409" s="1" t="n">
        <f aca="false">IFERROR(MATCH(SMALL('Prospect Tracker'!$X$5:$X$554,ROW()-4),'Prospect Tracker'!$X$5:$X$554,0),"")</f>
        <v>405</v>
      </c>
    </row>
    <row r="410" customFormat="false" ht="15" hidden="false" customHeight="true" outlineLevel="0" collapsed="false">
      <c r="A410" s="11" t="str">
        <f aca="false">IF($K410="","",IF(INDEX('Prospect Tracker'!$W$5:$W$554,$K410)="","",INDEX('Prospect Tracker'!$W$5:$W$554,$K410)))</f>
        <v/>
      </c>
      <c r="B410" s="11" t="str">
        <f aca="false">IF($K410="","",IF(INDEX('Prospect Tracker'!$A$5:$A$554,$K410)="","",INDEX('Prospect Tracker'!$A$5:$A$554,$K410)))</f>
        <v/>
      </c>
      <c r="C410" s="11" t="str">
        <f aca="false">IF($K410="","",IF(INDEX('Prospect Tracker'!$B$5:$B$554,$K410)="","",INDEX('Prospect Tracker'!$B$5:$B$554,$K410)))</f>
        <v/>
      </c>
      <c r="D410" s="11" t="str">
        <f aca="false">IF($K410="","",IF(INDEX('Prospect Tracker'!$M$5:$M$554,$K410)="","",INDEX('Prospect Tracker'!$M$5:$M$554,$K410)))</f>
        <v/>
      </c>
      <c r="E410" s="11" t="str">
        <f aca="false">IF($K410="","",IF(INDEX('Prospect Tracker'!$R$5:$R$554,$K410)="","",INDEX('Prospect Tracker'!$R$5:$R$554,$K410)))</f>
        <v/>
      </c>
      <c r="F410" s="11" t="str">
        <f aca="false">IF($K410="","",IF(INDEX('Prospect Tracker'!$J$5:$J$554,$K410)="","",INDEX('Prospect Tracker'!$J$5:$J$554,$K410)))</f>
        <v/>
      </c>
      <c r="G410" s="11" t="str">
        <f aca="false">IF($K410="","",IF(INDEX('Prospect Tracker'!$H$5:$H$554,$K410)="","",INDEX('Prospect Tracker'!$H$5:$H$554,$K410)))</f>
        <v/>
      </c>
      <c r="H410" s="12" t="str">
        <f aca="false">IF($K410="","",IF(INDEX('Prospect Tracker'!$K$5:$K$554,$K410)="","",INDEX('Prospect Tracker'!$K$5:$K$554,$K410)))</f>
        <v/>
      </c>
      <c r="I410" s="11" t="str">
        <f aca="false">IF($K410="","",IF(INDEX('Prospect Tracker'!$T$5:$T$554,$K410)="","",INDEX('Prospect Tracker'!$T$5:$T$554,$K410)))</f>
        <v/>
      </c>
      <c r="J410" s="11" t="str">
        <f aca="false">IF($K410="","",IF(INDEX('Prospect Tracker'!$L$5:$L$554,$K410)="","",INDEX('Prospect Tracker'!$L$5:$L$554,$K410)))</f>
        <v/>
      </c>
      <c r="K410" s="1" t="n">
        <f aca="false">IFERROR(MATCH(SMALL('Prospect Tracker'!$X$5:$X$554,ROW()-4),'Prospect Tracker'!$X$5:$X$554,0),"")</f>
        <v>406</v>
      </c>
    </row>
    <row r="411" customFormat="false" ht="15" hidden="false" customHeight="true" outlineLevel="0" collapsed="false">
      <c r="A411" s="6" t="str">
        <f aca="false">IF($K411="","",IF(INDEX('Prospect Tracker'!$W$5:$W$554,$K411)="","",INDEX('Prospect Tracker'!$W$5:$W$554,$K411)))</f>
        <v/>
      </c>
      <c r="B411" s="6" t="str">
        <f aca="false">IF($K411="","",IF(INDEX('Prospect Tracker'!$A$5:$A$554,$K411)="","",INDEX('Prospect Tracker'!$A$5:$A$554,$K411)))</f>
        <v/>
      </c>
      <c r="C411" s="6" t="str">
        <f aca="false">IF($K411="","",IF(INDEX('Prospect Tracker'!$B$5:$B$554,$K411)="","",INDEX('Prospect Tracker'!$B$5:$B$554,$K411)))</f>
        <v/>
      </c>
      <c r="D411" s="6" t="str">
        <f aca="false">IF($K411="","",IF(INDEX('Prospect Tracker'!$M$5:$M$554,$K411)="","",INDEX('Prospect Tracker'!$M$5:$M$554,$K411)))</f>
        <v/>
      </c>
      <c r="E411" s="6" t="str">
        <f aca="false">IF($K411="","",IF(INDEX('Prospect Tracker'!$R$5:$R$554,$K411)="","",INDEX('Prospect Tracker'!$R$5:$R$554,$K411)))</f>
        <v/>
      </c>
      <c r="F411" s="6" t="str">
        <f aca="false">IF($K411="","",IF(INDEX('Prospect Tracker'!$J$5:$J$554,$K411)="","",INDEX('Prospect Tracker'!$J$5:$J$554,$K411)))</f>
        <v/>
      </c>
      <c r="G411" s="6" t="str">
        <f aca="false">IF($K411="","",IF(INDEX('Prospect Tracker'!$H$5:$H$554,$K411)="","",INDEX('Prospect Tracker'!$H$5:$H$554,$K411)))</f>
        <v/>
      </c>
      <c r="H411" s="7" t="str">
        <f aca="false">IF($K411="","",IF(INDEX('Prospect Tracker'!$K$5:$K$554,$K411)="","",INDEX('Prospect Tracker'!$K$5:$K$554,$K411)))</f>
        <v/>
      </c>
      <c r="I411" s="6" t="str">
        <f aca="false">IF($K411="","",IF(INDEX('Prospect Tracker'!$T$5:$T$554,$K411)="","",INDEX('Prospect Tracker'!$T$5:$T$554,$K411)))</f>
        <v/>
      </c>
      <c r="J411" s="6" t="str">
        <f aca="false">IF($K411="","",IF(INDEX('Prospect Tracker'!$L$5:$L$554,$K411)="","",INDEX('Prospect Tracker'!$L$5:$L$554,$K411)))</f>
        <v/>
      </c>
      <c r="K411" s="1" t="n">
        <f aca="false">IFERROR(MATCH(SMALL('Prospect Tracker'!$X$5:$X$554,ROW()-4),'Prospect Tracker'!$X$5:$X$554,0),"")</f>
        <v>407</v>
      </c>
    </row>
    <row r="412" customFormat="false" ht="15" hidden="false" customHeight="true" outlineLevel="0" collapsed="false">
      <c r="A412" s="11" t="str">
        <f aca="false">IF($K412="","",IF(INDEX('Prospect Tracker'!$W$5:$W$554,$K412)="","",INDEX('Prospect Tracker'!$W$5:$W$554,$K412)))</f>
        <v/>
      </c>
      <c r="B412" s="11" t="str">
        <f aca="false">IF($K412="","",IF(INDEX('Prospect Tracker'!$A$5:$A$554,$K412)="","",INDEX('Prospect Tracker'!$A$5:$A$554,$K412)))</f>
        <v/>
      </c>
      <c r="C412" s="11" t="str">
        <f aca="false">IF($K412="","",IF(INDEX('Prospect Tracker'!$B$5:$B$554,$K412)="","",INDEX('Prospect Tracker'!$B$5:$B$554,$K412)))</f>
        <v/>
      </c>
      <c r="D412" s="11" t="str">
        <f aca="false">IF($K412="","",IF(INDEX('Prospect Tracker'!$M$5:$M$554,$K412)="","",INDEX('Prospect Tracker'!$M$5:$M$554,$K412)))</f>
        <v/>
      </c>
      <c r="E412" s="11" t="str">
        <f aca="false">IF($K412="","",IF(INDEX('Prospect Tracker'!$R$5:$R$554,$K412)="","",INDEX('Prospect Tracker'!$R$5:$R$554,$K412)))</f>
        <v/>
      </c>
      <c r="F412" s="11" t="str">
        <f aca="false">IF($K412="","",IF(INDEX('Prospect Tracker'!$J$5:$J$554,$K412)="","",INDEX('Prospect Tracker'!$J$5:$J$554,$K412)))</f>
        <v/>
      </c>
      <c r="G412" s="11" t="str">
        <f aca="false">IF($K412="","",IF(INDEX('Prospect Tracker'!$H$5:$H$554,$K412)="","",INDEX('Prospect Tracker'!$H$5:$H$554,$K412)))</f>
        <v/>
      </c>
      <c r="H412" s="12" t="str">
        <f aca="false">IF($K412="","",IF(INDEX('Prospect Tracker'!$K$5:$K$554,$K412)="","",INDEX('Prospect Tracker'!$K$5:$K$554,$K412)))</f>
        <v/>
      </c>
      <c r="I412" s="11" t="str">
        <f aca="false">IF($K412="","",IF(INDEX('Prospect Tracker'!$T$5:$T$554,$K412)="","",INDEX('Prospect Tracker'!$T$5:$T$554,$K412)))</f>
        <v/>
      </c>
      <c r="J412" s="11" t="str">
        <f aca="false">IF($K412="","",IF(INDEX('Prospect Tracker'!$L$5:$L$554,$K412)="","",INDEX('Prospect Tracker'!$L$5:$L$554,$K412)))</f>
        <v/>
      </c>
      <c r="K412" s="1" t="n">
        <f aca="false">IFERROR(MATCH(SMALL('Prospect Tracker'!$X$5:$X$554,ROW()-4),'Prospect Tracker'!$X$5:$X$554,0),"")</f>
        <v>408</v>
      </c>
    </row>
    <row r="413" customFormat="false" ht="15" hidden="false" customHeight="true" outlineLevel="0" collapsed="false">
      <c r="A413" s="6" t="str">
        <f aca="false">IF($K413="","",IF(INDEX('Prospect Tracker'!$W$5:$W$554,$K413)="","",INDEX('Prospect Tracker'!$W$5:$W$554,$K413)))</f>
        <v/>
      </c>
      <c r="B413" s="6" t="str">
        <f aca="false">IF($K413="","",IF(INDEX('Prospect Tracker'!$A$5:$A$554,$K413)="","",INDEX('Prospect Tracker'!$A$5:$A$554,$K413)))</f>
        <v/>
      </c>
      <c r="C413" s="6" t="str">
        <f aca="false">IF($K413="","",IF(INDEX('Prospect Tracker'!$B$5:$B$554,$K413)="","",INDEX('Prospect Tracker'!$B$5:$B$554,$K413)))</f>
        <v/>
      </c>
      <c r="D413" s="6" t="str">
        <f aca="false">IF($K413="","",IF(INDEX('Prospect Tracker'!$M$5:$M$554,$K413)="","",INDEX('Prospect Tracker'!$M$5:$M$554,$K413)))</f>
        <v/>
      </c>
      <c r="E413" s="6" t="str">
        <f aca="false">IF($K413="","",IF(INDEX('Prospect Tracker'!$R$5:$R$554,$K413)="","",INDEX('Prospect Tracker'!$R$5:$R$554,$K413)))</f>
        <v/>
      </c>
      <c r="F413" s="6" t="str">
        <f aca="false">IF($K413="","",IF(INDEX('Prospect Tracker'!$J$5:$J$554,$K413)="","",INDEX('Prospect Tracker'!$J$5:$J$554,$K413)))</f>
        <v/>
      </c>
      <c r="G413" s="6" t="str">
        <f aca="false">IF($K413="","",IF(INDEX('Prospect Tracker'!$H$5:$H$554,$K413)="","",INDEX('Prospect Tracker'!$H$5:$H$554,$K413)))</f>
        <v/>
      </c>
      <c r="H413" s="7" t="str">
        <f aca="false">IF($K413="","",IF(INDEX('Prospect Tracker'!$K$5:$K$554,$K413)="","",INDEX('Prospect Tracker'!$K$5:$K$554,$K413)))</f>
        <v/>
      </c>
      <c r="I413" s="6" t="str">
        <f aca="false">IF($K413="","",IF(INDEX('Prospect Tracker'!$T$5:$T$554,$K413)="","",INDEX('Prospect Tracker'!$T$5:$T$554,$K413)))</f>
        <v/>
      </c>
      <c r="J413" s="6" t="str">
        <f aca="false">IF($K413="","",IF(INDEX('Prospect Tracker'!$L$5:$L$554,$K413)="","",INDEX('Prospect Tracker'!$L$5:$L$554,$K413)))</f>
        <v/>
      </c>
      <c r="K413" s="1" t="n">
        <f aca="false">IFERROR(MATCH(SMALL('Prospect Tracker'!$X$5:$X$554,ROW()-4),'Prospect Tracker'!$X$5:$X$554,0),"")</f>
        <v>409</v>
      </c>
    </row>
    <row r="414" customFormat="false" ht="15" hidden="false" customHeight="true" outlineLevel="0" collapsed="false">
      <c r="A414" s="11" t="str">
        <f aca="false">IF($K414="","",IF(INDEX('Prospect Tracker'!$W$5:$W$554,$K414)="","",INDEX('Prospect Tracker'!$W$5:$W$554,$K414)))</f>
        <v/>
      </c>
      <c r="B414" s="11" t="str">
        <f aca="false">IF($K414="","",IF(INDEX('Prospect Tracker'!$A$5:$A$554,$K414)="","",INDEX('Prospect Tracker'!$A$5:$A$554,$K414)))</f>
        <v/>
      </c>
      <c r="C414" s="11" t="str">
        <f aca="false">IF($K414="","",IF(INDEX('Prospect Tracker'!$B$5:$B$554,$K414)="","",INDEX('Prospect Tracker'!$B$5:$B$554,$K414)))</f>
        <v/>
      </c>
      <c r="D414" s="11" t="str">
        <f aca="false">IF($K414="","",IF(INDEX('Prospect Tracker'!$M$5:$M$554,$K414)="","",INDEX('Prospect Tracker'!$M$5:$M$554,$K414)))</f>
        <v/>
      </c>
      <c r="E414" s="11" t="str">
        <f aca="false">IF($K414="","",IF(INDEX('Prospect Tracker'!$R$5:$R$554,$K414)="","",INDEX('Prospect Tracker'!$R$5:$R$554,$K414)))</f>
        <v/>
      </c>
      <c r="F414" s="11" t="str">
        <f aca="false">IF($K414="","",IF(INDEX('Prospect Tracker'!$J$5:$J$554,$K414)="","",INDEX('Prospect Tracker'!$J$5:$J$554,$K414)))</f>
        <v/>
      </c>
      <c r="G414" s="11" t="str">
        <f aca="false">IF($K414="","",IF(INDEX('Prospect Tracker'!$H$5:$H$554,$K414)="","",INDEX('Prospect Tracker'!$H$5:$H$554,$K414)))</f>
        <v/>
      </c>
      <c r="H414" s="12" t="str">
        <f aca="false">IF($K414="","",IF(INDEX('Prospect Tracker'!$K$5:$K$554,$K414)="","",INDEX('Prospect Tracker'!$K$5:$K$554,$K414)))</f>
        <v/>
      </c>
      <c r="I414" s="11" t="str">
        <f aca="false">IF($K414="","",IF(INDEX('Prospect Tracker'!$T$5:$T$554,$K414)="","",INDEX('Prospect Tracker'!$T$5:$T$554,$K414)))</f>
        <v/>
      </c>
      <c r="J414" s="11" t="str">
        <f aca="false">IF($K414="","",IF(INDEX('Prospect Tracker'!$L$5:$L$554,$K414)="","",INDEX('Prospect Tracker'!$L$5:$L$554,$K414)))</f>
        <v/>
      </c>
      <c r="K414" s="1" t="n">
        <f aca="false">IFERROR(MATCH(SMALL('Prospect Tracker'!$X$5:$X$554,ROW()-4),'Prospect Tracker'!$X$5:$X$554,0),"")</f>
        <v>410</v>
      </c>
    </row>
    <row r="415" customFormat="false" ht="15" hidden="false" customHeight="true" outlineLevel="0" collapsed="false">
      <c r="A415" s="6" t="str">
        <f aca="false">IF($K415="","",IF(INDEX('Prospect Tracker'!$W$5:$W$554,$K415)="","",INDEX('Prospect Tracker'!$W$5:$W$554,$K415)))</f>
        <v/>
      </c>
      <c r="B415" s="6" t="str">
        <f aca="false">IF($K415="","",IF(INDEX('Prospect Tracker'!$A$5:$A$554,$K415)="","",INDEX('Prospect Tracker'!$A$5:$A$554,$K415)))</f>
        <v/>
      </c>
      <c r="C415" s="6" t="str">
        <f aca="false">IF($K415="","",IF(INDEX('Prospect Tracker'!$B$5:$B$554,$K415)="","",INDEX('Prospect Tracker'!$B$5:$B$554,$K415)))</f>
        <v/>
      </c>
      <c r="D415" s="6" t="str">
        <f aca="false">IF($K415="","",IF(INDEX('Prospect Tracker'!$M$5:$M$554,$K415)="","",INDEX('Prospect Tracker'!$M$5:$M$554,$K415)))</f>
        <v/>
      </c>
      <c r="E415" s="6" t="str">
        <f aca="false">IF($K415="","",IF(INDEX('Prospect Tracker'!$R$5:$R$554,$K415)="","",INDEX('Prospect Tracker'!$R$5:$R$554,$K415)))</f>
        <v/>
      </c>
      <c r="F415" s="6" t="str">
        <f aca="false">IF($K415="","",IF(INDEX('Prospect Tracker'!$J$5:$J$554,$K415)="","",INDEX('Prospect Tracker'!$J$5:$J$554,$K415)))</f>
        <v/>
      </c>
      <c r="G415" s="6" t="str">
        <f aca="false">IF($K415="","",IF(INDEX('Prospect Tracker'!$H$5:$H$554,$K415)="","",INDEX('Prospect Tracker'!$H$5:$H$554,$K415)))</f>
        <v/>
      </c>
      <c r="H415" s="7" t="str">
        <f aca="false">IF($K415="","",IF(INDEX('Prospect Tracker'!$K$5:$K$554,$K415)="","",INDEX('Prospect Tracker'!$K$5:$K$554,$K415)))</f>
        <v/>
      </c>
      <c r="I415" s="6" t="str">
        <f aca="false">IF($K415="","",IF(INDEX('Prospect Tracker'!$T$5:$T$554,$K415)="","",INDEX('Prospect Tracker'!$T$5:$T$554,$K415)))</f>
        <v/>
      </c>
      <c r="J415" s="6" t="str">
        <f aca="false">IF($K415="","",IF(INDEX('Prospect Tracker'!$L$5:$L$554,$K415)="","",INDEX('Prospect Tracker'!$L$5:$L$554,$K415)))</f>
        <v/>
      </c>
      <c r="K415" s="1" t="n">
        <f aca="false">IFERROR(MATCH(SMALL('Prospect Tracker'!$X$5:$X$554,ROW()-4),'Prospect Tracker'!$X$5:$X$554,0),"")</f>
        <v>411</v>
      </c>
    </row>
    <row r="416" customFormat="false" ht="15" hidden="false" customHeight="true" outlineLevel="0" collapsed="false">
      <c r="A416" s="11" t="str">
        <f aca="false">IF($K416="","",IF(INDEX('Prospect Tracker'!$W$5:$W$554,$K416)="","",INDEX('Prospect Tracker'!$W$5:$W$554,$K416)))</f>
        <v/>
      </c>
      <c r="B416" s="11" t="str">
        <f aca="false">IF($K416="","",IF(INDEX('Prospect Tracker'!$A$5:$A$554,$K416)="","",INDEX('Prospect Tracker'!$A$5:$A$554,$K416)))</f>
        <v/>
      </c>
      <c r="C416" s="11" t="str">
        <f aca="false">IF($K416="","",IF(INDEX('Prospect Tracker'!$B$5:$B$554,$K416)="","",INDEX('Prospect Tracker'!$B$5:$B$554,$K416)))</f>
        <v/>
      </c>
      <c r="D416" s="11" t="str">
        <f aca="false">IF($K416="","",IF(INDEX('Prospect Tracker'!$M$5:$M$554,$K416)="","",INDEX('Prospect Tracker'!$M$5:$M$554,$K416)))</f>
        <v/>
      </c>
      <c r="E416" s="11" t="str">
        <f aca="false">IF($K416="","",IF(INDEX('Prospect Tracker'!$R$5:$R$554,$K416)="","",INDEX('Prospect Tracker'!$R$5:$R$554,$K416)))</f>
        <v/>
      </c>
      <c r="F416" s="11" t="str">
        <f aca="false">IF($K416="","",IF(INDEX('Prospect Tracker'!$J$5:$J$554,$K416)="","",INDEX('Prospect Tracker'!$J$5:$J$554,$K416)))</f>
        <v/>
      </c>
      <c r="G416" s="11" t="str">
        <f aca="false">IF($K416="","",IF(INDEX('Prospect Tracker'!$H$5:$H$554,$K416)="","",INDEX('Prospect Tracker'!$H$5:$H$554,$K416)))</f>
        <v/>
      </c>
      <c r="H416" s="12" t="str">
        <f aca="false">IF($K416="","",IF(INDEX('Prospect Tracker'!$K$5:$K$554,$K416)="","",INDEX('Prospect Tracker'!$K$5:$K$554,$K416)))</f>
        <v/>
      </c>
      <c r="I416" s="11" t="str">
        <f aca="false">IF($K416="","",IF(INDEX('Prospect Tracker'!$T$5:$T$554,$K416)="","",INDEX('Prospect Tracker'!$T$5:$T$554,$K416)))</f>
        <v/>
      </c>
      <c r="J416" s="11" t="str">
        <f aca="false">IF($K416="","",IF(INDEX('Prospect Tracker'!$L$5:$L$554,$K416)="","",INDEX('Prospect Tracker'!$L$5:$L$554,$K416)))</f>
        <v/>
      </c>
      <c r="K416" s="1" t="n">
        <f aca="false">IFERROR(MATCH(SMALL('Prospect Tracker'!$X$5:$X$554,ROW()-4),'Prospect Tracker'!$X$5:$X$554,0),"")</f>
        <v>412</v>
      </c>
    </row>
    <row r="417" customFormat="false" ht="15" hidden="false" customHeight="true" outlineLevel="0" collapsed="false">
      <c r="A417" s="6" t="str">
        <f aca="false">IF($K417="","",IF(INDEX('Prospect Tracker'!$W$5:$W$554,$K417)="","",INDEX('Prospect Tracker'!$W$5:$W$554,$K417)))</f>
        <v/>
      </c>
      <c r="B417" s="6" t="str">
        <f aca="false">IF($K417="","",IF(INDEX('Prospect Tracker'!$A$5:$A$554,$K417)="","",INDEX('Prospect Tracker'!$A$5:$A$554,$K417)))</f>
        <v/>
      </c>
      <c r="C417" s="6" t="str">
        <f aca="false">IF($K417="","",IF(INDEX('Prospect Tracker'!$B$5:$B$554,$K417)="","",INDEX('Prospect Tracker'!$B$5:$B$554,$K417)))</f>
        <v/>
      </c>
      <c r="D417" s="6" t="str">
        <f aca="false">IF($K417="","",IF(INDEX('Prospect Tracker'!$M$5:$M$554,$K417)="","",INDEX('Prospect Tracker'!$M$5:$M$554,$K417)))</f>
        <v/>
      </c>
      <c r="E417" s="6" t="str">
        <f aca="false">IF($K417="","",IF(INDEX('Prospect Tracker'!$R$5:$R$554,$K417)="","",INDEX('Prospect Tracker'!$R$5:$R$554,$K417)))</f>
        <v/>
      </c>
      <c r="F417" s="6" t="str">
        <f aca="false">IF($K417="","",IF(INDEX('Prospect Tracker'!$J$5:$J$554,$K417)="","",INDEX('Prospect Tracker'!$J$5:$J$554,$K417)))</f>
        <v/>
      </c>
      <c r="G417" s="6" t="str">
        <f aca="false">IF($K417="","",IF(INDEX('Prospect Tracker'!$H$5:$H$554,$K417)="","",INDEX('Prospect Tracker'!$H$5:$H$554,$K417)))</f>
        <v/>
      </c>
      <c r="H417" s="7" t="str">
        <f aca="false">IF($K417="","",IF(INDEX('Prospect Tracker'!$K$5:$K$554,$K417)="","",INDEX('Prospect Tracker'!$K$5:$K$554,$K417)))</f>
        <v/>
      </c>
      <c r="I417" s="6" t="str">
        <f aca="false">IF($K417="","",IF(INDEX('Prospect Tracker'!$T$5:$T$554,$K417)="","",INDEX('Prospect Tracker'!$T$5:$T$554,$K417)))</f>
        <v/>
      </c>
      <c r="J417" s="6" t="str">
        <f aca="false">IF($K417="","",IF(INDEX('Prospect Tracker'!$L$5:$L$554,$K417)="","",INDEX('Prospect Tracker'!$L$5:$L$554,$K417)))</f>
        <v/>
      </c>
      <c r="K417" s="1" t="n">
        <f aca="false">IFERROR(MATCH(SMALL('Prospect Tracker'!$X$5:$X$554,ROW()-4),'Prospect Tracker'!$X$5:$X$554,0),"")</f>
        <v>413</v>
      </c>
    </row>
    <row r="418" customFormat="false" ht="15" hidden="false" customHeight="true" outlineLevel="0" collapsed="false">
      <c r="A418" s="11" t="str">
        <f aca="false">IF($K418="","",IF(INDEX('Prospect Tracker'!$W$5:$W$554,$K418)="","",INDEX('Prospect Tracker'!$W$5:$W$554,$K418)))</f>
        <v/>
      </c>
      <c r="B418" s="11" t="str">
        <f aca="false">IF($K418="","",IF(INDEX('Prospect Tracker'!$A$5:$A$554,$K418)="","",INDEX('Prospect Tracker'!$A$5:$A$554,$K418)))</f>
        <v/>
      </c>
      <c r="C418" s="11" t="str">
        <f aca="false">IF($K418="","",IF(INDEX('Prospect Tracker'!$B$5:$B$554,$K418)="","",INDEX('Prospect Tracker'!$B$5:$B$554,$K418)))</f>
        <v/>
      </c>
      <c r="D418" s="11" t="str">
        <f aca="false">IF($K418="","",IF(INDEX('Prospect Tracker'!$M$5:$M$554,$K418)="","",INDEX('Prospect Tracker'!$M$5:$M$554,$K418)))</f>
        <v/>
      </c>
      <c r="E418" s="11" t="str">
        <f aca="false">IF($K418="","",IF(INDEX('Prospect Tracker'!$R$5:$R$554,$K418)="","",INDEX('Prospect Tracker'!$R$5:$R$554,$K418)))</f>
        <v/>
      </c>
      <c r="F418" s="11" t="str">
        <f aca="false">IF($K418="","",IF(INDEX('Prospect Tracker'!$J$5:$J$554,$K418)="","",INDEX('Prospect Tracker'!$J$5:$J$554,$K418)))</f>
        <v/>
      </c>
      <c r="G418" s="11" t="str">
        <f aca="false">IF($K418="","",IF(INDEX('Prospect Tracker'!$H$5:$H$554,$K418)="","",INDEX('Prospect Tracker'!$H$5:$H$554,$K418)))</f>
        <v/>
      </c>
      <c r="H418" s="12" t="str">
        <f aca="false">IF($K418="","",IF(INDEX('Prospect Tracker'!$K$5:$K$554,$K418)="","",INDEX('Prospect Tracker'!$K$5:$K$554,$K418)))</f>
        <v/>
      </c>
      <c r="I418" s="11" t="str">
        <f aca="false">IF($K418="","",IF(INDEX('Prospect Tracker'!$T$5:$T$554,$K418)="","",INDEX('Prospect Tracker'!$T$5:$T$554,$K418)))</f>
        <v/>
      </c>
      <c r="J418" s="11" t="str">
        <f aca="false">IF($K418="","",IF(INDEX('Prospect Tracker'!$L$5:$L$554,$K418)="","",INDEX('Prospect Tracker'!$L$5:$L$554,$K418)))</f>
        <v/>
      </c>
      <c r="K418" s="1" t="n">
        <f aca="false">IFERROR(MATCH(SMALL('Prospect Tracker'!$X$5:$X$554,ROW()-4),'Prospect Tracker'!$X$5:$X$554,0),"")</f>
        <v>414</v>
      </c>
    </row>
    <row r="419" customFormat="false" ht="15" hidden="false" customHeight="true" outlineLevel="0" collapsed="false">
      <c r="A419" s="6" t="str">
        <f aca="false">IF($K419="","",IF(INDEX('Prospect Tracker'!$W$5:$W$554,$K419)="","",INDEX('Prospect Tracker'!$W$5:$W$554,$K419)))</f>
        <v/>
      </c>
      <c r="B419" s="6" t="str">
        <f aca="false">IF($K419="","",IF(INDEX('Prospect Tracker'!$A$5:$A$554,$K419)="","",INDEX('Prospect Tracker'!$A$5:$A$554,$K419)))</f>
        <v/>
      </c>
      <c r="C419" s="6" t="str">
        <f aca="false">IF($K419="","",IF(INDEX('Prospect Tracker'!$B$5:$B$554,$K419)="","",INDEX('Prospect Tracker'!$B$5:$B$554,$K419)))</f>
        <v/>
      </c>
      <c r="D419" s="6" t="str">
        <f aca="false">IF($K419="","",IF(INDEX('Prospect Tracker'!$M$5:$M$554,$K419)="","",INDEX('Prospect Tracker'!$M$5:$M$554,$K419)))</f>
        <v/>
      </c>
      <c r="E419" s="6" t="str">
        <f aca="false">IF($K419="","",IF(INDEX('Prospect Tracker'!$R$5:$R$554,$K419)="","",INDEX('Prospect Tracker'!$R$5:$R$554,$K419)))</f>
        <v/>
      </c>
      <c r="F419" s="6" t="str">
        <f aca="false">IF($K419="","",IF(INDEX('Prospect Tracker'!$J$5:$J$554,$K419)="","",INDEX('Prospect Tracker'!$J$5:$J$554,$K419)))</f>
        <v/>
      </c>
      <c r="G419" s="6" t="str">
        <f aca="false">IF($K419="","",IF(INDEX('Prospect Tracker'!$H$5:$H$554,$K419)="","",INDEX('Prospect Tracker'!$H$5:$H$554,$K419)))</f>
        <v/>
      </c>
      <c r="H419" s="7" t="str">
        <f aca="false">IF($K419="","",IF(INDEX('Prospect Tracker'!$K$5:$K$554,$K419)="","",INDEX('Prospect Tracker'!$K$5:$K$554,$K419)))</f>
        <v/>
      </c>
      <c r="I419" s="6" t="str">
        <f aca="false">IF($K419="","",IF(INDEX('Prospect Tracker'!$T$5:$T$554,$K419)="","",INDEX('Prospect Tracker'!$T$5:$T$554,$K419)))</f>
        <v/>
      </c>
      <c r="J419" s="6" t="str">
        <f aca="false">IF($K419="","",IF(INDEX('Prospect Tracker'!$L$5:$L$554,$K419)="","",INDEX('Prospect Tracker'!$L$5:$L$554,$K419)))</f>
        <v/>
      </c>
      <c r="K419" s="1" t="n">
        <f aca="false">IFERROR(MATCH(SMALL('Prospect Tracker'!$X$5:$X$554,ROW()-4),'Prospect Tracker'!$X$5:$X$554,0),"")</f>
        <v>415</v>
      </c>
    </row>
    <row r="420" customFormat="false" ht="15" hidden="false" customHeight="true" outlineLevel="0" collapsed="false">
      <c r="A420" s="11" t="str">
        <f aca="false">IF($K420="","",IF(INDEX('Prospect Tracker'!$W$5:$W$554,$K420)="","",INDEX('Prospect Tracker'!$W$5:$W$554,$K420)))</f>
        <v/>
      </c>
      <c r="B420" s="11" t="str">
        <f aca="false">IF($K420="","",IF(INDEX('Prospect Tracker'!$A$5:$A$554,$K420)="","",INDEX('Prospect Tracker'!$A$5:$A$554,$K420)))</f>
        <v/>
      </c>
      <c r="C420" s="11" t="str">
        <f aca="false">IF($K420="","",IF(INDEX('Prospect Tracker'!$B$5:$B$554,$K420)="","",INDEX('Prospect Tracker'!$B$5:$B$554,$K420)))</f>
        <v/>
      </c>
      <c r="D420" s="11" t="str">
        <f aca="false">IF($K420="","",IF(INDEX('Prospect Tracker'!$M$5:$M$554,$K420)="","",INDEX('Prospect Tracker'!$M$5:$M$554,$K420)))</f>
        <v/>
      </c>
      <c r="E420" s="11" t="str">
        <f aca="false">IF($K420="","",IF(INDEX('Prospect Tracker'!$R$5:$R$554,$K420)="","",INDEX('Prospect Tracker'!$R$5:$R$554,$K420)))</f>
        <v/>
      </c>
      <c r="F420" s="11" t="str">
        <f aca="false">IF($K420="","",IF(INDEX('Prospect Tracker'!$J$5:$J$554,$K420)="","",INDEX('Prospect Tracker'!$J$5:$J$554,$K420)))</f>
        <v/>
      </c>
      <c r="G420" s="11" t="str">
        <f aca="false">IF($K420="","",IF(INDEX('Prospect Tracker'!$H$5:$H$554,$K420)="","",INDEX('Prospect Tracker'!$H$5:$H$554,$K420)))</f>
        <v/>
      </c>
      <c r="H420" s="12" t="str">
        <f aca="false">IF($K420="","",IF(INDEX('Prospect Tracker'!$K$5:$K$554,$K420)="","",INDEX('Prospect Tracker'!$K$5:$K$554,$K420)))</f>
        <v/>
      </c>
      <c r="I420" s="11" t="str">
        <f aca="false">IF($K420="","",IF(INDEX('Prospect Tracker'!$T$5:$T$554,$K420)="","",INDEX('Prospect Tracker'!$T$5:$T$554,$K420)))</f>
        <v/>
      </c>
      <c r="J420" s="11" t="str">
        <f aca="false">IF($K420="","",IF(INDEX('Prospect Tracker'!$L$5:$L$554,$K420)="","",INDEX('Prospect Tracker'!$L$5:$L$554,$K420)))</f>
        <v/>
      </c>
      <c r="K420" s="1" t="n">
        <f aca="false">IFERROR(MATCH(SMALL('Prospect Tracker'!$X$5:$X$554,ROW()-4),'Prospect Tracker'!$X$5:$X$554,0),"")</f>
        <v>416</v>
      </c>
    </row>
    <row r="421" customFormat="false" ht="15" hidden="false" customHeight="true" outlineLevel="0" collapsed="false">
      <c r="A421" s="6" t="str">
        <f aca="false">IF($K421="","",IF(INDEX('Prospect Tracker'!$W$5:$W$554,$K421)="","",INDEX('Prospect Tracker'!$W$5:$W$554,$K421)))</f>
        <v/>
      </c>
      <c r="B421" s="6" t="str">
        <f aca="false">IF($K421="","",IF(INDEX('Prospect Tracker'!$A$5:$A$554,$K421)="","",INDEX('Prospect Tracker'!$A$5:$A$554,$K421)))</f>
        <v/>
      </c>
      <c r="C421" s="6" t="str">
        <f aca="false">IF($K421="","",IF(INDEX('Prospect Tracker'!$B$5:$B$554,$K421)="","",INDEX('Prospect Tracker'!$B$5:$B$554,$K421)))</f>
        <v/>
      </c>
      <c r="D421" s="6" t="str">
        <f aca="false">IF($K421="","",IF(INDEX('Prospect Tracker'!$M$5:$M$554,$K421)="","",INDEX('Prospect Tracker'!$M$5:$M$554,$K421)))</f>
        <v/>
      </c>
      <c r="E421" s="6" t="str">
        <f aca="false">IF($K421="","",IF(INDEX('Prospect Tracker'!$R$5:$R$554,$K421)="","",INDEX('Prospect Tracker'!$R$5:$R$554,$K421)))</f>
        <v/>
      </c>
      <c r="F421" s="6" t="str">
        <f aca="false">IF($K421="","",IF(INDEX('Prospect Tracker'!$J$5:$J$554,$K421)="","",INDEX('Prospect Tracker'!$J$5:$J$554,$K421)))</f>
        <v/>
      </c>
      <c r="G421" s="6" t="str">
        <f aca="false">IF($K421="","",IF(INDEX('Prospect Tracker'!$H$5:$H$554,$K421)="","",INDEX('Prospect Tracker'!$H$5:$H$554,$K421)))</f>
        <v/>
      </c>
      <c r="H421" s="7" t="str">
        <f aca="false">IF($K421="","",IF(INDEX('Prospect Tracker'!$K$5:$K$554,$K421)="","",INDEX('Prospect Tracker'!$K$5:$K$554,$K421)))</f>
        <v/>
      </c>
      <c r="I421" s="6" t="str">
        <f aca="false">IF($K421="","",IF(INDEX('Prospect Tracker'!$T$5:$T$554,$K421)="","",INDEX('Prospect Tracker'!$T$5:$T$554,$K421)))</f>
        <v/>
      </c>
      <c r="J421" s="6" t="str">
        <f aca="false">IF($K421="","",IF(INDEX('Prospect Tracker'!$L$5:$L$554,$K421)="","",INDEX('Prospect Tracker'!$L$5:$L$554,$K421)))</f>
        <v/>
      </c>
      <c r="K421" s="1" t="n">
        <f aca="false">IFERROR(MATCH(SMALL('Prospect Tracker'!$X$5:$X$554,ROW()-4),'Prospect Tracker'!$X$5:$X$554,0),"")</f>
        <v>417</v>
      </c>
    </row>
    <row r="422" customFormat="false" ht="15" hidden="false" customHeight="true" outlineLevel="0" collapsed="false">
      <c r="A422" s="11" t="str">
        <f aca="false">IF($K422="","",IF(INDEX('Prospect Tracker'!$W$5:$W$554,$K422)="","",INDEX('Prospect Tracker'!$W$5:$W$554,$K422)))</f>
        <v/>
      </c>
      <c r="B422" s="11" t="str">
        <f aca="false">IF($K422="","",IF(INDEX('Prospect Tracker'!$A$5:$A$554,$K422)="","",INDEX('Prospect Tracker'!$A$5:$A$554,$K422)))</f>
        <v/>
      </c>
      <c r="C422" s="11" t="str">
        <f aca="false">IF($K422="","",IF(INDEX('Prospect Tracker'!$B$5:$B$554,$K422)="","",INDEX('Prospect Tracker'!$B$5:$B$554,$K422)))</f>
        <v/>
      </c>
      <c r="D422" s="11" t="str">
        <f aca="false">IF($K422="","",IF(INDEX('Prospect Tracker'!$M$5:$M$554,$K422)="","",INDEX('Prospect Tracker'!$M$5:$M$554,$K422)))</f>
        <v/>
      </c>
      <c r="E422" s="11" t="str">
        <f aca="false">IF($K422="","",IF(INDEX('Prospect Tracker'!$R$5:$R$554,$K422)="","",INDEX('Prospect Tracker'!$R$5:$R$554,$K422)))</f>
        <v/>
      </c>
      <c r="F422" s="11" t="str">
        <f aca="false">IF($K422="","",IF(INDEX('Prospect Tracker'!$J$5:$J$554,$K422)="","",INDEX('Prospect Tracker'!$J$5:$J$554,$K422)))</f>
        <v/>
      </c>
      <c r="G422" s="11" t="str">
        <f aca="false">IF($K422="","",IF(INDEX('Prospect Tracker'!$H$5:$H$554,$K422)="","",INDEX('Prospect Tracker'!$H$5:$H$554,$K422)))</f>
        <v/>
      </c>
      <c r="H422" s="12" t="str">
        <f aca="false">IF($K422="","",IF(INDEX('Prospect Tracker'!$K$5:$K$554,$K422)="","",INDEX('Prospect Tracker'!$K$5:$K$554,$K422)))</f>
        <v/>
      </c>
      <c r="I422" s="11" t="str">
        <f aca="false">IF($K422="","",IF(INDEX('Prospect Tracker'!$T$5:$T$554,$K422)="","",INDEX('Prospect Tracker'!$T$5:$T$554,$K422)))</f>
        <v/>
      </c>
      <c r="J422" s="11" t="str">
        <f aca="false">IF($K422="","",IF(INDEX('Prospect Tracker'!$L$5:$L$554,$K422)="","",INDEX('Prospect Tracker'!$L$5:$L$554,$K422)))</f>
        <v/>
      </c>
      <c r="K422" s="1" t="n">
        <f aca="false">IFERROR(MATCH(SMALL('Prospect Tracker'!$X$5:$X$554,ROW()-4),'Prospect Tracker'!$X$5:$X$554,0),"")</f>
        <v>418</v>
      </c>
    </row>
    <row r="423" customFormat="false" ht="15" hidden="false" customHeight="true" outlineLevel="0" collapsed="false">
      <c r="A423" s="6" t="str">
        <f aca="false">IF($K423="","",IF(INDEX('Prospect Tracker'!$W$5:$W$554,$K423)="","",INDEX('Prospect Tracker'!$W$5:$W$554,$K423)))</f>
        <v/>
      </c>
      <c r="B423" s="6" t="str">
        <f aca="false">IF($K423="","",IF(INDEX('Prospect Tracker'!$A$5:$A$554,$K423)="","",INDEX('Prospect Tracker'!$A$5:$A$554,$K423)))</f>
        <v/>
      </c>
      <c r="C423" s="6" t="str">
        <f aca="false">IF($K423="","",IF(INDEX('Prospect Tracker'!$B$5:$B$554,$K423)="","",INDEX('Prospect Tracker'!$B$5:$B$554,$K423)))</f>
        <v/>
      </c>
      <c r="D423" s="6" t="str">
        <f aca="false">IF($K423="","",IF(INDEX('Prospect Tracker'!$M$5:$M$554,$K423)="","",INDEX('Prospect Tracker'!$M$5:$M$554,$K423)))</f>
        <v/>
      </c>
      <c r="E423" s="6" t="str">
        <f aca="false">IF($K423="","",IF(INDEX('Prospect Tracker'!$R$5:$R$554,$K423)="","",INDEX('Prospect Tracker'!$R$5:$R$554,$K423)))</f>
        <v/>
      </c>
      <c r="F423" s="6" t="str">
        <f aca="false">IF($K423="","",IF(INDEX('Prospect Tracker'!$J$5:$J$554,$K423)="","",INDEX('Prospect Tracker'!$J$5:$J$554,$K423)))</f>
        <v/>
      </c>
      <c r="G423" s="6" t="str">
        <f aca="false">IF($K423="","",IF(INDEX('Prospect Tracker'!$H$5:$H$554,$K423)="","",INDEX('Prospect Tracker'!$H$5:$H$554,$K423)))</f>
        <v/>
      </c>
      <c r="H423" s="7" t="str">
        <f aca="false">IF($K423="","",IF(INDEX('Prospect Tracker'!$K$5:$K$554,$K423)="","",INDEX('Prospect Tracker'!$K$5:$K$554,$K423)))</f>
        <v/>
      </c>
      <c r="I423" s="6" t="str">
        <f aca="false">IF($K423="","",IF(INDEX('Prospect Tracker'!$T$5:$T$554,$K423)="","",INDEX('Prospect Tracker'!$T$5:$T$554,$K423)))</f>
        <v/>
      </c>
      <c r="J423" s="6" t="str">
        <f aca="false">IF($K423="","",IF(INDEX('Prospect Tracker'!$L$5:$L$554,$K423)="","",INDEX('Prospect Tracker'!$L$5:$L$554,$K423)))</f>
        <v/>
      </c>
      <c r="K423" s="1" t="n">
        <f aca="false">IFERROR(MATCH(SMALL('Prospect Tracker'!$X$5:$X$554,ROW()-4),'Prospect Tracker'!$X$5:$X$554,0),"")</f>
        <v>419</v>
      </c>
    </row>
    <row r="424" customFormat="false" ht="15" hidden="false" customHeight="true" outlineLevel="0" collapsed="false">
      <c r="A424" s="11" t="str">
        <f aca="false">IF($K424="","",IF(INDEX('Prospect Tracker'!$W$5:$W$554,$K424)="","",INDEX('Prospect Tracker'!$W$5:$W$554,$K424)))</f>
        <v/>
      </c>
      <c r="B424" s="11" t="str">
        <f aca="false">IF($K424="","",IF(INDEX('Prospect Tracker'!$A$5:$A$554,$K424)="","",INDEX('Prospect Tracker'!$A$5:$A$554,$K424)))</f>
        <v/>
      </c>
      <c r="C424" s="11" t="str">
        <f aca="false">IF($K424="","",IF(INDEX('Prospect Tracker'!$B$5:$B$554,$K424)="","",INDEX('Prospect Tracker'!$B$5:$B$554,$K424)))</f>
        <v/>
      </c>
      <c r="D424" s="11" t="str">
        <f aca="false">IF($K424="","",IF(INDEX('Prospect Tracker'!$M$5:$M$554,$K424)="","",INDEX('Prospect Tracker'!$M$5:$M$554,$K424)))</f>
        <v/>
      </c>
      <c r="E424" s="11" t="str">
        <f aca="false">IF($K424="","",IF(INDEX('Prospect Tracker'!$R$5:$R$554,$K424)="","",INDEX('Prospect Tracker'!$R$5:$R$554,$K424)))</f>
        <v/>
      </c>
      <c r="F424" s="11" t="str">
        <f aca="false">IF($K424="","",IF(INDEX('Prospect Tracker'!$J$5:$J$554,$K424)="","",INDEX('Prospect Tracker'!$J$5:$J$554,$K424)))</f>
        <v/>
      </c>
      <c r="G424" s="11" t="str">
        <f aca="false">IF($K424="","",IF(INDEX('Prospect Tracker'!$H$5:$H$554,$K424)="","",INDEX('Prospect Tracker'!$H$5:$H$554,$K424)))</f>
        <v/>
      </c>
      <c r="H424" s="12" t="str">
        <f aca="false">IF($K424="","",IF(INDEX('Prospect Tracker'!$K$5:$K$554,$K424)="","",INDEX('Prospect Tracker'!$K$5:$K$554,$K424)))</f>
        <v/>
      </c>
      <c r="I424" s="11" t="str">
        <f aca="false">IF($K424="","",IF(INDEX('Prospect Tracker'!$T$5:$T$554,$K424)="","",INDEX('Prospect Tracker'!$T$5:$T$554,$K424)))</f>
        <v/>
      </c>
      <c r="J424" s="11" t="str">
        <f aca="false">IF($K424="","",IF(INDEX('Prospect Tracker'!$L$5:$L$554,$K424)="","",INDEX('Prospect Tracker'!$L$5:$L$554,$K424)))</f>
        <v/>
      </c>
      <c r="K424" s="1" t="n">
        <f aca="false">IFERROR(MATCH(SMALL('Prospect Tracker'!$X$5:$X$554,ROW()-4),'Prospect Tracker'!$X$5:$X$554,0),"")</f>
        <v>420</v>
      </c>
    </row>
    <row r="425" customFormat="false" ht="15" hidden="false" customHeight="true" outlineLevel="0" collapsed="false">
      <c r="A425" s="6" t="str">
        <f aca="false">IF($K425="","",IF(INDEX('Prospect Tracker'!$W$5:$W$554,$K425)="","",INDEX('Prospect Tracker'!$W$5:$W$554,$K425)))</f>
        <v/>
      </c>
      <c r="B425" s="6" t="str">
        <f aca="false">IF($K425="","",IF(INDEX('Prospect Tracker'!$A$5:$A$554,$K425)="","",INDEX('Prospect Tracker'!$A$5:$A$554,$K425)))</f>
        <v/>
      </c>
      <c r="C425" s="6" t="str">
        <f aca="false">IF($K425="","",IF(INDEX('Prospect Tracker'!$B$5:$B$554,$K425)="","",INDEX('Prospect Tracker'!$B$5:$B$554,$K425)))</f>
        <v/>
      </c>
      <c r="D425" s="6" t="str">
        <f aca="false">IF($K425="","",IF(INDEX('Prospect Tracker'!$M$5:$M$554,$K425)="","",INDEX('Prospect Tracker'!$M$5:$M$554,$K425)))</f>
        <v/>
      </c>
      <c r="E425" s="6" t="str">
        <f aca="false">IF($K425="","",IF(INDEX('Prospect Tracker'!$R$5:$R$554,$K425)="","",INDEX('Prospect Tracker'!$R$5:$R$554,$K425)))</f>
        <v/>
      </c>
      <c r="F425" s="6" t="str">
        <f aca="false">IF($K425="","",IF(INDEX('Prospect Tracker'!$J$5:$J$554,$K425)="","",INDEX('Prospect Tracker'!$J$5:$J$554,$K425)))</f>
        <v/>
      </c>
      <c r="G425" s="6" t="str">
        <f aca="false">IF($K425="","",IF(INDEX('Prospect Tracker'!$H$5:$H$554,$K425)="","",INDEX('Prospect Tracker'!$H$5:$H$554,$K425)))</f>
        <v/>
      </c>
      <c r="H425" s="7" t="str">
        <f aca="false">IF($K425="","",IF(INDEX('Prospect Tracker'!$K$5:$K$554,$K425)="","",INDEX('Prospect Tracker'!$K$5:$K$554,$K425)))</f>
        <v/>
      </c>
      <c r="I425" s="6" t="str">
        <f aca="false">IF($K425="","",IF(INDEX('Prospect Tracker'!$T$5:$T$554,$K425)="","",INDEX('Prospect Tracker'!$T$5:$T$554,$K425)))</f>
        <v/>
      </c>
      <c r="J425" s="6" t="str">
        <f aca="false">IF($K425="","",IF(INDEX('Prospect Tracker'!$L$5:$L$554,$K425)="","",INDEX('Prospect Tracker'!$L$5:$L$554,$K425)))</f>
        <v/>
      </c>
      <c r="K425" s="1" t="n">
        <f aca="false">IFERROR(MATCH(SMALL('Prospect Tracker'!$X$5:$X$554,ROW()-4),'Prospect Tracker'!$X$5:$X$554,0),"")</f>
        <v>421</v>
      </c>
    </row>
    <row r="426" customFormat="false" ht="15" hidden="false" customHeight="true" outlineLevel="0" collapsed="false">
      <c r="A426" s="11" t="str">
        <f aca="false">IF($K426="","",IF(INDEX('Prospect Tracker'!$W$5:$W$554,$K426)="","",INDEX('Prospect Tracker'!$W$5:$W$554,$K426)))</f>
        <v/>
      </c>
      <c r="B426" s="11" t="str">
        <f aca="false">IF($K426="","",IF(INDEX('Prospect Tracker'!$A$5:$A$554,$K426)="","",INDEX('Prospect Tracker'!$A$5:$A$554,$K426)))</f>
        <v/>
      </c>
      <c r="C426" s="11" t="str">
        <f aca="false">IF($K426="","",IF(INDEX('Prospect Tracker'!$B$5:$B$554,$K426)="","",INDEX('Prospect Tracker'!$B$5:$B$554,$K426)))</f>
        <v/>
      </c>
      <c r="D426" s="11" t="str">
        <f aca="false">IF($K426="","",IF(INDEX('Prospect Tracker'!$M$5:$M$554,$K426)="","",INDEX('Prospect Tracker'!$M$5:$M$554,$K426)))</f>
        <v/>
      </c>
      <c r="E426" s="11" t="str">
        <f aca="false">IF($K426="","",IF(INDEX('Prospect Tracker'!$R$5:$R$554,$K426)="","",INDEX('Prospect Tracker'!$R$5:$R$554,$K426)))</f>
        <v/>
      </c>
      <c r="F426" s="11" t="str">
        <f aca="false">IF($K426="","",IF(INDEX('Prospect Tracker'!$J$5:$J$554,$K426)="","",INDEX('Prospect Tracker'!$J$5:$J$554,$K426)))</f>
        <v/>
      </c>
      <c r="G426" s="11" t="str">
        <f aca="false">IF($K426="","",IF(INDEX('Prospect Tracker'!$H$5:$H$554,$K426)="","",INDEX('Prospect Tracker'!$H$5:$H$554,$K426)))</f>
        <v/>
      </c>
      <c r="H426" s="12" t="str">
        <f aca="false">IF($K426="","",IF(INDEX('Prospect Tracker'!$K$5:$K$554,$K426)="","",INDEX('Prospect Tracker'!$K$5:$K$554,$K426)))</f>
        <v/>
      </c>
      <c r="I426" s="11" t="str">
        <f aca="false">IF($K426="","",IF(INDEX('Prospect Tracker'!$T$5:$T$554,$K426)="","",INDEX('Prospect Tracker'!$T$5:$T$554,$K426)))</f>
        <v/>
      </c>
      <c r="J426" s="11" t="str">
        <f aca="false">IF($K426="","",IF(INDEX('Prospect Tracker'!$L$5:$L$554,$K426)="","",INDEX('Prospect Tracker'!$L$5:$L$554,$K426)))</f>
        <v/>
      </c>
      <c r="K426" s="1" t="n">
        <f aca="false">IFERROR(MATCH(SMALL('Prospect Tracker'!$X$5:$X$554,ROW()-4),'Prospect Tracker'!$X$5:$X$554,0),"")</f>
        <v>422</v>
      </c>
    </row>
    <row r="427" customFormat="false" ht="15" hidden="false" customHeight="true" outlineLevel="0" collapsed="false">
      <c r="A427" s="6" t="str">
        <f aca="false">IF($K427="","",IF(INDEX('Prospect Tracker'!$W$5:$W$554,$K427)="","",INDEX('Prospect Tracker'!$W$5:$W$554,$K427)))</f>
        <v/>
      </c>
      <c r="B427" s="6" t="str">
        <f aca="false">IF($K427="","",IF(INDEX('Prospect Tracker'!$A$5:$A$554,$K427)="","",INDEX('Prospect Tracker'!$A$5:$A$554,$K427)))</f>
        <v/>
      </c>
      <c r="C427" s="6" t="str">
        <f aca="false">IF($K427="","",IF(INDEX('Prospect Tracker'!$B$5:$B$554,$K427)="","",INDEX('Prospect Tracker'!$B$5:$B$554,$K427)))</f>
        <v/>
      </c>
      <c r="D427" s="6" t="str">
        <f aca="false">IF($K427="","",IF(INDEX('Prospect Tracker'!$M$5:$M$554,$K427)="","",INDEX('Prospect Tracker'!$M$5:$M$554,$K427)))</f>
        <v/>
      </c>
      <c r="E427" s="6" t="str">
        <f aca="false">IF($K427="","",IF(INDEX('Prospect Tracker'!$R$5:$R$554,$K427)="","",INDEX('Prospect Tracker'!$R$5:$R$554,$K427)))</f>
        <v/>
      </c>
      <c r="F427" s="6" t="str">
        <f aca="false">IF($K427="","",IF(INDEX('Prospect Tracker'!$J$5:$J$554,$K427)="","",INDEX('Prospect Tracker'!$J$5:$J$554,$K427)))</f>
        <v/>
      </c>
      <c r="G427" s="6" t="str">
        <f aca="false">IF($K427="","",IF(INDEX('Prospect Tracker'!$H$5:$H$554,$K427)="","",INDEX('Prospect Tracker'!$H$5:$H$554,$K427)))</f>
        <v/>
      </c>
      <c r="H427" s="7" t="str">
        <f aca="false">IF($K427="","",IF(INDEX('Prospect Tracker'!$K$5:$K$554,$K427)="","",INDEX('Prospect Tracker'!$K$5:$K$554,$K427)))</f>
        <v/>
      </c>
      <c r="I427" s="6" t="str">
        <f aca="false">IF($K427="","",IF(INDEX('Prospect Tracker'!$T$5:$T$554,$K427)="","",INDEX('Prospect Tracker'!$T$5:$T$554,$K427)))</f>
        <v/>
      </c>
      <c r="J427" s="6" t="str">
        <f aca="false">IF($K427="","",IF(INDEX('Prospect Tracker'!$L$5:$L$554,$K427)="","",INDEX('Prospect Tracker'!$L$5:$L$554,$K427)))</f>
        <v/>
      </c>
      <c r="K427" s="1" t="n">
        <f aca="false">IFERROR(MATCH(SMALL('Prospect Tracker'!$X$5:$X$554,ROW()-4),'Prospect Tracker'!$X$5:$X$554,0),"")</f>
        <v>423</v>
      </c>
    </row>
    <row r="428" customFormat="false" ht="15" hidden="false" customHeight="true" outlineLevel="0" collapsed="false">
      <c r="A428" s="11" t="str">
        <f aca="false">IF($K428="","",IF(INDEX('Prospect Tracker'!$W$5:$W$554,$K428)="","",INDEX('Prospect Tracker'!$W$5:$W$554,$K428)))</f>
        <v/>
      </c>
      <c r="B428" s="11" t="str">
        <f aca="false">IF($K428="","",IF(INDEX('Prospect Tracker'!$A$5:$A$554,$K428)="","",INDEX('Prospect Tracker'!$A$5:$A$554,$K428)))</f>
        <v/>
      </c>
      <c r="C428" s="11" t="str">
        <f aca="false">IF($K428="","",IF(INDEX('Prospect Tracker'!$B$5:$B$554,$K428)="","",INDEX('Prospect Tracker'!$B$5:$B$554,$K428)))</f>
        <v/>
      </c>
      <c r="D428" s="11" t="str">
        <f aca="false">IF($K428="","",IF(INDEX('Prospect Tracker'!$M$5:$M$554,$K428)="","",INDEX('Prospect Tracker'!$M$5:$M$554,$K428)))</f>
        <v/>
      </c>
      <c r="E428" s="11" t="str">
        <f aca="false">IF($K428="","",IF(INDEX('Prospect Tracker'!$R$5:$R$554,$K428)="","",INDEX('Prospect Tracker'!$R$5:$R$554,$K428)))</f>
        <v/>
      </c>
      <c r="F428" s="11" t="str">
        <f aca="false">IF($K428="","",IF(INDEX('Prospect Tracker'!$J$5:$J$554,$K428)="","",INDEX('Prospect Tracker'!$J$5:$J$554,$K428)))</f>
        <v/>
      </c>
      <c r="G428" s="11" t="str">
        <f aca="false">IF($K428="","",IF(INDEX('Prospect Tracker'!$H$5:$H$554,$K428)="","",INDEX('Prospect Tracker'!$H$5:$H$554,$K428)))</f>
        <v/>
      </c>
      <c r="H428" s="12" t="str">
        <f aca="false">IF($K428="","",IF(INDEX('Prospect Tracker'!$K$5:$K$554,$K428)="","",INDEX('Prospect Tracker'!$K$5:$K$554,$K428)))</f>
        <v/>
      </c>
      <c r="I428" s="11" t="str">
        <f aca="false">IF($K428="","",IF(INDEX('Prospect Tracker'!$T$5:$T$554,$K428)="","",INDEX('Prospect Tracker'!$T$5:$T$554,$K428)))</f>
        <v/>
      </c>
      <c r="J428" s="11" t="str">
        <f aca="false">IF($K428="","",IF(INDEX('Prospect Tracker'!$L$5:$L$554,$K428)="","",INDEX('Prospect Tracker'!$L$5:$L$554,$K428)))</f>
        <v/>
      </c>
      <c r="K428" s="1" t="n">
        <f aca="false">IFERROR(MATCH(SMALL('Prospect Tracker'!$X$5:$X$554,ROW()-4),'Prospect Tracker'!$X$5:$X$554,0),"")</f>
        <v>424</v>
      </c>
    </row>
    <row r="429" customFormat="false" ht="15" hidden="false" customHeight="true" outlineLevel="0" collapsed="false">
      <c r="A429" s="6" t="str">
        <f aca="false">IF($K429="","",IF(INDEX('Prospect Tracker'!$W$5:$W$554,$K429)="","",INDEX('Prospect Tracker'!$W$5:$W$554,$K429)))</f>
        <v/>
      </c>
      <c r="B429" s="6" t="str">
        <f aca="false">IF($K429="","",IF(INDEX('Prospect Tracker'!$A$5:$A$554,$K429)="","",INDEX('Prospect Tracker'!$A$5:$A$554,$K429)))</f>
        <v/>
      </c>
      <c r="C429" s="6" t="str">
        <f aca="false">IF($K429="","",IF(INDEX('Prospect Tracker'!$B$5:$B$554,$K429)="","",INDEX('Prospect Tracker'!$B$5:$B$554,$K429)))</f>
        <v/>
      </c>
      <c r="D429" s="6" t="str">
        <f aca="false">IF($K429="","",IF(INDEX('Prospect Tracker'!$M$5:$M$554,$K429)="","",INDEX('Prospect Tracker'!$M$5:$M$554,$K429)))</f>
        <v/>
      </c>
      <c r="E429" s="6" t="str">
        <f aca="false">IF($K429="","",IF(INDEX('Prospect Tracker'!$R$5:$R$554,$K429)="","",INDEX('Prospect Tracker'!$R$5:$R$554,$K429)))</f>
        <v/>
      </c>
      <c r="F429" s="6" t="str">
        <f aca="false">IF($K429="","",IF(INDEX('Prospect Tracker'!$J$5:$J$554,$K429)="","",INDEX('Prospect Tracker'!$J$5:$J$554,$K429)))</f>
        <v/>
      </c>
      <c r="G429" s="6" t="str">
        <f aca="false">IF($K429="","",IF(INDEX('Prospect Tracker'!$H$5:$H$554,$K429)="","",INDEX('Prospect Tracker'!$H$5:$H$554,$K429)))</f>
        <v/>
      </c>
      <c r="H429" s="7" t="str">
        <f aca="false">IF($K429="","",IF(INDEX('Prospect Tracker'!$K$5:$K$554,$K429)="","",INDEX('Prospect Tracker'!$K$5:$K$554,$K429)))</f>
        <v/>
      </c>
      <c r="I429" s="6" t="str">
        <f aca="false">IF($K429="","",IF(INDEX('Prospect Tracker'!$T$5:$T$554,$K429)="","",INDEX('Prospect Tracker'!$T$5:$T$554,$K429)))</f>
        <v/>
      </c>
      <c r="J429" s="6" t="str">
        <f aca="false">IF($K429="","",IF(INDEX('Prospect Tracker'!$L$5:$L$554,$K429)="","",INDEX('Prospect Tracker'!$L$5:$L$554,$K429)))</f>
        <v/>
      </c>
      <c r="K429" s="1" t="n">
        <f aca="false">IFERROR(MATCH(SMALL('Prospect Tracker'!$X$5:$X$554,ROW()-4),'Prospect Tracker'!$X$5:$X$554,0),"")</f>
        <v>425</v>
      </c>
    </row>
    <row r="430" customFormat="false" ht="15" hidden="false" customHeight="true" outlineLevel="0" collapsed="false">
      <c r="A430" s="11" t="str">
        <f aca="false">IF($K430="","",IF(INDEX('Prospect Tracker'!$W$5:$W$554,$K430)="","",INDEX('Prospect Tracker'!$W$5:$W$554,$K430)))</f>
        <v/>
      </c>
      <c r="B430" s="11" t="str">
        <f aca="false">IF($K430="","",IF(INDEX('Prospect Tracker'!$A$5:$A$554,$K430)="","",INDEX('Prospect Tracker'!$A$5:$A$554,$K430)))</f>
        <v/>
      </c>
      <c r="C430" s="11" t="str">
        <f aca="false">IF($K430="","",IF(INDEX('Prospect Tracker'!$B$5:$B$554,$K430)="","",INDEX('Prospect Tracker'!$B$5:$B$554,$K430)))</f>
        <v/>
      </c>
      <c r="D430" s="11" t="str">
        <f aca="false">IF($K430="","",IF(INDEX('Prospect Tracker'!$M$5:$M$554,$K430)="","",INDEX('Prospect Tracker'!$M$5:$M$554,$K430)))</f>
        <v/>
      </c>
      <c r="E430" s="11" t="str">
        <f aca="false">IF($K430="","",IF(INDEX('Prospect Tracker'!$R$5:$R$554,$K430)="","",INDEX('Prospect Tracker'!$R$5:$R$554,$K430)))</f>
        <v/>
      </c>
      <c r="F430" s="11" t="str">
        <f aca="false">IF($K430="","",IF(INDEX('Prospect Tracker'!$J$5:$J$554,$K430)="","",INDEX('Prospect Tracker'!$J$5:$J$554,$K430)))</f>
        <v/>
      </c>
      <c r="G430" s="11" t="str">
        <f aca="false">IF($K430="","",IF(INDEX('Prospect Tracker'!$H$5:$H$554,$K430)="","",INDEX('Prospect Tracker'!$H$5:$H$554,$K430)))</f>
        <v/>
      </c>
      <c r="H430" s="12" t="str">
        <f aca="false">IF($K430="","",IF(INDEX('Prospect Tracker'!$K$5:$K$554,$K430)="","",INDEX('Prospect Tracker'!$K$5:$K$554,$K430)))</f>
        <v/>
      </c>
      <c r="I430" s="11" t="str">
        <f aca="false">IF($K430="","",IF(INDEX('Prospect Tracker'!$T$5:$T$554,$K430)="","",INDEX('Prospect Tracker'!$T$5:$T$554,$K430)))</f>
        <v/>
      </c>
      <c r="J430" s="11" t="str">
        <f aca="false">IF($K430="","",IF(INDEX('Prospect Tracker'!$L$5:$L$554,$K430)="","",INDEX('Prospect Tracker'!$L$5:$L$554,$K430)))</f>
        <v/>
      </c>
      <c r="K430" s="1" t="n">
        <f aca="false">IFERROR(MATCH(SMALL('Prospect Tracker'!$X$5:$X$554,ROW()-4),'Prospect Tracker'!$X$5:$X$554,0),"")</f>
        <v>426</v>
      </c>
    </row>
    <row r="431" customFormat="false" ht="15" hidden="false" customHeight="true" outlineLevel="0" collapsed="false">
      <c r="A431" s="6" t="str">
        <f aca="false">IF($K431="","",IF(INDEX('Prospect Tracker'!$W$5:$W$554,$K431)="","",INDEX('Prospect Tracker'!$W$5:$W$554,$K431)))</f>
        <v/>
      </c>
      <c r="B431" s="6" t="str">
        <f aca="false">IF($K431="","",IF(INDEX('Prospect Tracker'!$A$5:$A$554,$K431)="","",INDEX('Prospect Tracker'!$A$5:$A$554,$K431)))</f>
        <v/>
      </c>
      <c r="C431" s="6" t="str">
        <f aca="false">IF($K431="","",IF(INDEX('Prospect Tracker'!$B$5:$B$554,$K431)="","",INDEX('Prospect Tracker'!$B$5:$B$554,$K431)))</f>
        <v/>
      </c>
      <c r="D431" s="6" t="str">
        <f aca="false">IF($K431="","",IF(INDEX('Prospect Tracker'!$M$5:$M$554,$K431)="","",INDEX('Prospect Tracker'!$M$5:$M$554,$K431)))</f>
        <v/>
      </c>
      <c r="E431" s="6" t="str">
        <f aca="false">IF($K431="","",IF(INDEX('Prospect Tracker'!$R$5:$R$554,$K431)="","",INDEX('Prospect Tracker'!$R$5:$R$554,$K431)))</f>
        <v/>
      </c>
      <c r="F431" s="6" t="str">
        <f aca="false">IF($K431="","",IF(INDEX('Prospect Tracker'!$J$5:$J$554,$K431)="","",INDEX('Prospect Tracker'!$J$5:$J$554,$K431)))</f>
        <v/>
      </c>
      <c r="G431" s="6" t="str">
        <f aca="false">IF($K431="","",IF(INDEX('Prospect Tracker'!$H$5:$H$554,$K431)="","",INDEX('Prospect Tracker'!$H$5:$H$554,$K431)))</f>
        <v/>
      </c>
      <c r="H431" s="7" t="str">
        <f aca="false">IF($K431="","",IF(INDEX('Prospect Tracker'!$K$5:$K$554,$K431)="","",INDEX('Prospect Tracker'!$K$5:$K$554,$K431)))</f>
        <v/>
      </c>
      <c r="I431" s="6" t="str">
        <f aca="false">IF($K431="","",IF(INDEX('Prospect Tracker'!$T$5:$T$554,$K431)="","",INDEX('Prospect Tracker'!$T$5:$T$554,$K431)))</f>
        <v/>
      </c>
      <c r="J431" s="6" t="str">
        <f aca="false">IF($K431="","",IF(INDEX('Prospect Tracker'!$L$5:$L$554,$K431)="","",INDEX('Prospect Tracker'!$L$5:$L$554,$K431)))</f>
        <v/>
      </c>
      <c r="K431" s="1" t="n">
        <f aca="false">IFERROR(MATCH(SMALL('Prospect Tracker'!$X$5:$X$554,ROW()-4),'Prospect Tracker'!$X$5:$X$554,0),"")</f>
        <v>427</v>
      </c>
    </row>
    <row r="432" customFormat="false" ht="15" hidden="false" customHeight="true" outlineLevel="0" collapsed="false">
      <c r="A432" s="11" t="str">
        <f aca="false">IF($K432="","",IF(INDEX('Prospect Tracker'!$W$5:$W$554,$K432)="","",INDEX('Prospect Tracker'!$W$5:$W$554,$K432)))</f>
        <v/>
      </c>
      <c r="B432" s="11" t="str">
        <f aca="false">IF($K432="","",IF(INDEX('Prospect Tracker'!$A$5:$A$554,$K432)="","",INDEX('Prospect Tracker'!$A$5:$A$554,$K432)))</f>
        <v/>
      </c>
      <c r="C432" s="11" t="str">
        <f aca="false">IF($K432="","",IF(INDEX('Prospect Tracker'!$B$5:$B$554,$K432)="","",INDEX('Prospect Tracker'!$B$5:$B$554,$K432)))</f>
        <v/>
      </c>
      <c r="D432" s="11" t="str">
        <f aca="false">IF($K432="","",IF(INDEX('Prospect Tracker'!$M$5:$M$554,$K432)="","",INDEX('Prospect Tracker'!$M$5:$M$554,$K432)))</f>
        <v/>
      </c>
      <c r="E432" s="11" t="str">
        <f aca="false">IF($K432="","",IF(INDEX('Prospect Tracker'!$R$5:$R$554,$K432)="","",INDEX('Prospect Tracker'!$R$5:$R$554,$K432)))</f>
        <v/>
      </c>
      <c r="F432" s="11" t="str">
        <f aca="false">IF($K432="","",IF(INDEX('Prospect Tracker'!$J$5:$J$554,$K432)="","",INDEX('Prospect Tracker'!$J$5:$J$554,$K432)))</f>
        <v/>
      </c>
      <c r="G432" s="11" t="str">
        <f aca="false">IF($K432="","",IF(INDEX('Prospect Tracker'!$H$5:$H$554,$K432)="","",INDEX('Prospect Tracker'!$H$5:$H$554,$K432)))</f>
        <v/>
      </c>
      <c r="H432" s="12" t="str">
        <f aca="false">IF($K432="","",IF(INDEX('Prospect Tracker'!$K$5:$K$554,$K432)="","",INDEX('Prospect Tracker'!$K$5:$K$554,$K432)))</f>
        <v/>
      </c>
      <c r="I432" s="11" t="str">
        <f aca="false">IF($K432="","",IF(INDEX('Prospect Tracker'!$T$5:$T$554,$K432)="","",INDEX('Prospect Tracker'!$T$5:$T$554,$K432)))</f>
        <v/>
      </c>
      <c r="J432" s="11" t="str">
        <f aca="false">IF($K432="","",IF(INDEX('Prospect Tracker'!$L$5:$L$554,$K432)="","",INDEX('Prospect Tracker'!$L$5:$L$554,$K432)))</f>
        <v/>
      </c>
      <c r="K432" s="1" t="n">
        <f aca="false">IFERROR(MATCH(SMALL('Prospect Tracker'!$X$5:$X$554,ROW()-4),'Prospect Tracker'!$X$5:$X$554,0),"")</f>
        <v>428</v>
      </c>
    </row>
    <row r="433" customFormat="false" ht="15" hidden="false" customHeight="true" outlineLevel="0" collapsed="false">
      <c r="A433" s="6" t="str">
        <f aca="false">IF($K433="","",IF(INDEX('Prospect Tracker'!$W$5:$W$554,$K433)="","",INDEX('Prospect Tracker'!$W$5:$W$554,$K433)))</f>
        <v/>
      </c>
      <c r="B433" s="6" t="str">
        <f aca="false">IF($K433="","",IF(INDEX('Prospect Tracker'!$A$5:$A$554,$K433)="","",INDEX('Prospect Tracker'!$A$5:$A$554,$K433)))</f>
        <v/>
      </c>
      <c r="C433" s="6" t="str">
        <f aca="false">IF($K433="","",IF(INDEX('Prospect Tracker'!$B$5:$B$554,$K433)="","",INDEX('Prospect Tracker'!$B$5:$B$554,$K433)))</f>
        <v/>
      </c>
      <c r="D433" s="6" t="str">
        <f aca="false">IF($K433="","",IF(INDEX('Prospect Tracker'!$M$5:$M$554,$K433)="","",INDEX('Prospect Tracker'!$M$5:$M$554,$K433)))</f>
        <v/>
      </c>
      <c r="E433" s="6" t="str">
        <f aca="false">IF($K433="","",IF(INDEX('Prospect Tracker'!$R$5:$R$554,$K433)="","",INDEX('Prospect Tracker'!$R$5:$R$554,$K433)))</f>
        <v/>
      </c>
      <c r="F433" s="6" t="str">
        <f aca="false">IF($K433="","",IF(INDEX('Prospect Tracker'!$J$5:$J$554,$K433)="","",INDEX('Prospect Tracker'!$J$5:$J$554,$K433)))</f>
        <v/>
      </c>
      <c r="G433" s="6" t="str">
        <f aca="false">IF($K433="","",IF(INDEX('Prospect Tracker'!$H$5:$H$554,$K433)="","",INDEX('Prospect Tracker'!$H$5:$H$554,$K433)))</f>
        <v/>
      </c>
      <c r="H433" s="7" t="str">
        <f aca="false">IF($K433="","",IF(INDEX('Prospect Tracker'!$K$5:$K$554,$K433)="","",INDEX('Prospect Tracker'!$K$5:$K$554,$K433)))</f>
        <v/>
      </c>
      <c r="I433" s="6" t="str">
        <f aca="false">IF($K433="","",IF(INDEX('Prospect Tracker'!$T$5:$T$554,$K433)="","",INDEX('Prospect Tracker'!$T$5:$T$554,$K433)))</f>
        <v/>
      </c>
      <c r="J433" s="6" t="str">
        <f aca="false">IF($K433="","",IF(INDEX('Prospect Tracker'!$L$5:$L$554,$K433)="","",INDEX('Prospect Tracker'!$L$5:$L$554,$K433)))</f>
        <v/>
      </c>
      <c r="K433" s="1" t="n">
        <f aca="false">IFERROR(MATCH(SMALL('Prospect Tracker'!$X$5:$X$554,ROW()-4),'Prospect Tracker'!$X$5:$X$554,0),"")</f>
        <v>429</v>
      </c>
    </row>
    <row r="434" customFormat="false" ht="15" hidden="false" customHeight="true" outlineLevel="0" collapsed="false">
      <c r="A434" s="11" t="str">
        <f aca="false">IF($K434="","",IF(INDEX('Prospect Tracker'!$W$5:$W$554,$K434)="","",INDEX('Prospect Tracker'!$W$5:$W$554,$K434)))</f>
        <v/>
      </c>
      <c r="B434" s="11" t="str">
        <f aca="false">IF($K434="","",IF(INDEX('Prospect Tracker'!$A$5:$A$554,$K434)="","",INDEX('Prospect Tracker'!$A$5:$A$554,$K434)))</f>
        <v/>
      </c>
      <c r="C434" s="11" t="str">
        <f aca="false">IF($K434="","",IF(INDEX('Prospect Tracker'!$B$5:$B$554,$K434)="","",INDEX('Prospect Tracker'!$B$5:$B$554,$K434)))</f>
        <v/>
      </c>
      <c r="D434" s="11" t="str">
        <f aca="false">IF($K434="","",IF(INDEX('Prospect Tracker'!$M$5:$M$554,$K434)="","",INDEX('Prospect Tracker'!$M$5:$M$554,$K434)))</f>
        <v/>
      </c>
      <c r="E434" s="11" t="str">
        <f aca="false">IF($K434="","",IF(INDEX('Prospect Tracker'!$R$5:$R$554,$K434)="","",INDEX('Prospect Tracker'!$R$5:$R$554,$K434)))</f>
        <v/>
      </c>
      <c r="F434" s="11" t="str">
        <f aca="false">IF($K434="","",IF(INDEX('Prospect Tracker'!$J$5:$J$554,$K434)="","",INDEX('Prospect Tracker'!$J$5:$J$554,$K434)))</f>
        <v/>
      </c>
      <c r="G434" s="11" t="str">
        <f aca="false">IF($K434="","",IF(INDEX('Prospect Tracker'!$H$5:$H$554,$K434)="","",INDEX('Prospect Tracker'!$H$5:$H$554,$K434)))</f>
        <v/>
      </c>
      <c r="H434" s="12" t="str">
        <f aca="false">IF($K434="","",IF(INDEX('Prospect Tracker'!$K$5:$K$554,$K434)="","",INDEX('Prospect Tracker'!$K$5:$K$554,$K434)))</f>
        <v/>
      </c>
      <c r="I434" s="11" t="str">
        <f aca="false">IF($K434="","",IF(INDEX('Prospect Tracker'!$T$5:$T$554,$K434)="","",INDEX('Prospect Tracker'!$T$5:$T$554,$K434)))</f>
        <v/>
      </c>
      <c r="J434" s="11" t="str">
        <f aca="false">IF($K434="","",IF(INDEX('Prospect Tracker'!$L$5:$L$554,$K434)="","",INDEX('Prospect Tracker'!$L$5:$L$554,$K434)))</f>
        <v/>
      </c>
      <c r="K434" s="1" t="n">
        <f aca="false">IFERROR(MATCH(SMALL('Prospect Tracker'!$X$5:$X$554,ROW()-4),'Prospect Tracker'!$X$5:$X$554,0),"")</f>
        <v>430</v>
      </c>
    </row>
    <row r="435" customFormat="false" ht="15" hidden="false" customHeight="true" outlineLevel="0" collapsed="false">
      <c r="A435" s="6" t="str">
        <f aca="false">IF($K435="","",IF(INDEX('Prospect Tracker'!$W$5:$W$554,$K435)="","",INDEX('Prospect Tracker'!$W$5:$W$554,$K435)))</f>
        <v/>
      </c>
      <c r="B435" s="6" t="str">
        <f aca="false">IF($K435="","",IF(INDEX('Prospect Tracker'!$A$5:$A$554,$K435)="","",INDEX('Prospect Tracker'!$A$5:$A$554,$K435)))</f>
        <v/>
      </c>
      <c r="C435" s="6" t="str">
        <f aca="false">IF($K435="","",IF(INDEX('Prospect Tracker'!$B$5:$B$554,$K435)="","",INDEX('Prospect Tracker'!$B$5:$B$554,$K435)))</f>
        <v/>
      </c>
      <c r="D435" s="6" t="str">
        <f aca="false">IF($K435="","",IF(INDEX('Prospect Tracker'!$M$5:$M$554,$K435)="","",INDEX('Prospect Tracker'!$M$5:$M$554,$K435)))</f>
        <v/>
      </c>
      <c r="E435" s="6" t="str">
        <f aca="false">IF($K435="","",IF(INDEX('Prospect Tracker'!$R$5:$R$554,$K435)="","",INDEX('Prospect Tracker'!$R$5:$R$554,$K435)))</f>
        <v/>
      </c>
      <c r="F435" s="6" t="str">
        <f aca="false">IF($K435="","",IF(INDEX('Prospect Tracker'!$J$5:$J$554,$K435)="","",INDEX('Prospect Tracker'!$J$5:$J$554,$K435)))</f>
        <v/>
      </c>
      <c r="G435" s="6" t="str">
        <f aca="false">IF($K435="","",IF(INDEX('Prospect Tracker'!$H$5:$H$554,$K435)="","",INDEX('Prospect Tracker'!$H$5:$H$554,$K435)))</f>
        <v/>
      </c>
      <c r="H435" s="7" t="str">
        <f aca="false">IF($K435="","",IF(INDEX('Prospect Tracker'!$K$5:$K$554,$K435)="","",INDEX('Prospect Tracker'!$K$5:$K$554,$K435)))</f>
        <v/>
      </c>
      <c r="I435" s="6" t="str">
        <f aca="false">IF($K435="","",IF(INDEX('Prospect Tracker'!$T$5:$T$554,$K435)="","",INDEX('Prospect Tracker'!$T$5:$T$554,$K435)))</f>
        <v/>
      </c>
      <c r="J435" s="6" t="str">
        <f aca="false">IF($K435="","",IF(INDEX('Prospect Tracker'!$L$5:$L$554,$K435)="","",INDEX('Prospect Tracker'!$L$5:$L$554,$K435)))</f>
        <v/>
      </c>
      <c r="K435" s="1" t="n">
        <f aca="false">IFERROR(MATCH(SMALL('Prospect Tracker'!$X$5:$X$554,ROW()-4),'Prospect Tracker'!$X$5:$X$554,0),"")</f>
        <v>431</v>
      </c>
    </row>
    <row r="436" customFormat="false" ht="15" hidden="false" customHeight="true" outlineLevel="0" collapsed="false">
      <c r="A436" s="11" t="str">
        <f aca="false">IF($K436="","",IF(INDEX('Prospect Tracker'!$W$5:$W$554,$K436)="","",INDEX('Prospect Tracker'!$W$5:$W$554,$K436)))</f>
        <v/>
      </c>
      <c r="B436" s="11" t="str">
        <f aca="false">IF($K436="","",IF(INDEX('Prospect Tracker'!$A$5:$A$554,$K436)="","",INDEX('Prospect Tracker'!$A$5:$A$554,$K436)))</f>
        <v/>
      </c>
      <c r="C436" s="11" t="str">
        <f aca="false">IF($K436="","",IF(INDEX('Prospect Tracker'!$B$5:$B$554,$K436)="","",INDEX('Prospect Tracker'!$B$5:$B$554,$K436)))</f>
        <v/>
      </c>
      <c r="D436" s="11" t="str">
        <f aca="false">IF($K436="","",IF(INDEX('Prospect Tracker'!$M$5:$M$554,$K436)="","",INDEX('Prospect Tracker'!$M$5:$M$554,$K436)))</f>
        <v/>
      </c>
      <c r="E436" s="11" t="str">
        <f aca="false">IF($K436="","",IF(INDEX('Prospect Tracker'!$R$5:$R$554,$K436)="","",INDEX('Prospect Tracker'!$R$5:$R$554,$K436)))</f>
        <v/>
      </c>
      <c r="F436" s="11" t="str">
        <f aca="false">IF($K436="","",IF(INDEX('Prospect Tracker'!$J$5:$J$554,$K436)="","",INDEX('Prospect Tracker'!$J$5:$J$554,$K436)))</f>
        <v/>
      </c>
      <c r="G436" s="11" t="str">
        <f aca="false">IF($K436="","",IF(INDEX('Prospect Tracker'!$H$5:$H$554,$K436)="","",INDEX('Prospect Tracker'!$H$5:$H$554,$K436)))</f>
        <v/>
      </c>
      <c r="H436" s="12" t="str">
        <f aca="false">IF($K436="","",IF(INDEX('Prospect Tracker'!$K$5:$K$554,$K436)="","",INDEX('Prospect Tracker'!$K$5:$K$554,$K436)))</f>
        <v/>
      </c>
      <c r="I436" s="11" t="str">
        <f aca="false">IF($K436="","",IF(INDEX('Prospect Tracker'!$T$5:$T$554,$K436)="","",INDEX('Prospect Tracker'!$T$5:$T$554,$K436)))</f>
        <v/>
      </c>
      <c r="J436" s="11" t="str">
        <f aca="false">IF($K436="","",IF(INDEX('Prospect Tracker'!$L$5:$L$554,$K436)="","",INDEX('Prospect Tracker'!$L$5:$L$554,$K436)))</f>
        <v/>
      </c>
      <c r="K436" s="1" t="n">
        <f aca="false">IFERROR(MATCH(SMALL('Prospect Tracker'!$X$5:$X$554,ROW()-4),'Prospect Tracker'!$X$5:$X$554,0),"")</f>
        <v>432</v>
      </c>
    </row>
    <row r="437" customFormat="false" ht="15" hidden="false" customHeight="true" outlineLevel="0" collapsed="false">
      <c r="A437" s="6" t="str">
        <f aca="false">IF($K437="","",IF(INDEX('Prospect Tracker'!$W$5:$W$554,$K437)="","",INDEX('Prospect Tracker'!$W$5:$W$554,$K437)))</f>
        <v/>
      </c>
      <c r="B437" s="6" t="str">
        <f aca="false">IF($K437="","",IF(INDEX('Prospect Tracker'!$A$5:$A$554,$K437)="","",INDEX('Prospect Tracker'!$A$5:$A$554,$K437)))</f>
        <v/>
      </c>
      <c r="C437" s="6" t="str">
        <f aca="false">IF($K437="","",IF(INDEX('Prospect Tracker'!$B$5:$B$554,$K437)="","",INDEX('Prospect Tracker'!$B$5:$B$554,$K437)))</f>
        <v/>
      </c>
      <c r="D437" s="6" t="str">
        <f aca="false">IF($K437="","",IF(INDEX('Prospect Tracker'!$M$5:$M$554,$K437)="","",INDEX('Prospect Tracker'!$M$5:$M$554,$K437)))</f>
        <v/>
      </c>
      <c r="E437" s="6" t="str">
        <f aca="false">IF($K437="","",IF(INDEX('Prospect Tracker'!$R$5:$R$554,$K437)="","",INDEX('Prospect Tracker'!$R$5:$R$554,$K437)))</f>
        <v/>
      </c>
      <c r="F437" s="6" t="str">
        <f aca="false">IF($K437="","",IF(INDEX('Prospect Tracker'!$J$5:$J$554,$K437)="","",INDEX('Prospect Tracker'!$J$5:$J$554,$K437)))</f>
        <v/>
      </c>
      <c r="G437" s="6" t="str">
        <f aca="false">IF($K437="","",IF(INDEX('Prospect Tracker'!$H$5:$H$554,$K437)="","",INDEX('Prospect Tracker'!$H$5:$H$554,$K437)))</f>
        <v/>
      </c>
      <c r="H437" s="7" t="str">
        <f aca="false">IF($K437="","",IF(INDEX('Prospect Tracker'!$K$5:$K$554,$K437)="","",INDEX('Prospect Tracker'!$K$5:$K$554,$K437)))</f>
        <v/>
      </c>
      <c r="I437" s="6" t="str">
        <f aca="false">IF($K437="","",IF(INDEX('Prospect Tracker'!$T$5:$T$554,$K437)="","",INDEX('Prospect Tracker'!$T$5:$T$554,$K437)))</f>
        <v/>
      </c>
      <c r="J437" s="6" t="str">
        <f aca="false">IF($K437="","",IF(INDEX('Prospect Tracker'!$L$5:$L$554,$K437)="","",INDEX('Prospect Tracker'!$L$5:$L$554,$K437)))</f>
        <v/>
      </c>
      <c r="K437" s="1" t="n">
        <f aca="false">IFERROR(MATCH(SMALL('Prospect Tracker'!$X$5:$X$554,ROW()-4),'Prospect Tracker'!$X$5:$X$554,0),"")</f>
        <v>433</v>
      </c>
    </row>
    <row r="438" customFormat="false" ht="15" hidden="false" customHeight="true" outlineLevel="0" collapsed="false">
      <c r="A438" s="11" t="str">
        <f aca="false">IF($K438="","",IF(INDEX('Prospect Tracker'!$W$5:$W$554,$K438)="","",INDEX('Prospect Tracker'!$W$5:$W$554,$K438)))</f>
        <v/>
      </c>
      <c r="B438" s="11" t="str">
        <f aca="false">IF($K438="","",IF(INDEX('Prospect Tracker'!$A$5:$A$554,$K438)="","",INDEX('Prospect Tracker'!$A$5:$A$554,$K438)))</f>
        <v/>
      </c>
      <c r="C438" s="11" t="str">
        <f aca="false">IF($K438="","",IF(INDEX('Prospect Tracker'!$B$5:$B$554,$K438)="","",INDEX('Prospect Tracker'!$B$5:$B$554,$K438)))</f>
        <v/>
      </c>
      <c r="D438" s="11" t="str">
        <f aca="false">IF($K438="","",IF(INDEX('Prospect Tracker'!$M$5:$M$554,$K438)="","",INDEX('Prospect Tracker'!$M$5:$M$554,$K438)))</f>
        <v/>
      </c>
      <c r="E438" s="11" t="str">
        <f aca="false">IF($K438="","",IF(INDEX('Prospect Tracker'!$R$5:$R$554,$K438)="","",INDEX('Prospect Tracker'!$R$5:$R$554,$K438)))</f>
        <v/>
      </c>
      <c r="F438" s="11" t="str">
        <f aca="false">IF($K438="","",IF(INDEX('Prospect Tracker'!$J$5:$J$554,$K438)="","",INDEX('Prospect Tracker'!$J$5:$J$554,$K438)))</f>
        <v/>
      </c>
      <c r="G438" s="11" t="str">
        <f aca="false">IF($K438="","",IF(INDEX('Prospect Tracker'!$H$5:$H$554,$K438)="","",INDEX('Prospect Tracker'!$H$5:$H$554,$K438)))</f>
        <v/>
      </c>
      <c r="H438" s="12" t="str">
        <f aca="false">IF($K438="","",IF(INDEX('Prospect Tracker'!$K$5:$K$554,$K438)="","",INDEX('Prospect Tracker'!$K$5:$K$554,$K438)))</f>
        <v/>
      </c>
      <c r="I438" s="11" t="str">
        <f aca="false">IF($K438="","",IF(INDEX('Prospect Tracker'!$T$5:$T$554,$K438)="","",INDEX('Prospect Tracker'!$T$5:$T$554,$K438)))</f>
        <v/>
      </c>
      <c r="J438" s="11" t="str">
        <f aca="false">IF($K438="","",IF(INDEX('Prospect Tracker'!$L$5:$L$554,$K438)="","",INDEX('Prospect Tracker'!$L$5:$L$554,$K438)))</f>
        <v/>
      </c>
      <c r="K438" s="1" t="n">
        <f aca="false">IFERROR(MATCH(SMALL('Prospect Tracker'!$X$5:$X$554,ROW()-4),'Prospect Tracker'!$X$5:$X$554,0),"")</f>
        <v>434</v>
      </c>
    </row>
    <row r="439" customFormat="false" ht="15" hidden="false" customHeight="true" outlineLevel="0" collapsed="false">
      <c r="A439" s="6" t="str">
        <f aca="false">IF($K439="","",IF(INDEX('Prospect Tracker'!$W$5:$W$554,$K439)="","",INDEX('Prospect Tracker'!$W$5:$W$554,$K439)))</f>
        <v/>
      </c>
      <c r="B439" s="6" t="str">
        <f aca="false">IF($K439="","",IF(INDEX('Prospect Tracker'!$A$5:$A$554,$K439)="","",INDEX('Prospect Tracker'!$A$5:$A$554,$K439)))</f>
        <v/>
      </c>
      <c r="C439" s="6" t="str">
        <f aca="false">IF($K439="","",IF(INDEX('Prospect Tracker'!$B$5:$B$554,$K439)="","",INDEX('Prospect Tracker'!$B$5:$B$554,$K439)))</f>
        <v/>
      </c>
      <c r="D439" s="6" t="str">
        <f aca="false">IF($K439="","",IF(INDEX('Prospect Tracker'!$M$5:$M$554,$K439)="","",INDEX('Prospect Tracker'!$M$5:$M$554,$K439)))</f>
        <v/>
      </c>
      <c r="E439" s="6" t="str">
        <f aca="false">IF($K439="","",IF(INDEX('Prospect Tracker'!$R$5:$R$554,$K439)="","",INDEX('Prospect Tracker'!$R$5:$R$554,$K439)))</f>
        <v/>
      </c>
      <c r="F439" s="6" t="str">
        <f aca="false">IF($K439="","",IF(INDEX('Prospect Tracker'!$J$5:$J$554,$K439)="","",INDEX('Prospect Tracker'!$J$5:$J$554,$K439)))</f>
        <v/>
      </c>
      <c r="G439" s="6" t="str">
        <f aca="false">IF($K439="","",IF(INDEX('Prospect Tracker'!$H$5:$H$554,$K439)="","",INDEX('Prospect Tracker'!$H$5:$H$554,$K439)))</f>
        <v/>
      </c>
      <c r="H439" s="7" t="str">
        <f aca="false">IF($K439="","",IF(INDEX('Prospect Tracker'!$K$5:$K$554,$K439)="","",INDEX('Prospect Tracker'!$K$5:$K$554,$K439)))</f>
        <v/>
      </c>
      <c r="I439" s="6" t="str">
        <f aca="false">IF($K439="","",IF(INDEX('Prospect Tracker'!$T$5:$T$554,$K439)="","",INDEX('Prospect Tracker'!$T$5:$T$554,$K439)))</f>
        <v/>
      </c>
      <c r="J439" s="6" t="str">
        <f aca="false">IF($K439="","",IF(INDEX('Prospect Tracker'!$L$5:$L$554,$K439)="","",INDEX('Prospect Tracker'!$L$5:$L$554,$K439)))</f>
        <v/>
      </c>
      <c r="K439" s="1" t="n">
        <f aca="false">IFERROR(MATCH(SMALL('Prospect Tracker'!$X$5:$X$554,ROW()-4),'Prospect Tracker'!$X$5:$X$554,0),"")</f>
        <v>435</v>
      </c>
    </row>
    <row r="440" customFormat="false" ht="15" hidden="false" customHeight="true" outlineLevel="0" collapsed="false">
      <c r="A440" s="11" t="str">
        <f aca="false">IF($K440="","",IF(INDEX('Prospect Tracker'!$W$5:$W$554,$K440)="","",INDEX('Prospect Tracker'!$W$5:$W$554,$K440)))</f>
        <v/>
      </c>
      <c r="B440" s="11" t="str">
        <f aca="false">IF($K440="","",IF(INDEX('Prospect Tracker'!$A$5:$A$554,$K440)="","",INDEX('Prospect Tracker'!$A$5:$A$554,$K440)))</f>
        <v/>
      </c>
      <c r="C440" s="11" t="str">
        <f aca="false">IF($K440="","",IF(INDEX('Prospect Tracker'!$B$5:$B$554,$K440)="","",INDEX('Prospect Tracker'!$B$5:$B$554,$K440)))</f>
        <v/>
      </c>
      <c r="D440" s="11" t="str">
        <f aca="false">IF($K440="","",IF(INDEX('Prospect Tracker'!$M$5:$M$554,$K440)="","",INDEX('Prospect Tracker'!$M$5:$M$554,$K440)))</f>
        <v/>
      </c>
      <c r="E440" s="11" t="str">
        <f aca="false">IF($K440="","",IF(INDEX('Prospect Tracker'!$R$5:$R$554,$K440)="","",INDEX('Prospect Tracker'!$R$5:$R$554,$K440)))</f>
        <v/>
      </c>
      <c r="F440" s="11" t="str">
        <f aca="false">IF($K440="","",IF(INDEX('Prospect Tracker'!$J$5:$J$554,$K440)="","",INDEX('Prospect Tracker'!$J$5:$J$554,$K440)))</f>
        <v/>
      </c>
      <c r="G440" s="11" t="str">
        <f aca="false">IF($K440="","",IF(INDEX('Prospect Tracker'!$H$5:$H$554,$K440)="","",INDEX('Prospect Tracker'!$H$5:$H$554,$K440)))</f>
        <v/>
      </c>
      <c r="H440" s="12" t="str">
        <f aca="false">IF($K440="","",IF(INDEX('Prospect Tracker'!$K$5:$K$554,$K440)="","",INDEX('Prospect Tracker'!$K$5:$K$554,$K440)))</f>
        <v/>
      </c>
      <c r="I440" s="11" t="str">
        <f aca="false">IF($K440="","",IF(INDEX('Prospect Tracker'!$T$5:$T$554,$K440)="","",INDEX('Prospect Tracker'!$T$5:$T$554,$K440)))</f>
        <v/>
      </c>
      <c r="J440" s="11" t="str">
        <f aca="false">IF($K440="","",IF(INDEX('Prospect Tracker'!$L$5:$L$554,$K440)="","",INDEX('Prospect Tracker'!$L$5:$L$554,$K440)))</f>
        <v/>
      </c>
      <c r="K440" s="1" t="n">
        <f aca="false">IFERROR(MATCH(SMALL('Prospect Tracker'!$X$5:$X$554,ROW()-4),'Prospect Tracker'!$X$5:$X$554,0),"")</f>
        <v>436</v>
      </c>
    </row>
    <row r="441" customFormat="false" ht="15" hidden="false" customHeight="true" outlineLevel="0" collapsed="false">
      <c r="A441" s="6" t="str">
        <f aca="false">IF($K441="","",IF(INDEX('Prospect Tracker'!$W$5:$W$554,$K441)="","",INDEX('Prospect Tracker'!$W$5:$W$554,$K441)))</f>
        <v/>
      </c>
      <c r="B441" s="6" t="str">
        <f aca="false">IF($K441="","",IF(INDEX('Prospect Tracker'!$A$5:$A$554,$K441)="","",INDEX('Prospect Tracker'!$A$5:$A$554,$K441)))</f>
        <v/>
      </c>
      <c r="C441" s="6" t="str">
        <f aca="false">IF($K441="","",IF(INDEX('Prospect Tracker'!$B$5:$B$554,$K441)="","",INDEX('Prospect Tracker'!$B$5:$B$554,$K441)))</f>
        <v/>
      </c>
      <c r="D441" s="6" t="str">
        <f aca="false">IF($K441="","",IF(INDEX('Prospect Tracker'!$M$5:$M$554,$K441)="","",INDEX('Prospect Tracker'!$M$5:$M$554,$K441)))</f>
        <v/>
      </c>
      <c r="E441" s="6" t="str">
        <f aca="false">IF($K441="","",IF(INDEX('Prospect Tracker'!$R$5:$R$554,$K441)="","",INDEX('Prospect Tracker'!$R$5:$R$554,$K441)))</f>
        <v/>
      </c>
      <c r="F441" s="6" t="str">
        <f aca="false">IF($K441="","",IF(INDEX('Prospect Tracker'!$J$5:$J$554,$K441)="","",INDEX('Prospect Tracker'!$J$5:$J$554,$K441)))</f>
        <v/>
      </c>
      <c r="G441" s="6" t="str">
        <f aca="false">IF($K441="","",IF(INDEX('Prospect Tracker'!$H$5:$H$554,$K441)="","",INDEX('Prospect Tracker'!$H$5:$H$554,$K441)))</f>
        <v/>
      </c>
      <c r="H441" s="7" t="str">
        <f aca="false">IF($K441="","",IF(INDEX('Prospect Tracker'!$K$5:$K$554,$K441)="","",INDEX('Prospect Tracker'!$K$5:$K$554,$K441)))</f>
        <v/>
      </c>
      <c r="I441" s="6" t="str">
        <f aca="false">IF($K441="","",IF(INDEX('Prospect Tracker'!$T$5:$T$554,$K441)="","",INDEX('Prospect Tracker'!$T$5:$T$554,$K441)))</f>
        <v/>
      </c>
      <c r="J441" s="6" t="str">
        <f aca="false">IF($K441="","",IF(INDEX('Prospect Tracker'!$L$5:$L$554,$K441)="","",INDEX('Prospect Tracker'!$L$5:$L$554,$K441)))</f>
        <v/>
      </c>
      <c r="K441" s="1" t="n">
        <f aca="false">IFERROR(MATCH(SMALL('Prospect Tracker'!$X$5:$X$554,ROW()-4),'Prospect Tracker'!$X$5:$X$554,0),"")</f>
        <v>437</v>
      </c>
    </row>
    <row r="442" customFormat="false" ht="15" hidden="false" customHeight="true" outlineLevel="0" collapsed="false">
      <c r="A442" s="11" t="str">
        <f aca="false">IF($K442="","",IF(INDEX('Prospect Tracker'!$W$5:$W$554,$K442)="","",INDEX('Prospect Tracker'!$W$5:$W$554,$K442)))</f>
        <v/>
      </c>
      <c r="B442" s="11" t="str">
        <f aca="false">IF($K442="","",IF(INDEX('Prospect Tracker'!$A$5:$A$554,$K442)="","",INDEX('Prospect Tracker'!$A$5:$A$554,$K442)))</f>
        <v/>
      </c>
      <c r="C442" s="11" t="str">
        <f aca="false">IF($K442="","",IF(INDEX('Prospect Tracker'!$B$5:$B$554,$K442)="","",INDEX('Prospect Tracker'!$B$5:$B$554,$K442)))</f>
        <v/>
      </c>
      <c r="D442" s="11" t="str">
        <f aca="false">IF($K442="","",IF(INDEX('Prospect Tracker'!$M$5:$M$554,$K442)="","",INDEX('Prospect Tracker'!$M$5:$M$554,$K442)))</f>
        <v/>
      </c>
      <c r="E442" s="11" t="str">
        <f aca="false">IF($K442="","",IF(INDEX('Prospect Tracker'!$R$5:$R$554,$K442)="","",INDEX('Prospect Tracker'!$R$5:$R$554,$K442)))</f>
        <v/>
      </c>
      <c r="F442" s="11" t="str">
        <f aca="false">IF($K442="","",IF(INDEX('Prospect Tracker'!$J$5:$J$554,$K442)="","",INDEX('Prospect Tracker'!$J$5:$J$554,$K442)))</f>
        <v/>
      </c>
      <c r="G442" s="11" t="str">
        <f aca="false">IF($K442="","",IF(INDEX('Prospect Tracker'!$H$5:$H$554,$K442)="","",INDEX('Prospect Tracker'!$H$5:$H$554,$K442)))</f>
        <v/>
      </c>
      <c r="H442" s="12" t="str">
        <f aca="false">IF($K442="","",IF(INDEX('Prospect Tracker'!$K$5:$K$554,$K442)="","",INDEX('Prospect Tracker'!$K$5:$K$554,$K442)))</f>
        <v/>
      </c>
      <c r="I442" s="11" t="str">
        <f aca="false">IF($K442="","",IF(INDEX('Prospect Tracker'!$T$5:$T$554,$K442)="","",INDEX('Prospect Tracker'!$T$5:$T$554,$K442)))</f>
        <v/>
      </c>
      <c r="J442" s="11" t="str">
        <f aca="false">IF($K442="","",IF(INDEX('Prospect Tracker'!$L$5:$L$554,$K442)="","",INDEX('Prospect Tracker'!$L$5:$L$554,$K442)))</f>
        <v/>
      </c>
      <c r="K442" s="1" t="n">
        <f aca="false">IFERROR(MATCH(SMALL('Prospect Tracker'!$X$5:$X$554,ROW()-4),'Prospect Tracker'!$X$5:$X$554,0),"")</f>
        <v>438</v>
      </c>
    </row>
    <row r="443" customFormat="false" ht="15" hidden="false" customHeight="true" outlineLevel="0" collapsed="false">
      <c r="A443" s="6" t="str">
        <f aca="false">IF($K443="","",IF(INDEX('Prospect Tracker'!$W$5:$W$554,$K443)="","",INDEX('Prospect Tracker'!$W$5:$W$554,$K443)))</f>
        <v/>
      </c>
      <c r="B443" s="6" t="str">
        <f aca="false">IF($K443="","",IF(INDEX('Prospect Tracker'!$A$5:$A$554,$K443)="","",INDEX('Prospect Tracker'!$A$5:$A$554,$K443)))</f>
        <v/>
      </c>
      <c r="C443" s="6" t="str">
        <f aca="false">IF($K443="","",IF(INDEX('Prospect Tracker'!$B$5:$B$554,$K443)="","",INDEX('Prospect Tracker'!$B$5:$B$554,$K443)))</f>
        <v/>
      </c>
      <c r="D443" s="6" t="str">
        <f aca="false">IF($K443="","",IF(INDEX('Prospect Tracker'!$M$5:$M$554,$K443)="","",INDEX('Prospect Tracker'!$M$5:$M$554,$K443)))</f>
        <v/>
      </c>
      <c r="E443" s="6" t="str">
        <f aca="false">IF($K443="","",IF(INDEX('Prospect Tracker'!$R$5:$R$554,$K443)="","",INDEX('Prospect Tracker'!$R$5:$R$554,$K443)))</f>
        <v/>
      </c>
      <c r="F443" s="6" t="str">
        <f aca="false">IF($K443="","",IF(INDEX('Prospect Tracker'!$J$5:$J$554,$K443)="","",INDEX('Prospect Tracker'!$J$5:$J$554,$K443)))</f>
        <v/>
      </c>
      <c r="G443" s="6" t="str">
        <f aca="false">IF($K443="","",IF(INDEX('Prospect Tracker'!$H$5:$H$554,$K443)="","",INDEX('Prospect Tracker'!$H$5:$H$554,$K443)))</f>
        <v/>
      </c>
      <c r="H443" s="7" t="str">
        <f aca="false">IF($K443="","",IF(INDEX('Prospect Tracker'!$K$5:$K$554,$K443)="","",INDEX('Prospect Tracker'!$K$5:$K$554,$K443)))</f>
        <v/>
      </c>
      <c r="I443" s="6" t="str">
        <f aca="false">IF($K443="","",IF(INDEX('Prospect Tracker'!$T$5:$T$554,$K443)="","",INDEX('Prospect Tracker'!$T$5:$T$554,$K443)))</f>
        <v/>
      </c>
      <c r="J443" s="6" t="str">
        <f aca="false">IF($K443="","",IF(INDEX('Prospect Tracker'!$L$5:$L$554,$K443)="","",INDEX('Prospect Tracker'!$L$5:$L$554,$K443)))</f>
        <v/>
      </c>
      <c r="K443" s="1" t="n">
        <f aca="false">IFERROR(MATCH(SMALL('Prospect Tracker'!$X$5:$X$554,ROW()-4),'Prospect Tracker'!$X$5:$X$554,0),"")</f>
        <v>439</v>
      </c>
    </row>
    <row r="444" customFormat="false" ht="15" hidden="false" customHeight="true" outlineLevel="0" collapsed="false">
      <c r="A444" s="11" t="str">
        <f aca="false">IF($K444="","",IF(INDEX('Prospect Tracker'!$W$5:$W$554,$K444)="","",INDEX('Prospect Tracker'!$W$5:$W$554,$K444)))</f>
        <v/>
      </c>
      <c r="B444" s="11" t="str">
        <f aca="false">IF($K444="","",IF(INDEX('Prospect Tracker'!$A$5:$A$554,$K444)="","",INDEX('Prospect Tracker'!$A$5:$A$554,$K444)))</f>
        <v/>
      </c>
      <c r="C444" s="11" t="str">
        <f aca="false">IF($K444="","",IF(INDEX('Prospect Tracker'!$B$5:$B$554,$K444)="","",INDEX('Prospect Tracker'!$B$5:$B$554,$K444)))</f>
        <v/>
      </c>
      <c r="D444" s="11" t="str">
        <f aca="false">IF($K444="","",IF(INDEX('Prospect Tracker'!$M$5:$M$554,$K444)="","",INDEX('Prospect Tracker'!$M$5:$M$554,$K444)))</f>
        <v/>
      </c>
      <c r="E444" s="11" t="str">
        <f aca="false">IF($K444="","",IF(INDEX('Prospect Tracker'!$R$5:$R$554,$K444)="","",INDEX('Prospect Tracker'!$R$5:$R$554,$K444)))</f>
        <v/>
      </c>
      <c r="F444" s="11" t="str">
        <f aca="false">IF($K444="","",IF(INDEX('Prospect Tracker'!$J$5:$J$554,$K444)="","",INDEX('Prospect Tracker'!$J$5:$J$554,$K444)))</f>
        <v/>
      </c>
      <c r="G444" s="11" t="str">
        <f aca="false">IF($K444="","",IF(INDEX('Prospect Tracker'!$H$5:$H$554,$K444)="","",INDEX('Prospect Tracker'!$H$5:$H$554,$K444)))</f>
        <v/>
      </c>
      <c r="H444" s="12" t="str">
        <f aca="false">IF($K444="","",IF(INDEX('Prospect Tracker'!$K$5:$K$554,$K444)="","",INDEX('Prospect Tracker'!$K$5:$K$554,$K444)))</f>
        <v/>
      </c>
      <c r="I444" s="11" t="str">
        <f aca="false">IF($K444="","",IF(INDEX('Prospect Tracker'!$T$5:$T$554,$K444)="","",INDEX('Prospect Tracker'!$T$5:$T$554,$K444)))</f>
        <v/>
      </c>
      <c r="J444" s="11" t="str">
        <f aca="false">IF($K444="","",IF(INDEX('Prospect Tracker'!$L$5:$L$554,$K444)="","",INDEX('Prospect Tracker'!$L$5:$L$554,$K444)))</f>
        <v/>
      </c>
      <c r="K444" s="1" t="n">
        <f aca="false">IFERROR(MATCH(SMALL('Prospect Tracker'!$X$5:$X$554,ROW()-4),'Prospect Tracker'!$X$5:$X$554,0),"")</f>
        <v>440</v>
      </c>
    </row>
    <row r="445" customFormat="false" ht="15" hidden="false" customHeight="true" outlineLevel="0" collapsed="false">
      <c r="A445" s="6" t="str">
        <f aca="false">IF($K445="","",IF(INDEX('Prospect Tracker'!$W$5:$W$554,$K445)="","",INDEX('Prospect Tracker'!$W$5:$W$554,$K445)))</f>
        <v/>
      </c>
      <c r="B445" s="6" t="str">
        <f aca="false">IF($K445="","",IF(INDEX('Prospect Tracker'!$A$5:$A$554,$K445)="","",INDEX('Prospect Tracker'!$A$5:$A$554,$K445)))</f>
        <v/>
      </c>
      <c r="C445" s="6" t="str">
        <f aca="false">IF($K445="","",IF(INDEX('Prospect Tracker'!$B$5:$B$554,$K445)="","",INDEX('Prospect Tracker'!$B$5:$B$554,$K445)))</f>
        <v/>
      </c>
      <c r="D445" s="6" t="str">
        <f aca="false">IF($K445="","",IF(INDEX('Prospect Tracker'!$M$5:$M$554,$K445)="","",INDEX('Prospect Tracker'!$M$5:$M$554,$K445)))</f>
        <v/>
      </c>
      <c r="E445" s="6" t="str">
        <f aca="false">IF($K445="","",IF(INDEX('Prospect Tracker'!$R$5:$R$554,$K445)="","",INDEX('Prospect Tracker'!$R$5:$R$554,$K445)))</f>
        <v/>
      </c>
      <c r="F445" s="6" t="str">
        <f aca="false">IF($K445="","",IF(INDEX('Prospect Tracker'!$J$5:$J$554,$K445)="","",INDEX('Prospect Tracker'!$J$5:$J$554,$K445)))</f>
        <v/>
      </c>
      <c r="G445" s="6" t="str">
        <f aca="false">IF($K445="","",IF(INDEX('Prospect Tracker'!$H$5:$H$554,$K445)="","",INDEX('Prospect Tracker'!$H$5:$H$554,$K445)))</f>
        <v/>
      </c>
      <c r="H445" s="7" t="str">
        <f aca="false">IF($K445="","",IF(INDEX('Prospect Tracker'!$K$5:$K$554,$K445)="","",INDEX('Prospect Tracker'!$K$5:$K$554,$K445)))</f>
        <v/>
      </c>
      <c r="I445" s="6" t="str">
        <f aca="false">IF($K445="","",IF(INDEX('Prospect Tracker'!$T$5:$T$554,$K445)="","",INDEX('Prospect Tracker'!$T$5:$T$554,$K445)))</f>
        <v/>
      </c>
      <c r="J445" s="6" t="str">
        <f aca="false">IF($K445="","",IF(INDEX('Prospect Tracker'!$L$5:$L$554,$K445)="","",INDEX('Prospect Tracker'!$L$5:$L$554,$K445)))</f>
        <v/>
      </c>
      <c r="K445" s="1" t="n">
        <f aca="false">IFERROR(MATCH(SMALL('Prospect Tracker'!$X$5:$X$554,ROW()-4),'Prospect Tracker'!$X$5:$X$554,0),"")</f>
        <v>441</v>
      </c>
    </row>
    <row r="446" customFormat="false" ht="15" hidden="false" customHeight="true" outlineLevel="0" collapsed="false">
      <c r="A446" s="11" t="str">
        <f aca="false">IF($K446="","",IF(INDEX('Prospect Tracker'!$W$5:$W$554,$K446)="","",INDEX('Prospect Tracker'!$W$5:$W$554,$K446)))</f>
        <v/>
      </c>
      <c r="B446" s="11" t="str">
        <f aca="false">IF($K446="","",IF(INDEX('Prospect Tracker'!$A$5:$A$554,$K446)="","",INDEX('Prospect Tracker'!$A$5:$A$554,$K446)))</f>
        <v/>
      </c>
      <c r="C446" s="11" t="str">
        <f aca="false">IF($K446="","",IF(INDEX('Prospect Tracker'!$B$5:$B$554,$K446)="","",INDEX('Prospect Tracker'!$B$5:$B$554,$K446)))</f>
        <v/>
      </c>
      <c r="D446" s="11" t="str">
        <f aca="false">IF($K446="","",IF(INDEX('Prospect Tracker'!$M$5:$M$554,$K446)="","",INDEX('Prospect Tracker'!$M$5:$M$554,$K446)))</f>
        <v/>
      </c>
      <c r="E446" s="11" t="str">
        <f aca="false">IF($K446="","",IF(INDEX('Prospect Tracker'!$R$5:$R$554,$K446)="","",INDEX('Prospect Tracker'!$R$5:$R$554,$K446)))</f>
        <v/>
      </c>
      <c r="F446" s="11" t="str">
        <f aca="false">IF($K446="","",IF(INDEX('Prospect Tracker'!$J$5:$J$554,$K446)="","",INDEX('Prospect Tracker'!$J$5:$J$554,$K446)))</f>
        <v/>
      </c>
      <c r="G446" s="11" t="str">
        <f aca="false">IF($K446="","",IF(INDEX('Prospect Tracker'!$H$5:$H$554,$K446)="","",INDEX('Prospect Tracker'!$H$5:$H$554,$K446)))</f>
        <v/>
      </c>
      <c r="H446" s="12" t="str">
        <f aca="false">IF($K446="","",IF(INDEX('Prospect Tracker'!$K$5:$K$554,$K446)="","",INDEX('Prospect Tracker'!$K$5:$K$554,$K446)))</f>
        <v/>
      </c>
      <c r="I446" s="11" t="str">
        <f aca="false">IF($K446="","",IF(INDEX('Prospect Tracker'!$T$5:$T$554,$K446)="","",INDEX('Prospect Tracker'!$T$5:$T$554,$K446)))</f>
        <v/>
      </c>
      <c r="J446" s="11" t="str">
        <f aca="false">IF($K446="","",IF(INDEX('Prospect Tracker'!$L$5:$L$554,$K446)="","",INDEX('Prospect Tracker'!$L$5:$L$554,$K446)))</f>
        <v/>
      </c>
      <c r="K446" s="1" t="n">
        <f aca="false">IFERROR(MATCH(SMALL('Prospect Tracker'!$X$5:$X$554,ROW()-4),'Prospect Tracker'!$X$5:$X$554,0),"")</f>
        <v>442</v>
      </c>
    </row>
    <row r="447" customFormat="false" ht="15" hidden="false" customHeight="true" outlineLevel="0" collapsed="false">
      <c r="A447" s="6" t="str">
        <f aca="false">IF($K447="","",IF(INDEX('Prospect Tracker'!$W$5:$W$554,$K447)="","",INDEX('Prospect Tracker'!$W$5:$W$554,$K447)))</f>
        <v/>
      </c>
      <c r="B447" s="6" t="str">
        <f aca="false">IF($K447="","",IF(INDEX('Prospect Tracker'!$A$5:$A$554,$K447)="","",INDEX('Prospect Tracker'!$A$5:$A$554,$K447)))</f>
        <v/>
      </c>
      <c r="C447" s="6" t="str">
        <f aca="false">IF($K447="","",IF(INDEX('Prospect Tracker'!$B$5:$B$554,$K447)="","",INDEX('Prospect Tracker'!$B$5:$B$554,$K447)))</f>
        <v/>
      </c>
      <c r="D447" s="6" t="str">
        <f aca="false">IF($K447="","",IF(INDEX('Prospect Tracker'!$M$5:$M$554,$K447)="","",INDEX('Prospect Tracker'!$M$5:$M$554,$K447)))</f>
        <v/>
      </c>
      <c r="E447" s="6" t="str">
        <f aca="false">IF($K447="","",IF(INDEX('Prospect Tracker'!$R$5:$R$554,$K447)="","",INDEX('Prospect Tracker'!$R$5:$R$554,$K447)))</f>
        <v/>
      </c>
      <c r="F447" s="6" t="str">
        <f aca="false">IF($K447="","",IF(INDEX('Prospect Tracker'!$J$5:$J$554,$K447)="","",INDEX('Prospect Tracker'!$J$5:$J$554,$K447)))</f>
        <v/>
      </c>
      <c r="G447" s="6" t="str">
        <f aca="false">IF($K447="","",IF(INDEX('Prospect Tracker'!$H$5:$H$554,$K447)="","",INDEX('Prospect Tracker'!$H$5:$H$554,$K447)))</f>
        <v/>
      </c>
      <c r="H447" s="7" t="str">
        <f aca="false">IF($K447="","",IF(INDEX('Prospect Tracker'!$K$5:$K$554,$K447)="","",INDEX('Prospect Tracker'!$K$5:$K$554,$K447)))</f>
        <v/>
      </c>
      <c r="I447" s="6" t="str">
        <f aca="false">IF($K447="","",IF(INDEX('Prospect Tracker'!$T$5:$T$554,$K447)="","",INDEX('Prospect Tracker'!$T$5:$T$554,$K447)))</f>
        <v/>
      </c>
      <c r="J447" s="6" t="str">
        <f aca="false">IF($K447="","",IF(INDEX('Prospect Tracker'!$L$5:$L$554,$K447)="","",INDEX('Prospect Tracker'!$L$5:$L$554,$K447)))</f>
        <v/>
      </c>
      <c r="K447" s="1" t="n">
        <f aca="false">IFERROR(MATCH(SMALL('Prospect Tracker'!$X$5:$X$554,ROW()-4),'Prospect Tracker'!$X$5:$X$554,0),"")</f>
        <v>443</v>
      </c>
    </row>
    <row r="448" customFormat="false" ht="15" hidden="false" customHeight="true" outlineLevel="0" collapsed="false">
      <c r="A448" s="11" t="str">
        <f aca="false">IF($K448="","",IF(INDEX('Prospect Tracker'!$W$5:$W$554,$K448)="","",INDEX('Prospect Tracker'!$W$5:$W$554,$K448)))</f>
        <v/>
      </c>
      <c r="B448" s="11" t="str">
        <f aca="false">IF($K448="","",IF(INDEX('Prospect Tracker'!$A$5:$A$554,$K448)="","",INDEX('Prospect Tracker'!$A$5:$A$554,$K448)))</f>
        <v/>
      </c>
      <c r="C448" s="11" t="str">
        <f aca="false">IF($K448="","",IF(INDEX('Prospect Tracker'!$B$5:$B$554,$K448)="","",INDEX('Prospect Tracker'!$B$5:$B$554,$K448)))</f>
        <v/>
      </c>
      <c r="D448" s="11" t="str">
        <f aca="false">IF($K448="","",IF(INDEX('Prospect Tracker'!$M$5:$M$554,$K448)="","",INDEX('Prospect Tracker'!$M$5:$M$554,$K448)))</f>
        <v/>
      </c>
      <c r="E448" s="11" t="str">
        <f aca="false">IF($K448="","",IF(INDEX('Prospect Tracker'!$R$5:$R$554,$K448)="","",INDEX('Prospect Tracker'!$R$5:$R$554,$K448)))</f>
        <v/>
      </c>
      <c r="F448" s="11" t="str">
        <f aca="false">IF($K448="","",IF(INDEX('Prospect Tracker'!$J$5:$J$554,$K448)="","",INDEX('Prospect Tracker'!$J$5:$J$554,$K448)))</f>
        <v/>
      </c>
      <c r="G448" s="11" t="str">
        <f aca="false">IF($K448="","",IF(INDEX('Prospect Tracker'!$H$5:$H$554,$K448)="","",INDEX('Prospect Tracker'!$H$5:$H$554,$K448)))</f>
        <v/>
      </c>
      <c r="H448" s="12" t="str">
        <f aca="false">IF($K448="","",IF(INDEX('Prospect Tracker'!$K$5:$K$554,$K448)="","",INDEX('Prospect Tracker'!$K$5:$K$554,$K448)))</f>
        <v/>
      </c>
      <c r="I448" s="11" t="str">
        <f aca="false">IF($K448="","",IF(INDEX('Prospect Tracker'!$T$5:$T$554,$K448)="","",INDEX('Prospect Tracker'!$T$5:$T$554,$K448)))</f>
        <v/>
      </c>
      <c r="J448" s="11" t="str">
        <f aca="false">IF($K448="","",IF(INDEX('Prospect Tracker'!$L$5:$L$554,$K448)="","",INDEX('Prospect Tracker'!$L$5:$L$554,$K448)))</f>
        <v/>
      </c>
      <c r="K448" s="1" t="n">
        <f aca="false">IFERROR(MATCH(SMALL('Prospect Tracker'!$X$5:$X$554,ROW()-4),'Prospect Tracker'!$X$5:$X$554,0),"")</f>
        <v>444</v>
      </c>
    </row>
    <row r="449" customFormat="false" ht="15" hidden="false" customHeight="true" outlineLevel="0" collapsed="false">
      <c r="A449" s="6" t="str">
        <f aca="false">IF($K449="","",IF(INDEX('Prospect Tracker'!$W$5:$W$554,$K449)="","",INDEX('Prospect Tracker'!$W$5:$W$554,$K449)))</f>
        <v/>
      </c>
      <c r="B449" s="6" t="str">
        <f aca="false">IF($K449="","",IF(INDEX('Prospect Tracker'!$A$5:$A$554,$K449)="","",INDEX('Prospect Tracker'!$A$5:$A$554,$K449)))</f>
        <v/>
      </c>
      <c r="C449" s="6" t="str">
        <f aca="false">IF($K449="","",IF(INDEX('Prospect Tracker'!$B$5:$B$554,$K449)="","",INDEX('Prospect Tracker'!$B$5:$B$554,$K449)))</f>
        <v/>
      </c>
      <c r="D449" s="6" t="str">
        <f aca="false">IF($K449="","",IF(INDEX('Prospect Tracker'!$M$5:$M$554,$K449)="","",INDEX('Prospect Tracker'!$M$5:$M$554,$K449)))</f>
        <v/>
      </c>
      <c r="E449" s="6" t="str">
        <f aca="false">IF($K449="","",IF(INDEX('Prospect Tracker'!$R$5:$R$554,$K449)="","",INDEX('Prospect Tracker'!$R$5:$R$554,$K449)))</f>
        <v/>
      </c>
      <c r="F449" s="6" t="str">
        <f aca="false">IF($K449="","",IF(INDEX('Prospect Tracker'!$J$5:$J$554,$K449)="","",INDEX('Prospect Tracker'!$J$5:$J$554,$K449)))</f>
        <v/>
      </c>
      <c r="G449" s="6" t="str">
        <f aca="false">IF($K449="","",IF(INDEX('Prospect Tracker'!$H$5:$H$554,$K449)="","",INDEX('Prospect Tracker'!$H$5:$H$554,$K449)))</f>
        <v/>
      </c>
      <c r="H449" s="7" t="str">
        <f aca="false">IF($K449="","",IF(INDEX('Prospect Tracker'!$K$5:$K$554,$K449)="","",INDEX('Prospect Tracker'!$K$5:$K$554,$K449)))</f>
        <v/>
      </c>
      <c r="I449" s="6" t="str">
        <f aca="false">IF($K449="","",IF(INDEX('Prospect Tracker'!$T$5:$T$554,$K449)="","",INDEX('Prospect Tracker'!$T$5:$T$554,$K449)))</f>
        <v/>
      </c>
      <c r="J449" s="6" t="str">
        <f aca="false">IF($K449="","",IF(INDEX('Prospect Tracker'!$L$5:$L$554,$K449)="","",INDEX('Prospect Tracker'!$L$5:$L$554,$K449)))</f>
        <v/>
      </c>
      <c r="K449" s="1" t="n">
        <f aca="false">IFERROR(MATCH(SMALL('Prospect Tracker'!$X$5:$X$554,ROW()-4),'Prospect Tracker'!$X$5:$X$554,0),"")</f>
        <v>445</v>
      </c>
    </row>
    <row r="450" customFormat="false" ht="15" hidden="false" customHeight="true" outlineLevel="0" collapsed="false">
      <c r="A450" s="11" t="str">
        <f aca="false">IF($K450="","",IF(INDEX('Prospect Tracker'!$W$5:$W$554,$K450)="","",INDEX('Prospect Tracker'!$W$5:$W$554,$K450)))</f>
        <v/>
      </c>
      <c r="B450" s="11" t="str">
        <f aca="false">IF($K450="","",IF(INDEX('Prospect Tracker'!$A$5:$A$554,$K450)="","",INDEX('Prospect Tracker'!$A$5:$A$554,$K450)))</f>
        <v/>
      </c>
      <c r="C450" s="11" t="str">
        <f aca="false">IF($K450="","",IF(INDEX('Prospect Tracker'!$B$5:$B$554,$K450)="","",INDEX('Prospect Tracker'!$B$5:$B$554,$K450)))</f>
        <v/>
      </c>
      <c r="D450" s="11" t="str">
        <f aca="false">IF($K450="","",IF(INDEX('Prospect Tracker'!$M$5:$M$554,$K450)="","",INDEX('Prospect Tracker'!$M$5:$M$554,$K450)))</f>
        <v/>
      </c>
      <c r="E450" s="11" t="str">
        <f aca="false">IF($K450="","",IF(INDEX('Prospect Tracker'!$R$5:$R$554,$K450)="","",INDEX('Prospect Tracker'!$R$5:$R$554,$K450)))</f>
        <v/>
      </c>
      <c r="F450" s="11" t="str">
        <f aca="false">IF($K450="","",IF(INDEX('Prospect Tracker'!$J$5:$J$554,$K450)="","",INDEX('Prospect Tracker'!$J$5:$J$554,$K450)))</f>
        <v/>
      </c>
      <c r="G450" s="11" t="str">
        <f aca="false">IF($K450="","",IF(INDEX('Prospect Tracker'!$H$5:$H$554,$K450)="","",INDEX('Prospect Tracker'!$H$5:$H$554,$K450)))</f>
        <v/>
      </c>
      <c r="H450" s="12" t="str">
        <f aca="false">IF($K450="","",IF(INDEX('Prospect Tracker'!$K$5:$K$554,$K450)="","",INDEX('Prospect Tracker'!$K$5:$K$554,$K450)))</f>
        <v/>
      </c>
      <c r="I450" s="11" t="str">
        <f aca="false">IF($K450="","",IF(INDEX('Prospect Tracker'!$T$5:$T$554,$K450)="","",INDEX('Prospect Tracker'!$T$5:$T$554,$K450)))</f>
        <v/>
      </c>
      <c r="J450" s="11" t="str">
        <f aca="false">IF($K450="","",IF(INDEX('Prospect Tracker'!$L$5:$L$554,$K450)="","",INDEX('Prospect Tracker'!$L$5:$L$554,$K450)))</f>
        <v/>
      </c>
      <c r="K450" s="1" t="n">
        <f aca="false">IFERROR(MATCH(SMALL('Prospect Tracker'!$X$5:$X$554,ROW()-4),'Prospect Tracker'!$X$5:$X$554,0),"")</f>
        <v>446</v>
      </c>
    </row>
    <row r="451" customFormat="false" ht="15" hidden="false" customHeight="true" outlineLevel="0" collapsed="false">
      <c r="A451" s="6" t="str">
        <f aca="false">IF($K451="","",IF(INDEX('Prospect Tracker'!$W$5:$W$554,$K451)="","",INDEX('Prospect Tracker'!$W$5:$W$554,$K451)))</f>
        <v/>
      </c>
      <c r="B451" s="6" t="str">
        <f aca="false">IF($K451="","",IF(INDEX('Prospect Tracker'!$A$5:$A$554,$K451)="","",INDEX('Prospect Tracker'!$A$5:$A$554,$K451)))</f>
        <v/>
      </c>
      <c r="C451" s="6" t="str">
        <f aca="false">IF($K451="","",IF(INDEX('Prospect Tracker'!$B$5:$B$554,$K451)="","",INDEX('Prospect Tracker'!$B$5:$B$554,$K451)))</f>
        <v/>
      </c>
      <c r="D451" s="6" t="str">
        <f aca="false">IF($K451="","",IF(INDEX('Prospect Tracker'!$M$5:$M$554,$K451)="","",INDEX('Prospect Tracker'!$M$5:$M$554,$K451)))</f>
        <v/>
      </c>
      <c r="E451" s="6" t="str">
        <f aca="false">IF($K451="","",IF(INDEX('Prospect Tracker'!$R$5:$R$554,$K451)="","",INDEX('Prospect Tracker'!$R$5:$R$554,$K451)))</f>
        <v/>
      </c>
      <c r="F451" s="6" t="str">
        <f aca="false">IF($K451="","",IF(INDEX('Prospect Tracker'!$J$5:$J$554,$K451)="","",INDEX('Prospect Tracker'!$J$5:$J$554,$K451)))</f>
        <v/>
      </c>
      <c r="G451" s="6" t="str">
        <f aca="false">IF($K451="","",IF(INDEX('Prospect Tracker'!$H$5:$H$554,$K451)="","",INDEX('Prospect Tracker'!$H$5:$H$554,$K451)))</f>
        <v/>
      </c>
      <c r="H451" s="7" t="str">
        <f aca="false">IF($K451="","",IF(INDEX('Prospect Tracker'!$K$5:$K$554,$K451)="","",INDEX('Prospect Tracker'!$K$5:$K$554,$K451)))</f>
        <v/>
      </c>
      <c r="I451" s="6" t="str">
        <f aca="false">IF($K451="","",IF(INDEX('Prospect Tracker'!$T$5:$T$554,$K451)="","",INDEX('Prospect Tracker'!$T$5:$T$554,$K451)))</f>
        <v/>
      </c>
      <c r="J451" s="6" t="str">
        <f aca="false">IF($K451="","",IF(INDEX('Prospect Tracker'!$L$5:$L$554,$K451)="","",INDEX('Prospect Tracker'!$L$5:$L$554,$K451)))</f>
        <v/>
      </c>
      <c r="K451" s="1" t="n">
        <f aca="false">IFERROR(MATCH(SMALL('Prospect Tracker'!$X$5:$X$554,ROW()-4),'Prospect Tracker'!$X$5:$X$554,0),"")</f>
        <v>447</v>
      </c>
    </row>
    <row r="452" customFormat="false" ht="15" hidden="false" customHeight="true" outlineLevel="0" collapsed="false">
      <c r="A452" s="11" t="str">
        <f aca="false">IF($K452="","",IF(INDEX('Prospect Tracker'!$W$5:$W$554,$K452)="","",INDEX('Prospect Tracker'!$W$5:$W$554,$K452)))</f>
        <v/>
      </c>
      <c r="B452" s="11" t="str">
        <f aca="false">IF($K452="","",IF(INDEX('Prospect Tracker'!$A$5:$A$554,$K452)="","",INDEX('Prospect Tracker'!$A$5:$A$554,$K452)))</f>
        <v/>
      </c>
      <c r="C452" s="11" t="str">
        <f aca="false">IF($K452="","",IF(INDEX('Prospect Tracker'!$B$5:$B$554,$K452)="","",INDEX('Prospect Tracker'!$B$5:$B$554,$K452)))</f>
        <v/>
      </c>
      <c r="D452" s="11" t="str">
        <f aca="false">IF($K452="","",IF(INDEX('Prospect Tracker'!$M$5:$M$554,$K452)="","",INDEX('Prospect Tracker'!$M$5:$M$554,$K452)))</f>
        <v/>
      </c>
      <c r="E452" s="11" t="str">
        <f aca="false">IF($K452="","",IF(INDEX('Prospect Tracker'!$R$5:$R$554,$K452)="","",INDEX('Prospect Tracker'!$R$5:$R$554,$K452)))</f>
        <v/>
      </c>
      <c r="F452" s="11" t="str">
        <f aca="false">IF($K452="","",IF(INDEX('Prospect Tracker'!$J$5:$J$554,$K452)="","",INDEX('Prospect Tracker'!$J$5:$J$554,$K452)))</f>
        <v/>
      </c>
      <c r="G452" s="11" t="str">
        <f aca="false">IF($K452="","",IF(INDEX('Prospect Tracker'!$H$5:$H$554,$K452)="","",INDEX('Prospect Tracker'!$H$5:$H$554,$K452)))</f>
        <v/>
      </c>
      <c r="H452" s="12" t="str">
        <f aca="false">IF($K452="","",IF(INDEX('Prospect Tracker'!$K$5:$K$554,$K452)="","",INDEX('Prospect Tracker'!$K$5:$K$554,$K452)))</f>
        <v/>
      </c>
      <c r="I452" s="11" t="str">
        <f aca="false">IF($K452="","",IF(INDEX('Prospect Tracker'!$T$5:$T$554,$K452)="","",INDEX('Prospect Tracker'!$T$5:$T$554,$K452)))</f>
        <v/>
      </c>
      <c r="J452" s="11" t="str">
        <f aca="false">IF($K452="","",IF(INDEX('Prospect Tracker'!$L$5:$L$554,$K452)="","",INDEX('Prospect Tracker'!$L$5:$L$554,$K452)))</f>
        <v/>
      </c>
      <c r="K452" s="1" t="n">
        <f aca="false">IFERROR(MATCH(SMALL('Prospect Tracker'!$X$5:$X$554,ROW()-4),'Prospect Tracker'!$X$5:$X$554,0),"")</f>
        <v>448</v>
      </c>
    </row>
    <row r="453" customFormat="false" ht="15" hidden="false" customHeight="true" outlineLevel="0" collapsed="false">
      <c r="A453" s="6" t="str">
        <f aca="false">IF($K453="","",IF(INDEX('Prospect Tracker'!$W$5:$W$554,$K453)="","",INDEX('Prospect Tracker'!$W$5:$W$554,$K453)))</f>
        <v/>
      </c>
      <c r="B453" s="6" t="str">
        <f aca="false">IF($K453="","",IF(INDEX('Prospect Tracker'!$A$5:$A$554,$K453)="","",INDEX('Prospect Tracker'!$A$5:$A$554,$K453)))</f>
        <v/>
      </c>
      <c r="C453" s="6" t="str">
        <f aca="false">IF($K453="","",IF(INDEX('Prospect Tracker'!$B$5:$B$554,$K453)="","",INDEX('Prospect Tracker'!$B$5:$B$554,$K453)))</f>
        <v/>
      </c>
      <c r="D453" s="6" t="str">
        <f aca="false">IF($K453="","",IF(INDEX('Prospect Tracker'!$M$5:$M$554,$K453)="","",INDEX('Prospect Tracker'!$M$5:$M$554,$K453)))</f>
        <v/>
      </c>
      <c r="E453" s="6" t="str">
        <f aca="false">IF($K453="","",IF(INDEX('Prospect Tracker'!$R$5:$R$554,$K453)="","",INDEX('Prospect Tracker'!$R$5:$R$554,$K453)))</f>
        <v/>
      </c>
      <c r="F453" s="6" t="str">
        <f aca="false">IF($K453="","",IF(INDEX('Prospect Tracker'!$J$5:$J$554,$K453)="","",INDEX('Prospect Tracker'!$J$5:$J$554,$K453)))</f>
        <v/>
      </c>
      <c r="G453" s="6" t="str">
        <f aca="false">IF($K453="","",IF(INDEX('Prospect Tracker'!$H$5:$H$554,$K453)="","",INDEX('Prospect Tracker'!$H$5:$H$554,$K453)))</f>
        <v/>
      </c>
      <c r="H453" s="7" t="str">
        <f aca="false">IF($K453="","",IF(INDEX('Prospect Tracker'!$K$5:$K$554,$K453)="","",INDEX('Prospect Tracker'!$K$5:$K$554,$K453)))</f>
        <v/>
      </c>
      <c r="I453" s="6" t="str">
        <f aca="false">IF($K453="","",IF(INDEX('Prospect Tracker'!$T$5:$T$554,$K453)="","",INDEX('Prospect Tracker'!$T$5:$T$554,$K453)))</f>
        <v/>
      </c>
      <c r="J453" s="6" t="str">
        <f aca="false">IF($K453="","",IF(INDEX('Prospect Tracker'!$L$5:$L$554,$K453)="","",INDEX('Prospect Tracker'!$L$5:$L$554,$K453)))</f>
        <v/>
      </c>
      <c r="K453" s="1" t="n">
        <f aca="false">IFERROR(MATCH(SMALL('Prospect Tracker'!$X$5:$X$554,ROW()-4),'Prospect Tracker'!$X$5:$X$554,0),"")</f>
        <v>449</v>
      </c>
    </row>
    <row r="454" customFormat="false" ht="15" hidden="false" customHeight="true" outlineLevel="0" collapsed="false">
      <c r="A454" s="11" t="str">
        <f aca="false">IF($K454="","",IF(INDEX('Prospect Tracker'!$W$5:$W$554,$K454)="","",INDEX('Prospect Tracker'!$W$5:$W$554,$K454)))</f>
        <v/>
      </c>
      <c r="B454" s="11" t="str">
        <f aca="false">IF($K454="","",IF(INDEX('Prospect Tracker'!$A$5:$A$554,$K454)="","",INDEX('Prospect Tracker'!$A$5:$A$554,$K454)))</f>
        <v/>
      </c>
      <c r="C454" s="11" t="str">
        <f aca="false">IF($K454="","",IF(INDEX('Prospect Tracker'!$B$5:$B$554,$K454)="","",INDEX('Prospect Tracker'!$B$5:$B$554,$K454)))</f>
        <v/>
      </c>
      <c r="D454" s="11" t="str">
        <f aca="false">IF($K454="","",IF(INDEX('Prospect Tracker'!$M$5:$M$554,$K454)="","",INDEX('Prospect Tracker'!$M$5:$M$554,$K454)))</f>
        <v/>
      </c>
      <c r="E454" s="11" t="str">
        <f aca="false">IF($K454="","",IF(INDEX('Prospect Tracker'!$R$5:$R$554,$K454)="","",INDEX('Prospect Tracker'!$R$5:$R$554,$K454)))</f>
        <v/>
      </c>
      <c r="F454" s="11" t="str">
        <f aca="false">IF($K454="","",IF(INDEX('Prospect Tracker'!$J$5:$J$554,$K454)="","",INDEX('Prospect Tracker'!$J$5:$J$554,$K454)))</f>
        <v/>
      </c>
      <c r="G454" s="11" t="str">
        <f aca="false">IF($K454="","",IF(INDEX('Prospect Tracker'!$H$5:$H$554,$K454)="","",INDEX('Prospect Tracker'!$H$5:$H$554,$K454)))</f>
        <v/>
      </c>
      <c r="H454" s="12" t="str">
        <f aca="false">IF($K454="","",IF(INDEX('Prospect Tracker'!$K$5:$K$554,$K454)="","",INDEX('Prospect Tracker'!$K$5:$K$554,$K454)))</f>
        <v/>
      </c>
      <c r="I454" s="11" t="str">
        <f aca="false">IF($K454="","",IF(INDEX('Prospect Tracker'!$T$5:$T$554,$K454)="","",INDEX('Prospect Tracker'!$T$5:$T$554,$K454)))</f>
        <v/>
      </c>
      <c r="J454" s="11" t="str">
        <f aca="false">IF($K454="","",IF(INDEX('Prospect Tracker'!$L$5:$L$554,$K454)="","",INDEX('Prospect Tracker'!$L$5:$L$554,$K454)))</f>
        <v/>
      </c>
      <c r="K454" s="1" t="n">
        <f aca="false">IFERROR(MATCH(SMALL('Prospect Tracker'!$X$5:$X$554,ROW()-4),'Prospect Tracker'!$X$5:$X$554,0),"")</f>
        <v>450</v>
      </c>
    </row>
    <row r="455" customFormat="false" ht="15" hidden="false" customHeight="true" outlineLevel="0" collapsed="false">
      <c r="A455" s="6" t="str">
        <f aca="false">IF($K455="","",IF(INDEX('Prospect Tracker'!$W$5:$W$554,$K455)="","",INDEX('Prospect Tracker'!$W$5:$W$554,$K455)))</f>
        <v/>
      </c>
      <c r="B455" s="6" t="str">
        <f aca="false">IF($K455="","",IF(INDEX('Prospect Tracker'!$A$5:$A$554,$K455)="","",INDEX('Prospect Tracker'!$A$5:$A$554,$K455)))</f>
        <v/>
      </c>
      <c r="C455" s="6" t="str">
        <f aca="false">IF($K455="","",IF(INDEX('Prospect Tracker'!$B$5:$B$554,$K455)="","",INDEX('Prospect Tracker'!$B$5:$B$554,$K455)))</f>
        <v/>
      </c>
      <c r="D455" s="6" t="str">
        <f aca="false">IF($K455="","",IF(INDEX('Prospect Tracker'!$M$5:$M$554,$K455)="","",INDEX('Prospect Tracker'!$M$5:$M$554,$K455)))</f>
        <v/>
      </c>
      <c r="E455" s="6" t="str">
        <f aca="false">IF($K455="","",IF(INDEX('Prospect Tracker'!$R$5:$R$554,$K455)="","",INDEX('Prospect Tracker'!$R$5:$R$554,$K455)))</f>
        <v/>
      </c>
      <c r="F455" s="6" t="str">
        <f aca="false">IF($K455="","",IF(INDEX('Prospect Tracker'!$J$5:$J$554,$K455)="","",INDEX('Prospect Tracker'!$J$5:$J$554,$K455)))</f>
        <v/>
      </c>
      <c r="G455" s="6" t="str">
        <f aca="false">IF($K455="","",IF(INDEX('Prospect Tracker'!$H$5:$H$554,$K455)="","",INDEX('Prospect Tracker'!$H$5:$H$554,$K455)))</f>
        <v/>
      </c>
      <c r="H455" s="7" t="str">
        <f aca="false">IF($K455="","",IF(INDEX('Prospect Tracker'!$K$5:$K$554,$K455)="","",INDEX('Prospect Tracker'!$K$5:$K$554,$K455)))</f>
        <v/>
      </c>
      <c r="I455" s="6" t="str">
        <f aca="false">IF($K455="","",IF(INDEX('Prospect Tracker'!$T$5:$T$554,$K455)="","",INDEX('Prospect Tracker'!$T$5:$T$554,$K455)))</f>
        <v/>
      </c>
      <c r="J455" s="6" t="str">
        <f aca="false">IF($K455="","",IF(INDEX('Prospect Tracker'!$L$5:$L$554,$K455)="","",INDEX('Prospect Tracker'!$L$5:$L$554,$K455)))</f>
        <v/>
      </c>
      <c r="K455" s="1" t="n">
        <f aca="false">IFERROR(MATCH(SMALL('Prospect Tracker'!$X$5:$X$554,ROW()-4),'Prospect Tracker'!$X$5:$X$554,0),"")</f>
        <v>451</v>
      </c>
    </row>
    <row r="456" customFormat="false" ht="15" hidden="false" customHeight="true" outlineLevel="0" collapsed="false">
      <c r="A456" s="11" t="str">
        <f aca="false">IF($K456="","",IF(INDEX('Prospect Tracker'!$W$5:$W$554,$K456)="","",INDEX('Prospect Tracker'!$W$5:$W$554,$K456)))</f>
        <v/>
      </c>
      <c r="B456" s="11" t="str">
        <f aca="false">IF($K456="","",IF(INDEX('Prospect Tracker'!$A$5:$A$554,$K456)="","",INDEX('Prospect Tracker'!$A$5:$A$554,$K456)))</f>
        <v/>
      </c>
      <c r="C456" s="11" t="str">
        <f aca="false">IF($K456="","",IF(INDEX('Prospect Tracker'!$B$5:$B$554,$K456)="","",INDEX('Prospect Tracker'!$B$5:$B$554,$K456)))</f>
        <v/>
      </c>
      <c r="D456" s="11" t="str">
        <f aca="false">IF($K456="","",IF(INDEX('Prospect Tracker'!$M$5:$M$554,$K456)="","",INDEX('Prospect Tracker'!$M$5:$M$554,$K456)))</f>
        <v/>
      </c>
      <c r="E456" s="11" t="str">
        <f aca="false">IF($K456="","",IF(INDEX('Prospect Tracker'!$R$5:$R$554,$K456)="","",INDEX('Prospect Tracker'!$R$5:$R$554,$K456)))</f>
        <v/>
      </c>
      <c r="F456" s="11" t="str">
        <f aca="false">IF($K456="","",IF(INDEX('Prospect Tracker'!$J$5:$J$554,$K456)="","",INDEX('Prospect Tracker'!$J$5:$J$554,$K456)))</f>
        <v/>
      </c>
      <c r="G456" s="11" t="str">
        <f aca="false">IF($K456="","",IF(INDEX('Prospect Tracker'!$H$5:$H$554,$K456)="","",INDEX('Prospect Tracker'!$H$5:$H$554,$K456)))</f>
        <v/>
      </c>
      <c r="H456" s="12" t="str">
        <f aca="false">IF($K456="","",IF(INDEX('Prospect Tracker'!$K$5:$K$554,$K456)="","",INDEX('Prospect Tracker'!$K$5:$K$554,$K456)))</f>
        <v/>
      </c>
      <c r="I456" s="11" t="str">
        <f aca="false">IF($K456="","",IF(INDEX('Prospect Tracker'!$T$5:$T$554,$K456)="","",INDEX('Prospect Tracker'!$T$5:$T$554,$K456)))</f>
        <v/>
      </c>
      <c r="J456" s="11" t="str">
        <f aca="false">IF($K456="","",IF(INDEX('Prospect Tracker'!$L$5:$L$554,$K456)="","",INDEX('Prospect Tracker'!$L$5:$L$554,$K456)))</f>
        <v/>
      </c>
      <c r="K456" s="1" t="n">
        <f aca="false">IFERROR(MATCH(SMALL('Prospect Tracker'!$X$5:$X$554,ROW()-4),'Prospect Tracker'!$X$5:$X$554,0),"")</f>
        <v>452</v>
      </c>
    </row>
    <row r="457" customFormat="false" ht="15" hidden="false" customHeight="true" outlineLevel="0" collapsed="false">
      <c r="A457" s="6" t="str">
        <f aca="false">IF($K457="","",IF(INDEX('Prospect Tracker'!$W$5:$W$554,$K457)="","",INDEX('Prospect Tracker'!$W$5:$W$554,$K457)))</f>
        <v/>
      </c>
      <c r="B457" s="6" t="str">
        <f aca="false">IF($K457="","",IF(INDEX('Prospect Tracker'!$A$5:$A$554,$K457)="","",INDEX('Prospect Tracker'!$A$5:$A$554,$K457)))</f>
        <v/>
      </c>
      <c r="C457" s="6" t="str">
        <f aca="false">IF($K457="","",IF(INDEX('Prospect Tracker'!$B$5:$B$554,$K457)="","",INDEX('Prospect Tracker'!$B$5:$B$554,$K457)))</f>
        <v/>
      </c>
      <c r="D457" s="6" t="str">
        <f aca="false">IF($K457="","",IF(INDEX('Prospect Tracker'!$M$5:$M$554,$K457)="","",INDEX('Prospect Tracker'!$M$5:$M$554,$K457)))</f>
        <v/>
      </c>
      <c r="E457" s="6" t="str">
        <f aca="false">IF($K457="","",IF(INDEX('Prospect Tracker'!$R$5:$R$554,$K457)="","",INDEX('Prospect Tracker'!$R$5:$R$554,$K457)))</f>
        <v/>
      </c>
      <c r="F457" s="6" t="str">
        <f aca="false">IF($K457="","",IF(INDEX('Prospect Tracker'!$J$5:$J$554,$K457)="","",INDEX('Prospect Tracker'!$J$5:$J$554,$K457)))</f>
        <v/>
      </c>
      <c r="G457" s="6" t="str">
        <f aca="false">IF($K457="","",IF(INDEX('Prospect Tracker'!$H$5:$H$554,$K457)="","",INDEX('Prospect Tracker'!$H$5:$H$554,$K457)))</f>
        <v/>
      </c>
      <c r="H457" s="7" t="str">
        <f aca="false">IF($K457="","",IF(INDEX('Prospect Tracker'!$K$5:$K$554,$K457)="","",INDEX('Prospect Tracker'!$K$5:$K$554,$K457)))</f>
        <v/>
      </c>
      <c r="I457" s="6" t="str">
        <f aca="false">IF($K457="","",IF(INDEX('Prospect Tracker'!$T$5:$T$554,$K457)="","",INDEX('Prospect Tracker'!$T$5:$T$554,$K457)))</f>
        <v/>
      </c>
      <c r="J457" s="6" t="str">
        <f aca="false">IF($K457="","",IF(INDEX('Prospect Tracker'!$L$5:$L$554,$K457)="","",INDEX('Prospect Tracker'!$L$5:$L$554,$K457)))</f>
        <v/>
      </c>
      <c r="K457" s="1" t="n">
        <f aca="false">IFERROR(MATCH(SMALL('Prospect Tracker'!$X$5:$X$554,ROW()-4),'Prospect Tracker'!$X$5:$X$554,0),"")</f>
        <v>453</v>
      </c>
    </row>
    <row r="458" customFormat="false" ht="15" hidden="false" customHeight="true" outlineLevel="0" collapsed="false">
      <c r="A458" s="11" t="str">
        <f aca="false">IF($K458="","",IF(INDEX('Prospect Tracker'!$W$5:$W$554,$K458)="","",INDEX('Prospect Tracker'!$W$5:$W$554,$K458)))</f>
        <v/>
      </c>
      <c r="B458" s="11" t="str">
        <f aca="false">IF($K458="","",IF(INDEX('Prospect Tracker'!$A$5:$A$554,$K458)="","",INDEX('Prospect Tracker'!$A$5:$A$554,$K458)))</f>
        <v/>
      </c>
      <c r="C458" s="11" t="str">
        <f aca="false">IF($K458="","",IF(INDEX('Prospect Tracker'!$B$5:$B$554,$K458)="","",INDEX('Prospect Tracker'!$B$5:$B$554,$K458)))</f>
        <v/>
      </c>
      <c r="D458" s="11" t="str">
        <f aca="false">IF($K458="","",IF(INDEX('Prospect Tracker'!$M$5:$M$554,$K458)="","",INDEX('Prospect Tracker'!$M$5:$M$554,$K458)))</f>
        <v/>
      </c>
      <c r="E458" s="11" t="str">
        <f aca="false">IF($K458="","",IF(INDEX('Prospect Tracker'!$R$5:$R$554,$K458)="","",INDEX('Prospect Tracker'!$R$5:$R$554,$K458)))</f>
        <v/>
      </c>
      <c r="F458" s="11" t="str">
        <f aca="false">IF($K458="","",IF(INDEX('Prospect Tracker'!$J$5:$J$554,$K458)="","",INDEX('Prospect Tracker'!$J$5:$J$554,$K458)))</f>
        <v/>
      </c>
      <c r="G458" s="11" t="str">
        <f aca="false">IF($K458="","",IF(INDEX('Prospect Tracker'!$H$5:$H$554,$K458)="","",INDEX('Prospect Tracker'!$H$5:$H$554,$K458)))</f>
        <v/>
      </c>
      <c r="H458" s="12" t="str">
        <f aca="false">IF($K458="","",IF(INDEX('Prospect Tracker'!$K$5:$K$554,$K458)="","",INDEX('Prospect Tracker'!$K$5:$K$554,$K458)))</f>
        <v/>
      </c>
      <c r="I458" s="11" t="str">
        <f aca="false">IF($K458="","",IF(INDEX('Prospect Tracker'!$T$5:$T$554,$K458)="","",INDEX('Prospect Tracker'!$T$5:$T$554,$K458)))</f>
        <v/>
      </c>
      <c r="J458" s="11" t="str">
        <f aca="false">IF($K458="","",IF(INDEX('Prospect Tracker'!$L$5:$L$554,$K458)="","",INDEX('Prospect Tracker'!$L$5:$L$554,$K458)))</f>
        <v/>
      </c>
      <c r="K458" s="1" t="n">
        <f aca="false">IFERROR(MATCH(SMALL('Prospect Tracker'!$X$5:$X$554,ROW()-4),'Prospect Tracker'!$X$5:$X$554,0),"")</f>
        <v>454</v>
      </c>
    </row>
    <row r="459" customFormat="false" ht="15" hidden="false" customHeight="true" outlineLevel="0" collapsed="false">
      <c r="A459" s="6" t="str">
        <f aca="false">IF($K459="","",IF(INDEX('Prospect Tracker'!$W$5:$W$554,$K459)="","",INDEX('Prospect Tracker'!$W$5:$W$554,$K459)))</f>
        <v/>
      </c>
      <c r="B459" s="6" t="str">
        <f aca="false">IF($K459="","",IF(INDEX('Prospect Tracker'!$A$5:$A$554,$K459)="","",INDEX('Prospect Tracker'!$A$5:$A$554,$K459)))</f>
        <v/>
      </c>
      <c r="C459" s="6" t="str">
        <f aca="false">IF($K459="","",IF(INDEX('Prospect Tracker'!$B$5:$B$554,$K459)="","",INDEX('Prospect Tracker'!$B$5:$B$554,$K459)))</f>
        <v/>
      </c>
      <c r="D459" s="6" t="str">
        <f aca="false">IF($K459="","",IF(INDEX('Prospect Tracker'!$M$5:$M$554,$K459)="","",INDEX('Prospect Tracker'!$M$5:$M$554,$K459)))</f>
        <v/>
      </c>
      <c r="E459" s="6" t="str">
        <f aca="false">IF($K459="","",IF(INDEX('Prospect Tracker'!$R$5:$R$554,$K459)="","",INDEX('Prospect Tracker'!$R$5:$R$554,$K459)))</f>
        <v/>
      </c>
      <c r="F459" s="6" t="str">
        <f aca="false">IF($K459="","",IF(INDEX('Prospect Tracker'!$J$5:$J$554,$K459)="","",INDEX('Prospect Tracker'!$J$5:$J$554,$K459)))</f>
        <v/>
      </c>
      <c r="G459" s="6" t="str">
        <f aca="false">IF($K459="","",IF(INDEX('Prospect Tracker'!$H$5:$H$554,$K459)="","",INDEX('Prospect Tracker'!$H$5:$H$554,$K459)))</f>
        <v/>
      </c>
      <c r="H459" s="7" t="str">
        <f aca="false">IF($K459="","",IF(INDEX('Prospect Tracker'!$K$5:$K$554,$K459)="","",INDEX('Prospect Tracker'!$K$5:$K$554,$K459)))</f>
        <v/>
      </c>
      <c r="I459" s="6" t="str">
        <f aca="false">IF($K459="","",IF(INDEX('Prospect Tracker'!$T$5:$T$554,$K459)="","",INDEX('Prospect Tracker'!$T$5:$T$554,$K459)))</f>
        <v/>
      </c>
      <c r="J459" s="6" t="str">
        <f aca="false">IF($K459="","",IF(INDEX('Prospect Tracker'!$L$5:$L$554,$K459)="","",INDEX('Prospect Tracker'!$L$5:$L$554,$K459)))</f>
        <v/>
      </c>
      <c r="K459" s="1" t="n">
        <f aca="false">IFERROR(MATCH(SMALL('Prospect Tracker'!$X$5:$X$554,ROW()-4),'Prospect Tracker'!$X$5:$X$554,0),"")</f>
        <v>455</v>
      </c>
    </row>
    <row r="460" customFormat="false" ht="15" hidden="false" customHeight="true" outlineLevel="0" collapsed="false">
      <c r="A460" s="11" t="str">
        <f aca="false">IF($K460="","",IF(INDEX('Prospect Tracker'!$W$5:$W$554,$K460)="","",INDEX('Prospect Tracker'!$W$5:$W$554,$K460)))</f>
        <v/>
      </c>
      <c r="B460" s="11" t="str">
        <f aca="false">IF($K460="","",IF(INDEX('Prospect Tracker'!$A$5:$A$554,$K460)="","",INDEX('Prospect Tracker'!$A$5:$A$554,$K460)))</f>
        <v/>
      </c>
      <c r="C460" s="11" t="str">
        <f aca="false">IF($K460="","",IF(INDEX('Prospect Tracker'!$B$5:$B$554,$K460)="","",INDEX('Prospect Tracker'!$B$5:$B$554,$K460)))</f>
        <v/>
      </c>
      <c r="D460" s="11" t="str">
        <f aca="false">IF($K460="","",IF(INDEX('Prospect Tracker'!$M$5:$M$554,$K460)="","",INDEX('Prospect Tracker'!$M$5:$M$554,$K460)))</f>
        <v/>
      </c>
      <c r="E460" s="11" t="str">
        <f aca="false">IF($K460="","",IF(INDEX('Prospect Tracker'!$R$5:$R$554,$K460)="","",INDEX('Prospect Tracker'!$R$5:$R$554,$K460)))</f>
        <v/>
      </c>
      <c r="F460" s="11" t="str">
        <f aca="false">IF($K460="","",IF(INDEX('Prospect Tracker'!$J$5:$J$554,$K460)="","",INDEX('Prospect Tracker'!$J$5:$J$554,$K460)))</f>
        <v/>
      </c>
      <c r="G460" s="11" t="str">
        <f aca="false">IF($K460="","",IF(INDEX('Prospect Tracker'!$H$5:$H$554,$K460)="","",INDEX('Prospect Tracker'!$H$5:$H$554,$K460)))</f>
        <v/>
      </c>
      <c r="H460" s="12" t="str">
        <f aca="false">IF($K460="","",IF(INDEX('Prospect Tracker'!$K$5:$K$554,$K460)="","",INDEX('Prospect Tracker'!$K$5:$K$554,$K460)))</f>
        <v/>
      </c>
      <c r="I460" s="11" t="str">
        <f aca="false">IF($K460="","",IF(INDEX('Prospect Tracker'!$T$5:$T$554,$K460)="","",INDEX('Prospect Tracker'!$T$5:$T$554,$K460)))</f>
        <v/>
      </c>
      <c r="J460" s="11" t="str">
        <f aca="false">IF($K460="","",IF(INDEX('Prospect Tracker'!$L$5:$L$554,$K460)="","",INDEX('Prospect Tracker'!$L$5:$L$554,$K460)))</f>
        <v/>
      </c>
      <c r="K460" s="1" t="n">
        <f aca="false">IFERROR(MATCH(SMALL('Prospect Tracker'!$X$5:$X$554,ROW()-4),'Prospect Tracker'!$X$5:$X$554,0),"")</f>
        <v>456</v>
      </c>
    </row>
    <row r="461" customFormat="false" ht="15" hidden="false" customHeight="true" outlineLevel="0" collapsed="false">
      <c r="A461" s="6" t="str">
        <f aca="false">IF($K461="","",IF(INDEX('Prospect Tracker'!$W$5:$W$554,$K461)="","",INDEX('Prospect Tracker'!$W$5:$W$554,$K461)))</f>
        <v/>
      </c>
      <c r="B461" s="6" t="str">
        <f aca="false">IF($K461="","",IF(INDEX('Prospect Tracker'!$A$5:$A$554,$K461)="","",INDEX('Prospect Tracker'!$A$5:$A$554,$K461)))</f>
        <v/>
      </c>
      <c r="C461" s="6" t="str">
        <f aca="false">IF($K461="","",IF(INDEX('Prospect Tracker'!$B$5:$B$554,$K461)="","",INDEX('Prospect Tracker'!$B$5:$B$554,$K461)))</f>
        <v/>
      </c>
      <c r="D461" s="6" t="str">
        <f aca="false">IF($K461="","",IF(INDEX('Prospect Tracker'!$M$5:$M$554,$K461)="","",INDEX('Prospect Tracker'!$M$5:$M$554,$K461)))</f>
        <v/>
      </c>
      <c r="E461" s="6" t="str">
        <f aca="false">IF($K461="","",IF(INDEX('Prospect Tracker'!$R$5:$R$554,$K461)="","",INDEX('Prospect Tracker'!$R$5:$R$554,$K461)))</f>
        <v/>
      </c>
      <c r="F461" s="6" t="str">
        <f aca="false">IF($K461="","",IF(INDEX('Prospect Tracker'!$J$5:$J$554,$K461)="","",INDEX('Prospect Tracker'!$J$5:$J$554,$K461)))</f>
        <v/>
      </c>
      <c r="G461" s="6" t="str">
        <f aca="false">IF($K461="","",IF(INDEX('Prospect Tracker'!$H$5:$H$554,$K461)="","",INDEX('Prospect Tracker'!$H$5:$H$554,$K461)))</f>
        <v/>
      </c>
      <c r="H461" s="7" t="str">
        <f aca="false">IF($K461="","",IF(INDEX('Prospect Tracker'!$K$5:$K$554,$K461)="","",INDEX('Prospect Tracker'!$K$5:$K$554,$K461)))</f>
        <v/>
      </c>
      <c r="I461" s="6" t="str">
        <f aca="false">IF($K461="","",IF(INDEX('Prospect Tracker'!$T$5:$T$554,$K461)="","",INDEX('Prospect Tracker'!$T$5:$T$554,$K461)))</f>
        <v/>
      </c>
      <c r="J461" s="6" t="str">
        <f aca="false">IF($K461="","",IF(INDEX('Prospect Tracker'!$L$5:$L$554,$K461)="","",INDEX('Prospect Tracker'!$L$5:$L$554,$K461)))</f>
        <v/>
      </c>
      <c r="K461" s="1" t="n">
        <f aca="false">IFERROR(MATCH(SMALL('Prospect Tracker'!$X$5:$X$554,ROW()-4),'Prospect Tracker'!$X$5:$X$554,0),"")</f>
        <v>457</v>
      </c>
    </row>
    <row r="462" customFormat="false" ht="15" hidden="false" customHeight="true" outlineLevel="0" collapsed="false">
      <c r="A462" s="11" t="str">
        <f aca="false">IF($K462="","",IF(INDEX('Prospect Tracker'!$W$5:$W$554,$K462)="","",INDEX('Prospect Tracker'!$W$5:$W$554,$K462)))</f>
        <v/>
      </c>
      <c r="B462" s="11" t="str">
        <f aca="false">IF($K462="","",IF(INDEX('Prospect Tracker'!$A$5:$A$554,$K462)="","",INDEX('Prospect Tracker'!$A$5:$A$554,$K462)))</f>
        <v/>
      </c>
      <c r="C462" s="11" t="str">
        <f aca="false">IF($K462="","",IF(INDEX('Prospect Tracker'!$B$5:$B$554,$K462)="","",INDEX('Prospect Tracker'!$B$5:$B$554,$K462)))</f>
        <v/>
      </c>
      <c r="D462" s="11" t="str">
        <f aca="false">IF($K462="","",IF(INDEX('Prospect Tracker'!$M$5:$M$554,$K462)="","",INDEX('Prospect Tracker'!$M$5:$M$554,$K462)))</f>
        <v/>
      </c>
      <c r="E462" s="11" t="str">
        <f aca="false">IF($K462="","",IF(INDEX('Prospect Tracker'!$R$5:$R$554,$K462)="","",INDEX('Prospect Tracker'!$R$5:$R$554,$K462)))</f>
        <v/>
      </c>
      <c r="F462" s="11" t="str">
        <f aca="false">IF($K462="","",IF(INDEX('Prospect Tracker'!$J$5:$J$554,$K462)="","",INDEX('Prospect Tracker'!$J$5:$J$554,$K462)))</f>
        <v/>
      </c>
      <c r="G462" s="11" t="str">
        <f aca="false">IF($K462="","",IF(INDEX('Prospect Tracker'!$H$5:$H$554,$K462)="","",INDEX('Prospect Tracker'!$H$5:$H$554,$K462)))</f>
        <v/>
      </c>
      <c r="H462" s="12" t="str">
        <f aca="false">IF($K462="","",IF(INDEX('Prospect Tracker'!$K$5:$K$554,$K462)="","",INDEX('Prospect Tracker'!$K$5:$K$554,$K462)))</f>
        <v/>
      </c>
      <c r="I462" s="11" t="str">
        <f aca="false">IF($K462="","",IF(INDEX('Prospect Tracker'!$T$5:$T$554,$K462)="","",INDEX('Prospect Tracker'!$T$5:$T$554,$K462)))</f>
        <v/>
      </c>
      <c r="J462" s="11" t="str">
        <f aca="false">IF($K462="","",IF(INDEX('Prospect Tracker'!$L$5:$L$554,$K462)="","",INDEX('Prospect Tracker'!$L$5:$L$554,$K462)))</f>
        <v/>
      </c>
      <c r="K462" s="1" t="n">
        <f aca="false">IFERROR(MATCH(SMALL('Prospect Tracker'!$X$5:$X$554,ROW()-4),'Prospect Tracker'!$X$5:$X$554,0),"")</f>
        <v>458</v>
      </c>
    </row>
    <row r="463" customFormat="false" ht="15" hidden="false" customHeight="true" outlineLevel="0" collapsed="false">
      <c r="A463" s="6" t="str">
        <f aca="false">IF($K463="","",IF(INDEX('Prospect Tracker'!$W$5:$W$554,$K463)="","",INDEX('Prospect Tracker'!$W$5:$W$554,$K463)))</f>
        <v/>
      </c>
      <c r="B463" s="6" t="str">
        <f aca="false">IF($K463="","",IF(INDEX('Prospect Tracker'!$A$5:$A$554,$K463)="","",INDEX('Prospect Tracker'!$A$5:$A$554,$K463)))</f>
        <v/>
      </c>
      <c r="C463" s="6" t="str">
        <f aca="false">IF($K463="","",IF(INDEX('Prospect Tracker'!$B$5:$B$554,$K463)="","",INDEX('Prospect Tracker'!$B$5:$B$554,$K463)))</f>
        <v/>
      </c>
      <c r="D463" s="6" t="str">
        <f aca="false">IF($K463="","",IF(INDEX('Prospect Tracker'!$M$5:$M$554,$K463)="","",INDEX('Prospect Tracker'!$M$5:$M$554,$K463)))</f>
        <v/>
      </c>
      <c r="E463" s="6" t="str">
        <f aca="false">IF($K463="","",IF(INDEX('Prospect Tracker'!$R$5:$R$554,$K463)="","",INDEX('Prospect Tracker'!$R$5:$R$554,$K463)))</f>
        <v/>
      </c>
      <c r="F463" s="6" t="str">
        <f aca="false">IF($K463="","",IF(INDEX('Prospect Tracker'!$J$5:$J$554,$K463)="","",INDEX('Prospect Tracker'!$J$5:$J$554,$K463)))</f>
        <v/>
      </c>
      <c r="G463" s="6" t="str">
        <f aca="false">IF($K463="","",IF(INDEX('Prospect Tracker'!$H$5:$H$554,$K463)="","",INDEX('Prospect Tracker'!$H$5:$H$554,$K463)))</f>
        <v/>
      </c>
      <c r="H463" s="7" t="str">
        <f aca="false">IF($K463="","",IF(INDEX('Prospect Tracker'!$K$5:$K$554,$K463)="","",INDEX('Prospect Tracker'!$K$5:$K$554,$K463)))</f>
        <v/>
      </c>
      <c r="I463" s="6" t="str">
        <f aca="false">IF($K463="","",IF(INDEX('Prospect Tracker'!$T$5:$T$554,$K463)="","",INDEX('Prospect Tracker'!$T$5:$T$554,$K463)))</f>
        <v/>
      </c>
      <c r="J463" s="6" t="str">
        <f aca="false">IF($K463="","",IF(INDEX('Prospect Tracker'!$L$5:$L$554,$K463)="","",INDEX('Prospect Tracker'!$L$5:$L$554,$K463)))</f>
        <v/>
      </c>
      <c r="K463" s="1" t="n">
        <f aca="false">IFERROR(MATCH(SMALL('Prospect Tracker'!$X$5:$X$554,ROW()-4),'Prospect Tracker'!$X$5:$X$554,0),"")</f>
        <v>459</v>
      </c>
    </row>
    <row r="464" customFormat="false" ht="15" hidden="false" customHeight="true" outlineLevel="0" collapsed="false">
      <c r="A464" s="11" t="str">
        <f aca="false">IF($K464="","",IF(INDEX('Prospect Tracker'!$W$5:$W$554,$K464)="","",INDEX('Prospect Tracker'!$W$5:$W$554,$K464)))</f>
        <v/>
      </c>
      <c r="B464" s="11" t="str">
        <f aca="false">IF($K464="","",IF(INDEX('Prospect Tracker'!$A$5:$A$554,$K464)="","",INDEX('Prospect Tracker'!$A$5:$A$554,$K464)))</f>
        <v/>
      </c>
      <c r="C464" s="11" t="str">
        <f aca="false">IF($K464="","",IF(INDEX('Prospect Tracker'!$B$5:$B$554,$K464)="","",INDEX('Prospect Tracker'!$B$5:$B$554,$K464)))</f>
        <v/>
      </c>
      <c r="D464" s="11" t="str">
        <f aca="false">IF($K464="","",IF(INDEX('Prospect Tracker'!$M$5:$M$554,$K464)="","",INDEX('Prospect Tracker'!$M$5:$M$554,$K464)))</f>
        <v/>
      </c>
      <c r="E464" s="11" t="str">
        <f aca="false">IF($K464="","",IF(INDEX('Prospect Tracker'!$R$5:$R$554,$K464)="","",INDEX('Prospect Tracker'!$R$5:$R$554,$K464)))</f>
        <v/>
      </c>
      <c r="F464" s="11" t="str">
        <f aca="false">IF($K464="","",IF(INDEX('Prospect Tracker'!$J$5:$J$554,$K464)="","",INDEX('Prospect Tracker'!$J$5:$J$554,$K464)))</f>
        <v/>
      </c>
      <c r="G464" s="11" t="str">
        <f aca="false">IF($K464="","",IF(INDEX('Prospect Tracker'!$H$5:$H$554,$K464)="","",INDEX('Prospect Tracker'!$H$5:$H$554,$K464)))</f>
        <v/>
      </c>
      <c r="H464" s="12" t="str">
        <f aca="false">IF($K464="","",IF(INDEX('Prospect Tracker'!$K$5:$K$554,$K464)="","",INDEX('Prospect Tracker'!$K$5:$K$554,$K464)))</f>
        <v/>
      </c>
      <c r="I464" s="11" t="str">
        <f aca="false">IF($K464="","",IF(INDEX('Prospect Tracker'!$T$5:$T$554,$K464)="","",INDEX('Prospect Tracker'!$T$5:$T$554,$K464)))</f>
        <v/>
      </c>
      <c r="J464" s="11" t="str">
        <f aca="false">IF($K464="","",IF(INDEX('Prospect Tracker'!$L$5:$L$554,$K464)="","",INDEX('Prospect Tracker'!$L$5:$L$554,$K464)))</f>
        <v/>
      </c>
      <c r="K464" s="1" t="n">
        <f aca="false">IFERROR(MATCH(SMALL('Prospect Tracker'!$X$5:$X$554,ROW()-4),'Prospect Tracker'!$X$5:$X$554,0),"")</f>
        <v>460</v>
      </c>
    </row>
    <row r="465" customFormat="false" ht="15" hidden="false" customHeight="true" outlineLevel="0" collapsed="false">
      <c r="A465" s="6" t="str">
        <f aca="false">IF($K465="","",IF(INDEX('Prospect Tracker'!$W$5:$W$554,$K465)="","",INDEX('Prospect Tracker'!$W$5:$W$554,$K465)))</f>
        <v/>
      </c>
      <c r="B465" s="6" t="str">
        <f aca="false">IF($K465="","",IF(INDEX('Prospect Tracker'!$A$5:$A$554,$K465)="","",INDEX('Prospect Tracker'!$A$5:$A$554,$K465)))</f>
        <v/>
      </c>
      <c r="C465" s="6" t="str">
        <f aca="false">IF($K465="","",IF(INDEX('Prospect Tracker'!$B$5:$B$554,$K465)="","",INDEX('Prospect Tracker'!$B$5:$B$554,$K465)))</f>
        <v/>
      </c>
      <c r="D465" s="6" t="str">
        <f aca="false">IF($K465="","",IF(INDEX('Prospect Tracker'!$M$5:$M$554,$K465)="","",INDEX('Prospect Tracker'!$M$5:$M$554,$K465)))</f>
        <v/>
      </c>
      <c r="E465" s="6" t="str">
        <f aca="false">IF($K465="","",IF(INDEX('Prospect Tracker'!$R$5:$R$554,$K465)="","",INDEX('Prospect Tracker'!$R$5:$R$554,$K465)))</f>
        <v/>
      </c>
      <c r="F465" s="6" t="str">
        <f aca="false">IF($K465="","",IF(INDEX('Prospect Tracker'!$J$5:$J$554,$K465)="","",INDEX('Prospect Tracker'!$J$5:$J$554,$K465)))</f>
        <v/>
      </c>
      <c r="G465" s="6" t="str">
        <f aca="false">IF($K465="","",IF(INDEX('Prospect Tracker'!$H$5:$H$554,$K465)="","",INDEX('Prospect Tracker'!$H$5:$H$554,$K465)))</f>
        <v/>
      </c>
      <c r="H465" s="7" t="str">
        <f aca="false">IF($K465="","",IF(INDEX('Prospect Tracker'!$K$5:$K$554,$K465)="","",INDEX('Prospect Tracker'!$K$5:$K$554,$K465)))</f>
        <v/>
      </c>
      <c r="I465" s="6" t="str">
        <f aca="false">IF($K465="","",IF(INDEX('Prospect Tracker'!$T$5:$T$554,$K465)="","",INDEX('Prospect Tracker'!$T$5:$T$554,$K465)))</f>
        <v/>
      </c>
      <c r="J465" s="6" t="str">
        <f aca="false">IF($K465="","",IF(INDEX('Prospect Tracker'!$L$5:$L$554,$K465)="","",INDEX('Prospect Tracker'!$L$5:$L$554,$K465)))</f>
        <v/>
      </c>
      <c r="K465" s="1" t="n">
        <f aca="false">IFERROR(MATCH(SMALL('Prospect Tracker'!$X$5:$X$554,ROW()-4),'Prospect Tracker'!$X$5:$X$554,0),"")</f>
        <v>461</v>
      </c>
    </row>
    <row r="466" customFormat="false" ht="15" hidden="false" customHeight="true" outlineLevel="0" collapsed="false">
      <c r="A466" s="11" t="str">
        <f aca="false">IF($K466="","",IF(INDEX('Prospect Tracker'!$W$5:$W$554,$K466)="","",INDEX('Prospect Tracker'!$W$5:$W$554,$K466)))</f>
        <v/>
      </c>
      <c r="B466" s="11" t="str">
        <f aca="false">IF($K466="","",IF(INDEX('Prospect Tracker'!$A$5:$A$554,$K466)="","",INDEX('Prospect Tracker'!$A$5:$A$554,$K466)))</f>
        <v/>
      </c>
      <c r="C466" s="11" t="str">
        <f aca="false">IF($K466="","",IF(INDEX('Prospect Tracker'!$B$5:$B$554,$K466)="","",INDEX('Prospect Tracker'!$B$5:$B$554,$K466)))</f>
        <v/>
      </c>
      <c r="D466" s="11" t="str">
        <f aca="false">IF($K466="","",IF(INDEX('Prospect Tracker'!$M$5:$M$554,$K466)="","",INDEX('Prospect Tracker'!$M$5:$M$554,$K466)))</f>
        <v/>
      </c>
      <c r="E466" s="11" t="str">
        <f aca="false">IF($K466="","",IF(INDEX('Prospect Tracker'!$R$5:$R$554,$K466)="","",INDEX('Prospect Tracker'!$R$5:$R$554,$K466)))</f>
        <v/>
      </c>
      <c r="F466" s="11" t="str">
        <f aca="false">IF($K466="","",IF(INDEX('Prospect Tracker'!$J$5:$J$554,$K466)="","",INDEX('Prospect Tracker'!$J$5:$J$554,$K466)))</f>
        <v/>
      </c>
      <c r="G466" s="11" t="str">
        <f aca="false">IF($K466="","",IF(INDEX('Prospect Tracker'!$H$5:$H$554,$K466)="","",INDEX('Prospect Tracker'!$H$5:$H$554,$K466)))</f>
        <v/>
      </c>
      <c r="H466" s="12" t="str">
        <f aca="false">IF($K466="","",IF(INDEX('Prospect Tracker'!$K$5:$K$554,$K466)="","",INDEX('Prospect Tracker'!$K$5:$K$554,$K466)))</f>
        <v/>
      </c>
      <c r="I466" s="11" t="str">
        <f aca="false">IF($K466="","",IF(INDEX('Prospect Tracker'!$T$5:$T$554,$K466)="","",INDEX('Prospect Tracker'!$T$5:$T$554,$K466)))</f>
        <v/>
      </c>
      <c r="J466" s="11" t="str">
        <f aca="false">IF($K466="","",IF(INDEX('Prospect Tracker'!$L$5:$L$554,$K466)="","",INDEX('Prospect Tracker'!$L$5:$L$554,$K466)))</f>
        <v/>
      </c>
      <c r="K466" s="1" t="n">
        <f aca="false">IFERROR(MATCH(SMALL('Prospect Tracker'!$X$5:$X$554,ROW()-4),'Prospect Tracker'!$X$5:$X$554,0),"")</f>
        <v>462</v>
      </c>
    </row>
    <row r="467" customFormat="false" ht="15" hidden="false" customHeight="true" outlineLevel="0" collapsed="false">
      <c r="A467" s="6" t="str">
        <f aca="false">IF($K467="","",IF(INDEX('Prospect Tracker'!$W$5:$W$554,$K467)="","",INDEX('Prospect Tracker'!$W$5:$W$554,$K467)))</f>
        <v/>
      </c>
      <c r="B467" s="6" t="str">
        <f aca="false">IF($K467="","",IF(INDEX('Prospect Tracker'!$A$5:$A$554,$K467)="","",INDEX('Prospect Tracker'!$A$5:$A$554,$K467)))</f>
        <v/>
      </c>
      <c r="C467" s="6" t="str">
        <f aca="false">IF($K467="","",IF(INDEX('Prospect Tracker'!$B$5:$B$554,$K467)="","",INDEX('Prospect Tracker'!$B$5:$B$554,$K467)))</f>
        <v/>
      </c>
      <c r="D467" s="6" t="str">
        <f aca="false">IF($K467="","",IF(INDEX('Prospect Tracker'!$M$5:$M$554,$K467)="","",INDEX('Prospect Tracker'!$M$5:$M$554,$K467)))</f>
        <v/>
      </c>
      <c r="E467" s="6" t="str">
        <f aca="false">IF($K467="","",IF(INDEX('Prospect Tracker'!$R$5:$R$554,$K467)="","",INDEX('Prospect Tracker'!$R$5:$R$554,$K467)))</f>
        <v/>
      </c>
      <c r="F467" s="6" t="str">
        <f aca="false">IF($K467="","",IF(INDEX('Prospect Tracker'!$J$5:$J$554,$K467)="","",INDEX('Prospect Tracker'!$J$5:$J$554,$K467)))</f>
        <v/>
      </c>
      <c r="G467" s="6" t="str">
        <f aca="false">IF($K467="","",IF(INDEX('Prospect Tracker'!$H$5:$H$554,$K467)="","",INDEX('Prospect Tracker'!$H$5:$H$554,$K467)))</f>
        <v/>
      </c>
      <c r="H467" s="7" t="str">
        <f aca="false">IF($K467="","",IF(INDEX('Prospect Tracker'!$K$5:$K$554,$K467)="","",INDEX('Prospect Tracker'!$K$5:$K$554,$K467)))</f>
        <v/>
      </c>
      <c r="I467" s="6" t="str">
        <f aca="false">IF($K467="","",IF(INDEX('Prospect Tracker'!$T$5:$T$554,$K467)="","",INDEX('Prospect Tracker'!$T$5:$T$554,$K467)))</f>
        <v/>
      </c>
      <c r="J467" s="6" t="str">
        <f aca="false">IF($K467="","",IF(INDEX('Prospect Tracker'!$L$5:$L$554,$K467)="","",INDEX('Prospect Tracker'!$L$5:$L$554,$K467)))</f>
        <v/>
      </c>
      <c r="K467" s="1" t="n">
        <f aca="false">IFERROR(MATCH(SMALL('Prospect Tracker'!$X$5:$X$554,ROW()-4),'Prospect Tracker'!$X$5:$X$554,0),"")</f>
        <v>463</v>
      </c>
    </row>
    <row r="468" customFormat="false" ht="15" hidden="false" customHeight="true" outlineLevel="0" collapsed="false">
      <c r="A468" s="11" t="str">
        <f aca="false">IF($K468="","",IF(INDEX('Prospect Tracker'!$W$5:$W$554,$K468)="","",INDEX('Prospect Tracker'!$W$5:$W$554,$K468)))</f>
        <v/>
      </c>
      <c r="B468" s="11" t="str">
        <f aca="false">IF($K468="","",IF(INDEX('Prospect Tracker'!$A$5:$A$554,$K468)="","",INDEX('Prospect Tracker'!$A$5:$A$554,$K468)))</f>
        <v/>
      </c>
      <c r="C468" s="11" t="str">
        <f aca="false">IF($K468="","",IF(INDEX('Prospect Tracker'!$B$5:$B$554,$K468)="","",INDEX('Prospect Tracker'!$B$5:$B$554,$K468)))</f>
        <v/>
      </c>
      <c r="D468" s="11" t="str">
        <f aca="false">IF($K468="","",IF(INDEX('Prospect Tracker'!$M$5:$M$554,$K468)="","",INDEX('Prospect Tracker'!$M$5:$M$554,$K468)))</f>
        <v/>
      </c>
      <c r="E468" s="11" t="str">
        <f aca="false">IF($K468="","",IF(INDEX('Prospect Tracker'!$R$5:$R$554,$K468)="","",INDEX('Prospect Tracker'!$R$5:$R$554,$K468)))</f>
        <v/>
      </c>
      <c r="F468" s="11" t="str">
        <f aca="false">IF($K468="","",IF(INDEX('Prospect Tracker'!$J$5:$J$554,$K468)="","",INDEX('Prospect Tracker'!$J$5:$J$554,$K468)))</f>
        <v/>
      </c>
      <c r="G468" s="11" t="str">
        <f aca="false">IF($K468="","",IF(INDEX('Prospect Tracker'!$H$5:$H$554,$K468)="","",INDEX('Prospect Tracker'!$H$5:$H$554,$K468)))</f>
        <v/>
      </c>
      <c r="H468" s="12" t="str">
        <f aca="false">IF($K468="","",IF(INDEX('Prospect Tracker'!$K$5:$K$554,$K468)="","",INDEX('Prospect Tracker'!$K$5:$K$554,$K468)))</f>
        <v/>
      </c>
      <c r="I468" s="11" t="str">
        <f aca="false">IF($K468="","",IF(INDEX('Prospect Tracker'!$T$5:$T$554,$K468)="","",INDEX('Prospect Tracker'!$T$5:$T$554,$K468)))</f>
        <v/>
      </c>
      <c r="J468" s="11" t="str">
        <f aca="false">IF($K468="","",IF(INDEX('Prospect Tracker'!$L$5:$L$554,$K468)="","",INDEX('Prospect Tracker'!$L$5:$L$554,$K468)))</f>
        <v/>
      </c>
      <c r="K468" s="1" t="n">
        <f aca="false">IFERROR(MATCH(SMALL('Prospect Tracker'!$X$5:$X$554,ROW()-4),'Prospect Tracker'!$X$5:$X$554,0),"")</f>
        <v>464</v>
      </c>
    </row>
    <row r="469" customFormat="false" ht="15" hidden="false" customHeight="true" outlineLevel="0" collapsed="false">
      <c r="A469" s="6" t="str">
        <f aca="false">IF($K469="","",IF(INDEX('Prospect Tracker'!$W$5:$W$554,$K469)="","",INDEX('Prospect Tracker'!$W$5:$W$554,$K469)))</f>
        <v/>
      </c>
      <c r="B469" s="6" t="str">
        <f aca="false">IF($K469="","",IF(INDEX('Prospect Tracker'!$A$5:$A$554,$K469)="","",INDEX('Prospect Tracker'!$A$5:$A$554,$K469)))</f>
        <v/>
      </c>
      <c r="C469" s="6" t="str">
        <f aca="false">IF($K469="","",IF(INDEX('Prospect Tracker'!$B$5:$B$554,$K469)="","",INDEX('Prospect Tracker'!$B$5:$B$554,$K469)))</f>
        <v/>
      </c>
      <c r="D469" s="6" t="str">
        <f aca="false">IF($K469="","",IF(INDEX('Prospect Tracker'!$M$5:$M$554,$K469)="","",INDEX('Prospect Tracker'!$M$5:$M$554,$K469)))</f>
        <v/>
      </c>
      <c r="E469" s="6" t="str">
        <f aca="false">IF($K469="","",IF(INDEX('Prospect Tracker'!$R$5:$R$554,$K469)="","",INDEX('Prospect Tracker'!$R$5:$R$554,$K469)))</f>
        <v/>
      </c>
      <c r="F469" s="6" t="str">
        <f aca="false">IF($K469="","",IF(INDEX('Prospect Tracker'!$J$5:$J$554,$K469)="","",INDEX('Prospect Tracker'!$J$5:$J$554,$K469)))</f>
        <v/>
      </c>
      <c r="G469" s="6" t="str">
        <f aca="false">IF($K469="","",IF(INDEX('Prospect Tracker'!$H$5:$H$554,$K469)="","",INDEX('Prospect Tracker'!$H$5:$H$554,$K469)))</f>
        <v/>
      </c>
      <c r="H469" s="7" t="str">
        <f aca="false">IF($K469="","",IF(INDEX('Prospect Tracker'!$K$5:$K$554,$K469)="","",INDEX('Prospect Tracker'!$K$5:$K$554,$K469)))</f>
        <v/>
      </c>
      <c r="I469" s="6" t="str">
        <f aca="false">IF($K469="","",IF(INDEX('Prospect Tracker'!$T$5:$T$554,$K469)="","",INDEX('Prospect Tracker'!$T$5:$T$554,$K469)))</f>
        <v/>
      </c>
      <c r="J469" s="6" t="str">
        <f aca="false">IF($K469="","",IF(INDEX('Prospect Tracker'!$L$5:$L$554,$K469)="","",INDEX('Prospect Tracker'!$L$5:$L$554,$K469)))</f>
        <v/>
      </c>
      <c r="K469" s="1" t="n">
        <f aca="false">IFERROR(MATCH(SMALL('Prospect Tracker'!$X$5:$X$554,ROW()-4),'Prospect Tracker'!$X$5:$X$554,0),"")</f>
        <v>465</v>
      </c>
    </row>
    <row r="470" customFormat="false" ht="15" hidden="false" customHeight="true" outlineLevel="0" collapsed="false">
      <c r="A470" s="11" t="str">
        <f aca="false">IF($K470="","",IF(INDEX('Prospect Tracker'!$W$5:$W$554,$K470)="","",INDEX('Prospect Tracker'!$W$5:$W$554,$K470)))</f>
        <v/>
      </c>
      <c r="B470" s="11" t="str">
        <f aca="false">IF($K470="","",IF(INDEX('Prospect Tracker'!$A$5:$A$554,$K470)="","",INDEX('Prospect Tracker'!$A$5:$A$554,$K470)))</f>
        <v/>
      </c>
      <c r="C470" s="11" t="str">
        <f aca="false">IF($K470="","",IF(INDEX('Prospect Tracker'!$B$5:$B$554,$K470)="","",INDEX('Prospect Tracker'!$B$5:$B$554,$K470)))</f>
        <v/>
      </c>
      <c r="D470" s="11" t="str">
        <f aca="false">IF($K470="","",IF(INDEX('Prospect Tracker'!$M$5:$M$554,$K470)="","",INDEX('Prospect Tracker'!$M$5:$M$554,$K470)))</f>
        <v/>
      </c>
      <c r="E470" s="11" t="str">
        <f aca="false">IF($K470="","",IF(INDEX('Prospect Tracker'!$R$5:$R$554,$K470)="","",INDEX('Prospect Tracker'!$R$5:$R$554,$K470)))</f>
        <v/>
      </c>
      <c r="F470" s="11" t="str">
        <f aca="false">IF($K470="","",IF(INDEX('Prospect Tracker'!$J$5:$J$554,$K470)="","",INDEX('Prospect Tracker'!$J$5:$J$554,$K470)))</f>
        <v/>
      </c>
      <c r="G470" s="11" t="str">
        <f aca="false">IF($K470="","",IF(INDEX('Prospect Tracker'!$H$5:$H$554,$K470)="","",INDEX('Prospect Tracker'!$H$5:$H$554,$K470)))</f>
        <v/>
      </c>
      <c r="H470" s="12" t="str">
        <f aca="false">IF($K470="","",IF(INDEX('Prospect Tracker'!$K$5:$K$554,$K470)="","",INDEX('Prospect Tracker'!$K$5:$K$554,$K470)))</f>
        <v/>
      </c>
      <c r="I470" s="11" t="str">
        <f aca="false">IF($K470="","",IF(INDEX('Prospect Tracker'!$T$5:$T$554,$K470)="","",INDEX('Prospect Tracker'!$T$5:$T$554,$K470)))</f>
        <v/>
      </c>
      <c r="J470" s="11" t="str">
        <f aca="false">IF($K470="","",IF(INDEX('Prospect Tracker'!$L$5:$L$554,$K470)="","",INDEX('Prospect Tracker'!$L$5:$L$554,$K470)))</f>
        <v/>
      </c>
      <c r="K470" s="1" t="n">
        <f aca="false">IFERROR(MATCH(SMALL('Prospect Tracker'!$X$5:$X$554,ROW()-4),'Prospect Tracker'!$X$5:$X$554,0),"")</f>
        <v>466</v>
      </c>
    </row>
    <row r="471" customFormat="false" ht="15" hidden="false" customHeight="true" outlineLevel="0" collapsed="false">
      <c r="A471" s="6" t="str">
        <f aca="false">IF($K471="","",IF(INDEX('Prospect Tracker'!$W$5:$W$554,$K471)="","",INDEX('Prospect Tracker'!$W$5:$W$554,$K471)))</f>
        <v/>
      </c>
      <c r="B471" s="6" t="str">
        <f aca="false">IF($K471="","",IF(INDEX('Prospect Tracker'!$A$5:$A$554,$K471)="","",INDEX('Prospect Tracker'!$A$5:$A$554,$K471)))</f>
        <v/>
      </c>
      <c r="C471" s="6" t="str">
        <f aca="false">IF($K471="","",IF(INDEX('Prospect Tracker'!$B$5:$B$554,$K471)="","",INDEX('Prospect Tracker'!$B$5:$B$554,$K471)))</f>
        <v/>
      </c>
      <c r="D471" s="6" t="str">
        <f aca="false">IF($K471="","",IF(INDEX('Prospect Tracker'!$M$5:$M$554,$K471)="","",INDEX('Prospect Tracker'!$M$5:$M$554,$K471)))</f>
        <v/>
      </c>
      <c r="E471" s="6" t="str">
        <f aca="false">IF($K471="","",IF(INDEX('Prospect Tracker'!$R$5:$R$554,$K471)="","",INDEX('Prospect Tracker'!$R$5:$R$554,$K471)))</f>
        <v/>
      </c>
      <c r="F471" s="6" t="str">
        <f aca="false">IF($K471="","",IF(INDEX('Prospect Tracker'!$J$5:$J$554,$K471)="","",INDEX('Prospect Tracker'!$J$5:$J$554,$K471)))</f>
        <v/>
      </c>
      <c r="G471" s="6" t="str">
        <f aca="false">IF($K471="","",IF(INDEX('Prospect Tracker'!$H$5:$H$554,$K471)="","",INDEX('Prospect Tracker'!$H$5:$H$554,$K471)))</f>
        <v/>
      </c>
      <c r="H471" s="7" t="str">
        <f aca="false">IF($K471="","",IF(INDEX('Prospect Tracker'!$K$5:$K$554,$K471)="","",INDEX('Prospect Tracker'!$K$5:$K$554,$K471)))</f>
        <v/>
      </c>
      <c r="I471" s="6" t="str">
        <f aca="false">IF($K471="","",IF(INDEX('Prospect Tracker'!$T$5:$T$554,$K471)="","",INDEX('Prospect Tracker'!$T$5:$T$554,$K471)))</f>
        <v/>
      </c>
      <c r="J471" s="6" t="str">
        <f aca="false">IF($K471="","",IF(INDEX('Prospect Tracker'!$L$5:$L$554,$K471)="","",INDEX('Prospect Tracker'!$L$5:$L$554,$K471)))</f>
        <v/>
      </c>
      <c r="K471" s="1" t="n">
        <f aca="false">IFERROR(MATCH(SMALL('Prospect Tracker'!$X$5:$X$554,ROW()-4),'Prospect Tracker'!$X$5:$X$554,0),"")</f>
        <v>467</v>
      </c>
    </row>
    <row r="472" customFormat="false" ht="15" hidden="false" customHeight="true" outlineLevel="0" collapsed="false">
      <c r="A472" s="11" t="str">
        <f aca="false">IF($K472="","",IF(INDEX('Prospect Tracker'!$W$5:$W$554,$K472)="","",INDEX('Prospect Tracker'!$W$5:$W$554,$K472)))</f>
        <v/>
      </c>
      <c r="B472" s="11" t="str">
        <f aca="false">IF($K472="","",IF(INDEX('Prospect Tracker'!$A$5:$A$554,$K472)="","",INDEX('Prospect Tracker'!$A$5:$A$554,$K472)))</f>
        <v/>
      </c>
      <c r="C472" s="11" t="str">
        <f aca="false">IF($K472="","",IF(INDEX('Prospect Tracker'!$B$5:$B$554,$K472)="","",INDEX('Prospect Tracker'!$B$5:$B$554,$K472)))</f>
        <v/>
      </c>
      <c r="D472" s="11" t="str">
        <f aca="false">IF($K472="","",IF(INDEX('Prospect Tracker'!$M$5:$M$554,$K472)="","",INDEX('Prospect Tracker'!$M$5:$M$554,$K472)))</f>
        <v/>
      </c>
      <c r="E472" s="11" t="str">
        <f aca="false">IF($K472="","",IF(INDEX('Prospect Tracker'!$R$5:$R$554,$K472)="","",INDEX('Prospect Tracker'!$R$5:$R$554,$K472)))</f>
        <v/>
      </c>
      <c r="F472" s="11" t="str">
        <f aca="false">IF($K472="","",IF(INDEX('Prospect Tracker'!$J$5:$J$554,$K472)="","",INDEX('Prospect Tracker'!$J$5:$J$554,$K472)))</f>
        <v/>
      </c>
      <c r="G472" s="11" t="str">
        <f aca="false">IF($K472="","",IF(INDEX('Prospect Tracker'!$H$5:$H$554,$K472)="","",INDEX('Prospect Tracker'!$H$5:$H$554,$K472)))</f>
        <v/>
      </c>
      <c r="H472" s="12" t="str">
        <f aca="false">IF($K472="","",IF(INDEX('Prospect Tracker'!$K$5:$K$554,$K472)="","",INDEX('Prospect Tracker'!$K$5:$K$554,$K472)))</f>
        <v/>
      </c>
      <c r="I472" s="11" t="str">
        <f aca="false">IF($K472="","",IF(INDEX('Prospect Tracker'!$T$5:$T$554,$K472)="","",INDEX('Prospect Tracker'!$T$5:$T$554,$K472)))</f>
        <v/>
      </c>
      <c r="J472" s="11" t="str">
        <f aca="false">IF($K472="","",IF(INDEX('Prospect Tracker'!$L$5:$L$554,$K472)="","",INDEX('Prospect Tracker'!$L$5:$L$554,$K472)))</f>
        <v/>
      </c>
      <c r="K472" s="1" t="n">
        <f aca="false">IFERROR(MATCH(SMALL('Prospect Tracker'!$X$5:$X$554,ROW()-4),'Prospect Tracker'!$X$5:$X$554,0),"")</f>
        <v>468</v>
      </c>
    </row>
    <row r="473" customFormat="false" ht="15" hidden="false" customHeight="true" outlineLevel="0" collapsed="false">
      <c r="A473" s="6" t="str">
        <f aca="false">IF($K473="","",IF(INDEX('Prospect Tracker'!$W$5:$W$554,$K473)="","",INDEX('Prospect Tracker'!$W$5:$W$554,$K473)))</f>
        <v/>
      </c>
      <c r="B473" s="6" t="str">
        <f aca="false">IF($K473="","",IF(INDEX('Prospect Tracker'!$A$5:$A$554,$K473)="","",INDEX('Prospect Tracker'!$A$5:$A$554,$K473)))</f>
        <v/>
      </c>
      <c r="C473" s="6" t="str">
        <f aca="false">IF($K473="","",IF(INDEX('Prospect Tracker'!$B$5:$B$554,$K473)="","",INDEX('Prospect Tracker'!$B$5:$B$554,$K473)))</f>
        <v/>
      </c>
      <c r="D473" s="6" t="str">
        <f aca="false">IF($K473="","",IF(INDEX('Prospect Tracker'!$M$5:$M$554,$K473)="","",INDEX('Prospect Tracker'!$M$5:$M$554,$K473)))</f>
        <v/>
      </c>
      <c r="E473" s="6" t="str">
        <f aca="false">IF($K473="","",IF(INDEX('Prospect Tracker'!$R$5:$R$554,$K473)="","",INDEX('Prospect Tracker'!$R$5:$R$554,$K473)))</f>
        <v/>
      </c>
      <c r="F473" s="6" t="str">
        <f aca="false">IF($K473="","",IF(INDEX('Prospect Tracker'!$J$5:$J$554,$K473)="","",INDEX('Prospect Tracker'!$J$5:$J$554,$K473)))</f>
        <v/>
      </c>
      <c r="G473" s="6" t="str">
        <f aca="false">IF($K473="","",IF(INDEX('Prospect Tracker'!$H$5:$H$554,$K473)="","",INDEX('Prospect Tracker'!$H$5:$H$554,$K473)))</f>
        <v/>
      </c>
      <c r="H473" s="7" t="str">
        <f aca="false">IF($K473="","",IF(INDEX('Prospect Tracker'!$K$5:$K$554,$K473)="","",INDEX('Prospect Tracker'!$K$5:$K$554,$K473)))</f>
        <v/>
      </c>
      <c r="I473" s="6" t="str">
        <f aca="false">IF($K473="","",IF(INDEX('Prospect Tracker'!$T$5:$T$554,$K473)="","",INDEX('Prospect Tracker'!$T$5:$T$554,$K473)))</f>
        <v/>
      </c>
      <c r="J473" s="6" t="str">
        <f aca="false">IF($K473="","",IF(INDEX('Prospect Tracker'!$L$5:$L$554,$K473)="","",INDEX('Prospect Tracker'!$L$5:$L$554,$K473)))</f>
        <v/>
      </c>
      <c r="K473" s="1" t="n">
        <f aca="false">IFERROR(MATCH(SMALL('Prospect Tracker'!$X$5:$X$554,ROW()-4),'Prospect Tracker'!$X$5:$X$554,0),"")</f>
        <v>469</v>
      </c>
    </row>
    <row r="474" customFormat="false" ht="15" hidden="false" customHeight="true" outlineLevel="0" collapsed="false">
      <c r="A474" s="11" t="str">
        <f aca="false">IF($K474="","",IF(INDEX('Prospect Tracker'!$W$5:$W$554,$K474)="","",INDEX('Prospect Tracker'!$W$5:$W$554,$K474)))</f>
        <v/>
      </c>
      <c r="B474" s="11" t="str">
        <f aca="false">IF($K474="","",IF(INDEX('Prospect Tracker'!$A$5:$A$554,$K474)="","",INDEX('Prospect Tracker'!$A$5:$A$554,$K474)))</f>
        <v/>
      </c>
      <c r="C474" s="11" t="str">
        <f aca="false">IF($K474="","",IF(INDEX('Prospect Tracker'!$B$5:$B$554,$K474)="","",INDEX('Prospect Tracker'!$B$5:$B$554,$K474)))</f>
        <v/>
      </c>
      <c r="D474" s="11" t="str">
        <f aca="false">IF($K474="","",IF(INDEX('Prospect Tracker'!$M$5:$M$554,$K474)="","",INDEX('Prospect Tracker'!$M$5:$M$554,$K474)))</f>
        <v/>
      </c>
      <c r="E474" s="11" t="str">
        <f aca="false">IF($K474="","",IF(INDEX('Prospect Tracker'!$R$5:$R$554,$K474)="","",INDEX('Prospect Tracker'!$R$5:$R$554,$K474)))</f>
        <v/>
      </c>
      <c r="F474" s="11" t="str">
        <f aca="false">IF($K474="","",IF(INDEX('Prospect Tracker'!$J$5:$J$554,$K474)="","",INDEX('Prospect Tracker'!$J$5:$J$554,$K474)))</f>
        <v/>
      </c>
      <c r="G474" s="11" t="str">
        <f aca="false">IF($K474="","",IF(INDEX('Prospect Tracker'!$H$5:$H$554,$K474)="","",INDEX('Prospect Tracker'!$H$5:$H$554,$K474)))</f>
        <v/>
      </c>
      <c r="H474" s="12" t="str">
        <f aca="false">IF($K474="","",IF(INDEX('Prospect Tracker'!$K$5:$K$554,$K474)="","",INDEX('Prospect Tracker'!$K$5:$K$554,$K474)))</f>
        <v/>
      </c>
      <c r="I474" s="11" t="str">
        <f aca="false">IF($K474="","",IF(INDEX('Prospect Tracker'!$T$5:$T$554,$K474)="","",INDEX('Prospect Tracker'!$T$5:$T$554,$K474)))</f>
        <v/>
      </c>
      <c r="J474" s="11" t="str">
        <f aca="false">IF($K474="","",IF(INDEX('Prospect Tracker'!$L$5:$L$554,$K474)="","",INDEX('Prospect Tracker'!$L$5:$L$554,$K474)))</f>
        <v/>
      </c>
      <c r="K474" s="1" t="n">
        <f aca="false">IFERROR(MATCH(SMALL('Prospect Tracker'!$X$5:$X$554,ROW()-4),'Prospect Tracker'!$X$5:$X$554,0),"")</f>
        <v>470</v>
      </c>
    </row>
    <row r="475" customFormat="false" ht="15" hidden="false" customHeight="true" outlineLevel="0" collapsed="false">
      <c r="A475" s="6" t="str">
        <f aca="false">IF($K475="","",IF(INDEX('Prospect Tracker'!$W$5:$W$554,$K475)="","",INDEX('Prospect Tracker'!$W$5:$W$554,$K475)))</f>
        <v/>
      </c>
      <c r="B475" s="6" t="str">
        <f aca="false">IF($K475="","",IF(INDEX('Prospect Tracker'!$A$5:$A$554,$K475)="","",INDEX('Prospect Tracker'!$A$5:$A$554,$K475)))</f>
        <v/>
      </c>
      <c r="C475" s="6" t="str">
        <f aca="false">IF($K475="","",IF(INDEX('Prospect Tracker'!$B$5:$B$554,$K475)="","",INDEX('Prospect Tracker'!$B$5:$B$554,$K475)))</f>
        <v/>
      </c>
      <c r="D475" s="6" t="str">
        <f aca="false">IF($K475="","",IF(INDEX('Prospect Tracker'!$M$5:$M$554,$K475)="","",INDEX('Prospect Tracker'!$M$5:$M$554,$K475)))</f>
        <v/>
      </c>
      <c r="E475" s="6" t="str">
        <f aca="false">IF($K475="","",IF(INDEX('Prospect Tracker'!$R$5:$R$554,$K475)="","",INDEX('Prospect Tracker'!$R$5:$R$554,$K475)))</f>
        <v/>
      </c>
      <c r="F475" s="6" t="str">
        <f aca="false">IF($K475="","",IF(INDEX('Prospect Tracker'!$J$5:$J$554,$K475)="","",INDEX('Prospect Tracker'!$J$5:$J$554,$K475)))</f>
        <v/>
      </c>
      <c r="G475" s="6" t="str">
        <f aca="false">IF($K475="","",IF(INDEX('Prospect Tracker'!$H$5:$H$554,$K475)="","",INDEX('Prospect Tracker'!$H$5:$H$554,$K475)))</f>
        <v/>
      </c>
      <c r="H475" s="7" t="str">
        <f aca="false">IF($K475="","",IF(INDEX('Prospect Tracker'!$K$5:$K$554,$K475)="","",INDEX('Prospect Tracker'!$K$5:$K$554,$K475)))</f>
        <v/>
      </c>
      <c r="I475" s="6" t="str">
        <f aca="false">IF($K475="","",IF(INDEX('Prospect Tracker'!$T$5:$T$554,$K475)="","",INDEX('Prospect Tracker'!$T$5:$T$554,$K475)))</f>
        <v/>
      </c>
      <c r="J475" s="6" t="str">
        <f aca="false">IF($K475="","",IF(INDEX('Prospect Tracker'!$L$5:$L$554,$K475)="","",INDEX('Prospect Tracker'!$L$5:$L$554,$K475)))</f>
        <v/>
      </c>
      <c r="K475" s="1" t="n">
        <f aca="false">IFERROR(MATCH(SMALL('Prospect Tracker'!$X$5:$X$554,ROW()-4),'Prospect Tracker'!$X$5:$X$554,0),"")</f>
        <v>471</v>
      </c>
    </row>
    <row r="476" customFormat="false" ht="15" hidden="false" customHeight="true" outlineLevel="0" collapsed="false">
      <c r="A476" s="11" t="str">
        <f aca="false">IF($K476="","",IF(INDEX('Prospect Tracker'!$W$5:$W$554,$K476)="","",INDEX('Prospect Tracker'!$W$5:$W$554,$K476)))</f>
        <v/>
      </c>
      <c r="B476" s="11" t="str">
        <f aca="false">IF($K476="","",IF(INDEX('Prospect Tracker'!$A$5:$A$554,$K476)="","",INDEX('Prospect Tracker'!$A$5:$A$554,$K476)))</f>
        <v/>
      </c>
      <c r="C476" s="11" t="str">
        <f aca="false">IF($K476="","",IF(INDEX('Prospect Tracker'!$B$5:$B$554,$K476)="","",INDEX('Prospect Tracker'!$B$5:$B$554,$K476)))</f>
        <v/>
      </c>
      <c r="D476" s="11" t="str">
        <f aca="false">IF($K476="","",IF(INDEX('Prospect Tracker'!$M$5:$M$554,$K476)="","",INDEX('Prospect Tracker'!$M$5:$M$554,$K476)))</f>
        <v/>
      </c>
      <c r="E476" s="11" t="str">
        <f aca="false">IF($K476="","",IF(INDEX('Prospect Tracker'!$R$5:$R$554,$K476)="","",INDEX('Prospect Tracker'!$R$5:$R$554,$K476)))</f>
        <v/>
      </c>
      <c r="F476" s="11" t="str">
        <f aca="false">IF($K476="","",IF(INDEX('Prospect Tracker'!$J$5:$J$554,$K476)="","",INDEX('Prospect Tracker'!$J$5:$J$554,$K476)))</f>
        <v/>
      </c>
      <c r="G476" s="11" t="str">
        <f aca="false">IF($K476="","",IF(INDEX('Prospect Tracker'!$H$5:$H$554,$K476)="","",INDEX('Prospect Tracker'!$H$5:$H$554,$K476)))</f>
        <v/>
      </c>
      <c r="H476" s="12" t="str">
        <f aca="false">IF($K476="","",IF(INDEX('Prospect Tracker'!$K$5:$K$554,$K476)="","",INDEX('Prospect Tracker'!$K$5:$K$554,$K476)))</f>
        <v/>
      </c>
      <c r="I476" s="11" t="str">
        <f aca="false">IF($K476="","",IF(INDEX('Prospect Tracker'!$T$5:$T$554,$K476)="","",INDEX('Prospect Tracker'!$T$5:$T$554,$K476)))</f>
        <v/>
      </c>
      <c r="J476" s="11" t="str">
        <f aca="false">IF($K476="","",IF(INDEX('Prospect Tracker'!$L$5:$L$554,$K476)="","",INDEX('Prospect Tracker'!$L$5:$L$554,$K476)))</f>
        <v/>
      </c>
      <c r="K476" s="1" t="n">
        <f aca="false">IFERROR(MATCH(SMALL('Prospect Tracker'!$X$5:$X$554,ROW()-4),'Prospect Tracker'!$X$5:$X$554,0),"")</f>
        <v>472</v>
      </c>
    </row>
    <row r="477" customFormat="false" ht="15" hidden="false" customHeight="true" outlineLevel="0" collapsed="false">
      <c r="A477" s="6" t="str">
        <f aca="false">IF($K477="","",IF(INDEX('Prospect Tracker'!$W$5:$W$554,$K477)="","",INDEX('Prospect Tracker'!$W$5:$W$554,$K477)))</f>
        <v/>
      </c>
      <c r="B477" s="6" t="str">
        <f aca="false">IF($K477="","",IF(INDEX('Prospect Tracker'!$A$5:$A$554,$K477)="","",INDEX('Prospect Tracker'!$A$5:$A$554,$K477)))</f>
        <v/>
      </c>
      <c r="C477" s="6" t="str">
        <f aca="false">IF($K477="","",IF(INDEX('Prospect Tracker'!$B$5:$B$554,$K477)="","",INDEX('Prospect Tracker'!$B$5:$B$554,$K477)))</f>
        <v/>
      </c>
      <c r="D477" s="6" t="str">
        <f aca="false">IF($K477="","",IF(INDEX('Prospect Tracker'!$M$5:$M$554,$K477)="","",INDEX('Prospect Tracker'!$M$5:$M$554,$K477)))</f>
        <v/>
      </c>
      <c r="E477" s="6" t="str">
        <f aca="false">IF($K477="","",IF(INDEX('Prospect Tracker'!$R$5:$R$554,$K477)="","",INDEX('Prospect Tracker'!$R$5:$R$554,$K477)))</f>
        <v/>
      </c>
      <c r="F477" s="6" t="str">
        <f aca="false">IF($K477="","",IF(INDEX('Prospect Tracker'!$J$5:$J$554,$K477)="","",INDEX('Prospect Tracker'!$J$5:$J$554,$K477)))</f>
        <v/>
      </c>
      <c r="G477" s="6" t="str">
        <f aca="false">IF($K477="","",IF(INDEX('Prospect Tracker'!$H$5:$H$554,$K477)="","",INDEX('Prospect Tracker'!$H$5:$H$554,$K477)))</f>
        <v/>
      </c>
      <c r="H477" s="7" t="str">
        <f aca="false">IF($K477="","",IF(INDEX('Prospect Tracker'!$K$5:$K$554,$K477)="","",INDEX('Prospect Tracker'!$K$5:$K$554,$K477)))</f>
        <v/>
      </c>
      <c r="I477" s="6" t="str">
        <f aca="false">IF($K477="","",IF(INDEX('Prospect Tracker'!$T$5:$T$554,$K477)="","",INDEX('Prospect Tracker'!$T$5:$T$554,$K477)))</f>
        <v/>
      </c>
      <c r="J477" s="6" t="str">
        <f aca="false">IF($K477="","",IF(INDEX('Prospect Tracker'!$L$5:$L$554,$K477)="","",INDEX('Prospect Tracker'!$L$5:$L$554,$K477)))</f>
        <v/>
      </c>
      <c r="K477" s="1" t="n">
        <f aca="false">IFERROR(MATCH(SMALL('Prospect Tracker'!$X$5:$X$554,ROW()-4),'Prospect Tracker'!$X$5:$X$554,0),"")</f>
        <v>473</v>
      </c>
    </row>
    <row r="478" customFormat="false" ht="15" hidden="false" customHeight="true" outlineLevel="0" collapsed="false">
      <c r="A478" s="11" t="str">
        <f aca="false">IF($K478="","",IF(INDEX('Prospect Tracker'!$W$5:$W$554,$K478)="","",INDEX('Prospect Tracker'!$W$5:$W$554,$K478)))</f>
        <v/>
      </c>
      <c r="B478" s="11" t="str">
        <f aca="false">IF($K478="","",IF(INDEX('Prospect Tracker'!$A$5:$A$554,$K478)="","",INDEX('Prospect Tracker'!$A$5:$A$554,$K478)))</f>
        <v/>
      </c>
      <c r="C478" s="11" t="str">
        <f aca="false">IF($K478="","",IF(INDEX('Prospect Tracker'!$B$5:$B$554,$K478)="","",INDEX('Prospect Tracker'!$B$5:$B$554,$K478)))</f>
        <v/>
      </c>
      <c r="D478" s="11" t="str">
        <f aca="false">IF($K478="","",IF(INDEX('Prospect Tracker'!$M$5:$M$554,$K478)="","",INDEX('Prospect Tracker'!$M$5:$M$554,$K478)))</f>
        <v/>
      </c>
      <c r="E478" s="11" t="str">
        <f aca="false">IF($K478="","",IF(INDEX('Prospect Tracker'!$R$5:$R$554,$K478)="","",INDEX('Prospect Tracker'!$R$5:$R$554,$K478)))</f>
        <v/>
      </c>
      <c r="F478" s="11" t="str">
        <f aca="false">IF($K478="","",IF(INDEX('Prospect Tracker'!$J$5:$J$554,$K478)="","",INDEX('Prospect Tracker'!$J$5:$J$554,$K478)))</f>
        <v/>
      </c>
      <c r="G478" s="11" t="str">
        <f aca="false">IF($K478="","",IF(INDEX('Prospect Tracker'!$H$5:$H$554,$K478)="","",INDEX('Prospect Tracker'!$H$5:$H$554,$K478)))</f>
        <v/>
      </c>
      <c r="H478" s="12" t="str">
        <f aca="false">IF($K478="","",IF(INDEX('Prospect Tracker'!$K$5:$K$554,$K478)="","",INDEX('Prospect Tracker'!$K$5:$K$554,$K478)))</f>
        <v/>
      </c>
      <c r="I478" s="11" t="str">
        <f aca="false">IF($K478="","",IF(INDEX('Prospect Tracker'!$T$5:$T$554,$K478)="","",INDEX('Prospect Tracker'!$T$5:$T$554,$K478)))</f>
        <v/>
      </c>
      <c r="J478" s="11" t="str">
        <f aca="false">IF($K478="","",IF(INDEX('Prospect Tracker'!$L$5:$L$554,$K478)="","",INDEX('Prospect Tracker'!$L$5:$L$554,$K478)))</f>
        <v/>
      </c>
      <c r="K478" s="1" t="n">
        <f aca="false">IFERROR(MATCH(SMALL('Prospect Tracker'!$X$5:$X$554,ROW()-4),'Prospect Tracker'!$X$5:$X$554,0),"")</f>
        <v>474</v>
      </c>
    </row>
    <row r="479" customFormat="false" ht="15" hidden="false" customHeight="true" outlineLevel="0" collapsed="false">
      <c r="A479" s="6" t="str">
        <f aca="false">IF($K479="","",IF(INDEX('Prospect Tracker'!$W$5:$W$554,$K479)="","",INDEX('Prospect Tracker'!$W$5:$W$554,$K479)))</f>
        <v/>
      </c>
      <c r="B479" s="6" t="str">
        <f aca="false">IF($K479="","",IF(INDEX('Prospect Tracker'!$A$5:$A$554,$K479)="","",INDEX('Prospect Tracker'!$A$5:$A$554,$K479)))</f>
        <v/>
      </c>
      <c r="C479" s="6" t="str">
        <f aca="false">IF($K479="","",IF(INDEX('Prospect Tracker'!$B$5:$B$554,$K479)="","",INDEX('Prospect Tracker'!$B$5:$B$554,$K479)))</f>
        <v/>
      </c>
      <c r="D479" s="6" t="str">
        <f aca="false">IF($K479="","",IF(INDEX('Prospect Tracker'!$M$5:$M$554,$K479)="","",INDEX('Prospect Tracker'!$M$5:$M$554,$K479)))</f>
        <v/>
      </c>
      <c r="E479" s="6" t="str">
        <f aca="false">IF($K479="","",IF(INDEX('Prospect Tracker'!$R$5:$R$554,$K479)="","",INDEX('Prospect Tracker'!$R$5:$R$554,$K479)))</f>
        <v/>
      </c>
      <c r="F479" s="6" t="str">
        <f aca="false">IF($K479="","",IF(INDEX('Prospect Tracker'!$J$5:$J$554,$K479)="","",INDEX('Prospect Tracker'!$J$5:$J$554,$K479)))</f>
        <v/>
      </c>
      <c r="G479" s="6" t="str">
        <f aca="false">IF($K479="","",IF(INDEX('Prospect Tracker'!$H$5:$H$554,$K479)="","",INDEX('Prospect Tracker'!$H$5:$H$554,$K479)))</f>
        <v/>
      </c>
      <c r="H479" s="7" t="str">
        <f aca="false">IF($K479="","",IF(INDEX('Prospect Tracker'!$K$5:$K$554,$K479)="","",INDEX('Prospect Tracker'!$K$5:$K$554,$K479)))</f>
        <v/>
      </c>
      <c r="I479" s="6" t="str">
        <f aca="false">IF($K479="","",IF(INDEX('Prospect Tracker'!$T$5:$T$554,$K479)="","",INDEX('Prospect Tracker'!$T$5:$T$554,$K479)))</f>
        <v/>
      </c>
      <c r="J479" s="6" t="str">
        <f aca="false">IF($K479="","",IF(INDEX('Prospect Tracker'!$L$5:$L$554,$K479)="","",INDEX('Prospect Tracker'!$L$5:$L$554,$K479)))</f>
        <v/>
      </c>
      <c r="K479" s="1" t="n">
        <f aca="false">IFERROR(MATCH(SMALL('Prospect Tracker'!$X$5:$X$554,ROW()-4),'Prospect Tracker'!$X$5:$X$554,0),"")</f>
        <v>475</v>
      </c>
    </row>
    <row r="480" customFormat="false" ht="15" hidden="false" customHeight="true" outlineLevel="0" collapsed="false">
      <c r="A480" s="11" t="str">
        <f aca="false">IF($K480="","",IF(INDEX('Prospect Tracker'!$W$5:$W$554,$K480)="","",INDEX('Prospect Tracker'!$W$5:$W$554,$K480)))</f>
        <v/>
      </c>
      <c r="B480" s="11" t="str">
        <f aca="false">IF($K480="","",IF(INDEX('Prospect Tracker'!$A$5:$A$554,$K480)="","",INDEX('Prospect Tracker'!$A$5:$A$554,$K480)))</f>
        <v/>
      </c>
      <c r="C480" s="11" t="str">
        <f aca="false">IF($K480="","",IF(INDEX('Prospect Tracker'!$B$5:$B$554,$K480)="","",INDEX('Prospect Tracker'!$B$5:$B$554,$K480)))</f>
        <v/>
      </c>
      <c r="D480" s="11" t="str">
        <f aca="false">IF($K480="","",IF(INDEX('Prospect Tracker'!$M$5:$M$554,$K480)="","",INDEX('Prospect Tracker'!$M$5:$M$554,$K480)))</f>
        <v/>
      </c>
      <c r="E480" s="11" t="str">
        <f aca="false">IF($K480="","",IF(INDEX('Prospect Tracker'!$R$5:$R$554,$K480)="","",INDEX('Prospect Tracker'!$R$5:$R$554,$K480)))</f>
        <v/>
      </c>
      <c r="F480" s="11" t="str">
        <f aca="false">IF($K480="","",IF(INDEX('Prospect Tracker'!$J$5:$J$554,$K480)="","",INDEX('Prospect Tracker'!$J$5:$J$554,$K480)))</f>
        <v/>
      </c>
      <c r="G480" s="11" t="str">
        <f aca="false">IF($K480="","",IF(INDEX('Prospect Tracker'!$H$5:$H$554,$K480)="","",INDEX('Prospect Tracker'!$H$5:$H$554,$K480)))</f>
        <v/>
      </c>
      <c r="H480" s="12" t="str">
        <f aca="false">IF($K480="","",IF(INDEX('Prospect Tracker'!$K$5:$K$554,$K480)="","",INDEX('Prospect Tracker'!$K$5:$K$554,$K480)))</f>
        <v/>
      </c>
      <c r="I480" s="11" t="str">
        <f aca="false">IF($K480="","",IF(INDEX('Prospect Tracker'!$T$5:$T$554,$K480)="","",INDEX('Prospect Tracker'!$T$5:$T$554,$K480)))</f>
        <v/>
      </c>
      <c r="J480" s="11" t="str">
        <f aca="false">IF($K480="","",IF(INDEX('Prospect Tracker'!$L$5:$L$554,$K480)="","",INDEX('Prospect Tracker'!$L$5:$L$554,$K480)))</f>
        <v/>
      </c>
      <c r="K480" s="1" t="n">
        <f aca="false">IFERROR(MATCH(SMALL('Prospect Tracker'!$X$5:$X$554,ROW()-4),'Prospect Tracker'!$X$5:$X$554,0),"")</f>
        <v>476</v>
      </c>
    </row>
    <row r="481" customFormat="false" ht="15" hidden="false" customHeight="true" outlineLevel="0" collapsed="false">
      <c r="A481" s="6" t="str">
        <f aca="false">IF($K481="","",IF(INDEX('Prospect Tracker'!$W$5:$W$554,$K481)="","",INDEX('Prospect Tracker'!$W$5:$W$554,$K481)))</f>
        <v/>
      </c>
      <c r="B481" s="6" t="str">
        <f aca="false">IF($K481="","",IF(INDEX('Prospect Tracker'!$A$5:$A$554,$K481)="","",INDEX('Prospect Tracker'!$A$5:$A$554,$K481)))</f>
        <v/>
      </c>
      <c r="C481" s="6" t="str">
        <f aca="false">IF($K481="","",IF(INDEX('Prospect Tracker'!$B$5:$B$554,$K481)="","",INDEX('Prospect Tracker'!$B$5:$B$554,$K481)))</f>
        <v/>
      </c>
      <c r="D481" s="6" t="str">
        <f aca="false">IF($K481="","",IF(INDEX('Prospect Tracker'!$M$5:$M$554,$K481)="","",INDEX('Prospect Tracker'!$M$5:$M$554,$K481)))</f>
        <v/>
      </c>
      <c r="E481" s="6" t="str">
        <f aca="false">IF($K481="","",IF(INDEX('Prospect Tracker'!$R$5:$R$554,$K481)="","",INDEX('Prospect Tracker'!$R$5:$R$554,$K481)))</f>
        <v/>
      </c>
      <c r="F481" s="6" t="str">
        <f aca="false">IF($K481="","",IF(INDEX('Prospect Tracker'!$J$5:$J$554,$K481)="","",INDEX('Prospect Tracker'!$J$5:$J$554,$K481)))</f>
        <v/>
      </c>
      <c r="G481" s="6" t="str">
        <f aca="false">IF($K481="","",IF(INDEX('Prospect Tracker'!$H$5:$H$554,$K481)="","",INDEX('Prospect Tracker'!$H$5:$H$554,$K481)))</f>
        <v/>
      </c>
      <c r="H481" s="7" t="str">
        <f aca="false">IF($K481="","",IF(INDEX('Prospect Tracker'!$K$5:$K$554,$K481)="","",INDEX('Prospect Tracker'!$K$5:$K$554,$K481)))</f>
        <v/>
      </c>
      <c r="I481" s="6" t="str">
        <f aca="false">IF($K481="","",IF(INDEX('Prospect Tracker'!$T$5:$T$554,$K481)="","",INDEX('Prospect Tracker'!$T$5:$T$554,$K481)))</f>
        <v/>
      </c>
      <c r="J481" s="6" t="str">
        <f aca="false">IF($K481="","",IF(INDEX('Prospect Tracker'!$L$5:$L$554,$K481)="","",INDEX('Prospect Tracker'!$L$5:$L$554,$K481)))</f>
        <v/>
      </c>
      <c r="K481" s="1" t="n">
        <f aca="false">IFERROR(MATCH(SMALL('Prospect Tracker'!$X$5:$X$554,ROW()-4),'Prospect Tracker'!$X$5:$X$554,0),"")</f>
        <v>477</v>
      </c>
    </row>
    <row r="482" customFormat="false" ht="15" hidden="false" customHeight="true" outlineLevel="0" collapsed="false">
      <c r="A482" s="11" t="str">
        <f aca="false">IF($K482="","",IF(INDEX('Prospect Tracker'!$W$5:$W$554,$K482)="","",INDEX('Prospect Tracker'!$W$5:$W$554,$K482)))</f>
        <v/>
      </c>
      <c r="B482" s="11" t="str">
        <f aca="false">IF($K482="","",IF(INDEX('Prospect Tracker'!$A$5:$A$554,$K482)="","",INDEX('Prospect Tracker'!$A$5:$A$554,$K482)))</f>
        <v/>
      </c>
      <c r="C482" s="11" t="str">
        <f aca="false">IF($K482="","",IF(INDEX('Prospect Tracker'!$B$5:$B$554,$K482)="","",INDEX('Prospect Tracker'!$B$5:$B$554,$K482)))</f>
        <v/>
      </c>
      <c r="D482" s="11" t="str">
        <f aca="false">IF($K482="","",IF(INDEX('Prospect Tracker'!$M$5:$M$554,$K482)="","",INDEX('Prospect Tracker'!$M$5:$M$554,$K482)))</f>
        <v/>
      </c>
      <c r="E482" s="11" t="str">
        <f aca="false">IF($K482="","",IF(INDEX('Prospect Tracker'!$R$5:$R$554,$K482)="","",INDEX('Prospect Tracker'!$R$5:$R$554,$K482)))</f>
        <v/>
      </c>
      <c r="F482" s="11" t="str">
        <f aca="false">IF($K482="","",IF(INDEX('Prospect Tracker'!$J$5:$J$554,$K482)="","",INDEX('Prospect Tracker'!$J$5:$J$554,$K482)))</f>
        <v/>
      </c>
      <c r="G482" s="11" t="str">
        <f aca="false">IF($K482="","",IF(INDEX('Prospect Tracker'!$H$5:$H$554,$K482)="","",INDEX('Prospect Tracker'!$H$5:$H$554,$K482)))</f>
        <v/>
      </c>
      <c r="H482" s="12" t="str">
        <f aca="false">IF($K482="","",IF(INDEX('Prospect Tracker'!$K$5:$K$554,$K482)="","",INDEX('Prospect Tracker'!$K$5:$K$554,$K482)))</f>
        <v/>
      </c>
      <c r="I482" s="11" t="str">
        <f aca="false">IF($K482="","",IF(INDEX('Prospect Tracker'!$T$5:$T$554,$K482)="","",INDEX('Prospect Tracker'!$T$5:$T$554,$K482)))</f>
        <v/>
      </c>
      <c r="J482" s="11" t="str">
        <f aca="false">IF($K482="","",IF(INDEX('Prospect Tracker'!$L$5:$L$554,$K482)="","",INDEX('Prospect Tracker'!$L$5:$L$554,$K482)))</f>
        <v/>
      </c>
      <c r="K482" s="1" t="n">
        <f aca="false">IFERROR(MATCH(SMALL('Prospect Tracker'!$X$5:$X$554,ROW()-4),'Prospect Tracker'!$X$5:$X$554,0),"")</f>
        <v>478</v>
      </c>
    </row>
    <row r="483" customFormat="false" ht="15" hidden="false" customHeight="true" outlineLevel="0" collapsed="false">
      <c r="A483" s="6" t="str">
        <f aca="false">IF($K483="","",IF(INDEX('Prospect Tracker'!$W$5:$W$554,$K483)="","",INDEX('Prospect Tracker'!$W$5:$W$554,$K483)))</f>
        <v/>
      </c>
      <c r="B483" s="6" t="str">
        <f aca="false">IF($K483="","",IF(INDEX('Prospect Tracker'!$A$5:$A$554,$K483)="","",INDEX('Prospect Tracker'!$A$5:$A$554,$K483)))</f>
        <v/>
      </c>
      <c r="C483" s="6" t="str">
        <f aca="false">IF($K483="","",IF(INDEX('Prospect Tracker'!$B$5:$B$554,$K483)="","",INDEX('Prospect Tracker'!$B$5:$B$554,$K483)))</f>
        <v/>
      </c>
      <c r="D483" s="6" t="str">
        <f aca="false">IF($K483="","",IF(INDEX('Prospect Tracker'!$M$5:$M$554,$K483)="","",INDEX('Prospect Tracker'!$M$5:$M$554,$K483)))</f>
        <v/>
      </c>
      <c r="E483" s="6" t="str">
        <f aca="false">IF($K483="","",IF(INDEX('Prospect Tracker'!$R$5:$R$554,$K483)="","",INDEX('Prospect Tracker'!$R$5:$R$554,$K483)))</f>
        <v/>
      </c>
      <c r="F483" s="6" t="str">
        <f aca="false">IF($K483="","",IF(INDEX('Prospect Tracker'!$J$5:$J$554,$K483)="","",INDEX('Prospect Tracker'!$J$5:$J$554,$K483)))</f>
        <v/>
      </c>
      <c r="G483" s="6" t="str">
        <f aca="false">IF($K483="","",IF(INDEX('Prospect Tracker'!$H$5:$H$554,$K483)="","",INDEX('Prospect Tracker'!$H$5:$H$554,$K483)))</f>
        <v/>
      </c>
      <c r="H483" s="7" t="str">
        <f aca="false">IF($K483="","",IF(INDEX('Prospect Tracker'!$K$5:$K$554,$K483)="","",INDEX('Prospect Tracker'!$K$5:$K$554,$K483)))</f>
        <v/>
      </c>
      <c r="I483" s="6" t="str">
        <f aca="false">IF($K483="","",IF(INDEX('Prospect Tracker'!$T$5:$T$554,$K483)="","",INDEX('Prospect Tracker'!$T$5:$T$554,$K483)))</f>
        <v/>
      </c>
      <c r="J483" s="6" t="str">
        <f aca="false">IF($K483="","",IF(INDEX('Prospect Tracker'!$L$5:$L$554,$K483)="","",INDEX('Prospect Tracker'!$L$5:$L$554,$K483)))</f>
        <v/>
      </c>
      <c r="K483" s="1" t="n">
        <f aca="false">IFERROR(MATCH(SMALL('Prospect Tracker'!$X$5:$X$554,ROW()-4),'Prospect Tracker'!$X$5:$X$554,0),"")</f>
        <v>479</v>
      </c>
    </row>
    <row r="484" customFormat="false" ht="15" hidden="false" customHeight="true" outlineLevel="0" collapsed="false">
      <c r="A484" s="11" t="str">
        <f aca="false">IF($K484="","",IF(INDEX('Prospect Tracker'!$W$5:$W$554,$K484)="","",INDEX('Prospect Tracker'!$W$5:$W$554,$K484)))</f>
        <v/>
      </c>
      <c r="B484" s="11" t="str">
        <f aca="false">IF($K484="","",IF(INDEX('Prospect Tracker'!$A$5:$A$554,$K484)="","",INDEX('Prospect Tracker'!$A$5:$A$554,$K484)))</f>
        <v/>
      </c>
      <c r="C484" s="11" t="str">
        <f aca="false">IF($K484="","",IF(INDEX('Prospect Tracker'!$B$5:$B$554,$K484)="","",INDEX('Prospect Tracker'!$B$5:$B$554,$K484)))</f>
        <v/>
      </c>
      <c r="D484" s="11" t="str">
        <f aca="false">IF($K484="","",IF(INDEX('Prospect Tracker'!$M$5:$M$554,$K484)="","",INDEX('Prospect Tracker'!$M$5:$M$554,$K484)))</f>
        <v/>
      </c>
      <c r="E484" s="11" t="str">
        <f aca="false">IF($K484="","",IF(INDEX('Prospect Tracker'!$R$5:$R$554,$K484)="","",INDEX('Prospect Tracker'!$R$5:$R$554,$K484)))</f>
        <v/>
      </c>
      <c r="F484" s="11" t="str">
        <f aca="false">IF($K484="","",IF(INDEX('Prospect Tracker'!$J$5:$J$554,$K484)="","",INDEX('Prospect Tracker'!$J$5:$J$554,$K484)))</f>
        <v/>
      </c>
      <c r="G484" s="11" t="str">
        <f aca="false">IF($K484="","",IF(INDEX('Prospect Tracker'!$H$5:$H$554,$K484)="","",INDEX('Prospect Tracker'!$H$5:$H$554,$K484)))</f>
        <v/>
      </c>
      <c r="H484" s="12" t="str">
        <f aca="false">IF($K484="","",IF(INDEX('Prospect Tracker'!$K$5:$K$554,$K484)="","",INDEX('Prospect Tracker'!$K$5:$K$554,$K484)))</f>
        <v/>
      </c>
      <c r="I484" s="11" t="str">
        <f aca="false">IF($K484="","",IF(INDEX('Prospect Tracker'!$T$5:$T$554,$K484)="","",INDEX('Prospect Tracker'!$T$5:$T$554,$K484)))</f>
        <v/>
      </c>
      <c r="J484" s="11" t="str">
        <f aca="false">IF($K484="","",IF(INDEX('Prospect Tracker'!$L$5:$L$554,$K484)="","",INDEX('Prospect Tracker'!$L$5:$L$554,$K484)))</f>
        <v/>
      </c>
      <c r="K484" s="1" t="n">
        <f aca="false">IFERROR(MATCH(SMALL('Prospect Tracker'!$X$5:$X$554,ROW()-4),'Prospect Tracker'!$X$5:$X$554,0),"")</f>
        <v>480</v>
      </c>
    </row>
    <row r="485" customFormat="false" ht="15" hidden="false" customHeight="true" outlineLevel="0" collapsed="false">
      <c r="A485" s="6" t="str">
        <f aca="false">IF($K485="","",IF(INDEX('Prospect Tracker'!$W$5:$W$554,$K485)="","",INDEX('Prospect Tracker'!$W$5:$W$554,$K485)))</f>
        <v/>
      </c>
      <c r="B485" s="6" t="str">
        <f aca="false">IF($K485="","",IF(INDEX('Prospect Tracker'!$A$5:$A$554,$K485)="","",INDEX('Prospect Tracker'!$A$5:$A$554,$K485)))</f>
        <v/>
      </c>
      <c r="C485" s="6" t="str">
        <f aca="false">IF($K485="","",IF(INDEX('Prospect Tracker'!$B$5:$B$554,$K485)="","",INDEX('Prospect Tracker'!$B$5:$B$554,$K485)))</f>
        <v/>
      </c>
      <c r="D485" s="6" t="str">
        <f aca="false">IF($K485="","",IF(INDEX('Prospect Tracker'!$M$5:$M$554,$K485)="","",INDEX('Prospect Tracker'!$M$5:$M$554,$K485)))</f>
        <v/>
      </c>
      <c r="E485" s="6" t="str">
        <f aca="false">IF($K485="","",IF(INDEX('Prospect Tracker'!$R$5:$R$554,$K485)="","",INDEX('Prospect Tracker'!$R$5:$R$554,$K485)))</f>
        <v/>
      </c>
      <c r="F485" s="6" t="str">
        <f aca="false">IF($K485="","",IF(INDEX('Prospect Tracker'!$J$5:$J$554,$K485)="","",INDEX('Prospect Tracker'!$J$5:$J$554,$K485)))</f>
        <v/>
      </c>
      <c r="G485" s="6" t="str">
        <f aca="false">IF($K485="","",IF(INDEX('Prospect Tracker'!$H$5:$H$554,$K485)="","",INDEX('Prospect Tracker'!$H$5:$H$554,$K485)))</f>
        <v/>
      </c>
      <c r="H485" s="7" t="str">
        <f aca="false">IF($K485="","",IF(INDEX('Prospect Tracker'!$K$5:$K$554,$K485)="","",INDEX('Prospect Tracker'!$K$5:$K$554,$K485)))</f>
        <v/>
      </c>
      <c r="I485" s="6" t="str">
        <f aca="false">IF($K485="","",IF(INDEX('Prospect Tracker'!$T$5:$T$554,$K485)="","",INDEX('Prospect Tracker'!$T$5:$T$554,$K485)))</f>
        <v/>
      </c>
      <c r="J485" s="6" t="str">
        <f aca="false">IF($K485="","",IF(INDEX('Prospect Tracker'!$L$5:$L$554,$K485)="","",INDEX('Prospect Tracker'!$L$5:$L$554,$K485)))</f>
        <v/>
      </c>
      <c r="K485" s="1" t="n">
        <f aca="false">IFERROR(MATCH(SMALL('Prospect Tracker'!$X$5:$X$554,ROW()-4),'Prospect Tracker'!$X$5:$X$554,0),"")</f>
        <v>481</v>
      </c>
    </row>
    <row r="486" customFormat="false" ht="15" hidden="false" customHeight="true" outlineLevel="0" collapsed="false">
      <c r="A486" s="11" t="str">
        <f aca="false">IF($K486="","",IF(INDEX('Prospect Tracker'!$W$5:$W$554,$K486)="","",INDEX('Prospect Tracker'!$W$5:$W$554,$K486)))</f>
        <v/>
      </c>
      <c r="B486" s="11" t="str">
        <f aca="false">IF($K486="","",IF(INDEX('Prospect Tracker'!$A$5:$A$554,$K486)="","",INDEX('Prospect Tracker'!$A$5:$A$554,$K486)))</f>
        <v/>
      </c>
      <c r="C486" s="11" t="str">
        <f aca="false">IF($K486="","",IF(INDEX('Prospect Tracker'!$B$5:$B$554,$K486)="","",INDEX('Prospect Tracker'!$B$5:$B$554,$K486)))</f>
        <v/>
      </c>
      <c r="D486" s="11" t="str">
        <f aca="false">IF($K486="","",IF(INDEX('Prospect Tracker'!$M$5:$M$554,$K486)="","",INDEX('Prospect Tracker'!$M$5:$M$554,$K486)))</f>
        <v/>
      </c>
      <c r="E486" s="11" t="str">
        <f aca="false">IF($K486="","",IF(INDEX('Prospect Tracker'!$R$5:$R$554,$K486)="","",INDEX('Prospect Tracker'!$R$5:$R$554,$K486)))</f>
        <v/>
      </c>
      <c r="F486" s="11" t="str">
        <f aca="false">IF($K486="","",IF(INDEX('Prospect Tracker'!$J$5:$J$554,$K486)="","",INDEX('Prospect Tracker'!$J$5:$J$554,$K486)))</f>
        <v/>
      </c>
      <c r="G486" s="11" t="str">
        <f aca="false">IF($K486="","",IF(INDEX('Prospect Tracker'!$H$5:$H$554,$K486)="","",INDEX('Prospect Tracker'!$H$5:$H$554,$K486)))</f>
        <v/>
      </c>
      <c r="H486" s="12" t="str">
        <f aca="false">IF($K486="","",IF(INDEX('Prospect Tracker'!$K$5:$K$554,$K486)="","",INDEX('Prospect Tracker'!$K$5:$K$554,$K486)))</f>
        <v/>
      </c>
      <c r="I486" s="11" t="str">
        <f aca="false">IF($K486="","",IF(INDEX('Prospect Tracker'!$T$5:$T$554,$K486)="","",INDEX('Prospect Tracker'!$T$5:$T$554,$K486)))</f>
        <v/>
      </c>
      <c r="J486" s="11" t="str">
        <f aca="false">IF($K486="","",IF(INDEX('Prospect Tracker'!$L$5:$L$554,$K486)="","",INDEX('Prospect Tracker'!$L$5:$L$554,$K486)))</f>
        <v/>
      </c>
      <c r="K486" s="1" t="n">
        <f aca="false">IFERROR(MATCH(SMALL('Prospect Tracker'!$X$5:$X$554,ROW()-4),'Prospect Tracker'!$X$5:$X$554,0),"")</f>
        <v>482</v>
      </c>
    </row>
    <row r="487" customFormat="false" ht="15" hidden="false" customHeight="true" outlineLevel="0" collapsed="false">
      <c r="A487" s="6" t="str">
        <f aca="false">IF($K487="","",IF(INDEX('Prospect Tracker'!$W$5:$W$554,$K487)="","",INDEX('Prospect Tracker'!$W$5:$W$554,$K487)))</f>
        <v/>
      </c>
      <c r="B487" s="6" t="str">
        <f aca="false">IF($K487="","",IF(INDEX('Prospect Tracker'!$A$5:$A$554,$K487)="","",INDEX('Prospect Tracker'!$A$5:$A$554,$K487)))</f>
        <v/>
      </c>
      <c r="C487" s="6" t="str">
        <f aca="false">IF($K487="","",IF(INDEX('Prospect Tracker'!$B$5:$B$554,$K487)="","",INDEX('Prospect Tracker'!$B$5:$B$554,$K487)))</f>
        <v/>
      </c>
      <c r="D487" s="6" t="str">
        <f aca="false">IF($K487="","",IF(INDEX('Prospect Tracker'!$M$5:$M$554,$K487)="","",INDEX('Prospect Tracker'!$M$5:$M$554,$K487)))</f>
        <v/>
      </c>
      <c r="E487" s="6" t="str">
        <f aca="false">IF($K487="","",IF(INDEX('Prospect Tracker'!$R$5:$R$554,$K487)="","",INDEX('Prospect Tracker'!$R$5:$R$554,$K487)))</f>
        <v/>
      </c>
      <c r="F487" s="6" t="str">
        <f aca="false">IF($K487="","",IF(INDEX('Prospect Tracker'!$J$5:$J$554,$K487)="","",INDEX('Prospect Tracker'!$J$5:$J$554,$K487)))</f>
        <v/>
      </c>
      <c r="G487" s="6" t="str">
        <f aca="false">IF($K487="","",IF(INDEX('Prospect Tracker'!$H$5:$H$554,$K487)="","",INDEX('Prospect Tracker'!$H$5:$H$554,$K487)))</f>
        <v/>
      </c>
      <c r="H487" s="7" t="str">
        <f aca="false">IF($K487="","",IF(INDEX('Prospect Tracker'!$K$5:$K$554,$K487)="","",INDEX('Prospect Tracker'!$K$5:$K$554,$K487)))</f>
        <v/>
      </c>
      <c r="I487" s="6" t="str">
        <f aca="false">IF($K487="","",IF(INDEX('Prospect Tracker'!$T$5:$T$554,$K487)="","",INDEX('Prospect Tracker'!$T$5:$T$554,$K487)))</f>
        <v/>
      </c>
      <c r="J487" s="6" t="str">
        <f aca="false">IF($K487="","",IF(INDEX('Prospect Tracker'!$L$5:$L$554,$K487)="","",INDEX('Prospect Tracker'!$L$5:$L$554,$K487)))</f>
        <v/>
      </c>
      <c r="K487" s="1" t="n">
        <f aca="false">IFERROR(MATCH(SMALL('Prospect Tracker'!$X$5:$X$554,ROW()-4),'Prospect Tracker'!$X$5:$X$554,0),"")</f>
        <v>483</v>
      </c>
    </row>
    <row r="488" customFormat="false" ht="15" hidden="false" customHeight="true" outlineLevel="0" collapsed="false">
      <c r="A488" s="11" t="str">
        <f aca="false">IF($K488="","",IF(INDEX('Prospect Tracker'!$W$5:$W$554,$K488)="","",INDEX('Prospect Tracker'!$W$5:$W$554,$K488)))</f>
        <v/>
      </c>
      <c r="B488" s="11" t="str">
        <f aca="false">IF($K488="","",IF(INDEX('Prospect Tracker'!$A$5:$A$554,$K488)="","",INDEX('Prospect Tracker'!$A$5:$A$554,$K488)))</f>
        <v/>
      </c>
      <c r="C488" s="11" t="str">
        <f aca="false">IF($K488="","",IF(INDEX('Prospect Tracker'!$B$5:$B$554,$K488)="","",INDEX('Prospect Tracker'!$B$5:$B$554,$K488)))</f>
        <v/>
      </c>
      <c r="D488" s="11" t="str">
        <f aca="false">IF($K488="","",IF(INDEX('Prospect Tracker'!$M$5:$M$554,$K488)="","",INDEX('Prospect Tracker'!$M$5:$M$554,$K488)))</f>
        <v/>
      </c>
      <c r="E488" s="11" t="str">
        <f aca="false">IF($K488="","",IF(INDEX('Prospect Tracker'!$R$5:$R$554,$K488)="","",INDEX('Prospect Tracker'!$R$5:$R$554,$K488)))</f>
        <v/>
      </c>
      <c r="F488" s="11" t="str">
        <f aca="false">IF($K488="","",IF(INDEX('Prospect Tracker'!$J$5:$J$554,$K488)="","",INDEX('Prospect Tracker'!$J$5:$J$554,$K488)))</f>
        <v/>
      </c>
      <c r="G488" s="11" t="str">
        <f aca="false">IF($K488="","",IF(INDEX('Prospect Tracker'!$H$5:$H$554,$K488)="","",INDEX('Prospect Tracker'!$H$5:$H$554,$K488)))</f>
        <v/>
      </c>
      <c r="H488" s="12" t="str">
        <f aca="false">IF($K488="","",IF(INDEX('Prospect Tracker'!$K$5:$K$554,$K488)="","",INDEX('Prospect Tracker'!$K$5:$K$554,$K488)))</f>
        <v/>
      </c>
      <c r="I488" s="11" t="str">
        <f aca="false">IF($K488="","",IF(INDEX('Prospect Tracker'!$T$5:$T$554,$K488)="","",INDEX('Prospect Tracker'!$T$5:$T$554,$K488)))</f>
        <v/>
      </c>
      <c r="J488" s="11" t="str">
        <f aca="false">IF($K488="","",IF(INDEX('Prospect Tracker'!$L$5:$L$554,$K488)="","",INDEX('Prospect Tracker'!$L$5:$L$554,$K488)))</f>
        <v/>
      </c>
      <c r="K488" s="1" t="n">
        <f aca="false">IFERROR(MATCH(SMALL('Prospect Tracker'!$X$5:$X$554,ROW()-4),'Prospect Tracker'!$X$5:$X$554,0),"")</f>
        <v>484</v>
      </c>
    </row>
    <row r="489" customFormat="false" ht="15" hidden="false" customHeight="true" outlineLevel="0" collapsed="false">
      <c r="A489" s="6" t="str">
        <f aca="false">IF($K489="","",IF(INDEX('Prospect Tracker'!$W$5:$W$554,$K489)="","",INDEX('Prospect Tracker'!$W$5:$W$554,$K489)))</f>
        <v/>
      </c>
      <c r="B489" s="6" t="str">
        <f aca="false">IF($K489="","",IF(INDEX('Prospect Tracker'!$A$5:$A$554,$K489)="","",INDEX('Prospect Tracker'!$A$5:$A$554,$K489)))</f>
        <v/>
      </c>
      <c r="C489" s="6" t="str">
        <f aca="false">IF($K489="","",IF(INDEX('Prospect Tracker'!$B$5:$B$554,$K489)="","",INDEX('Prospect Tracker'!$B$5:$B$554,$K489)))</f>
        <v/>
      </c>
      <c r="D489" s="6" t="str">
        <f aca="false">IF($K489="","",IF(INDEX('Prospect Tracker'!$M$5:$M$554,$K489)="","",INDEX('Prospect Tracker'!$M$5:$M$554,$K489)))</f>
        <v/>
      </c>
      <c r="E489" s="6" t="str">
        <f aca="false">IF($K489="","",IF(INDEX('Prospect Tracker'!$R$5:$R$554,$K489)="","",INDEX('Prospect Tracker'!$R$5:$R$554,$K489)))</f>
        <v/>
      </c>
      <c r="F489" s="6" t="str">
        <f aca="false">IF($K489="","",IF(INDEX('Prospect Tracker'!$J$5:$J$554,$K489)="","",INDEX('Prospect Tracker'!$J$5:$J$554,$K489)))</f>
        <v/>
      </c>
      <c r="G489" s="6" t="str">
        <f aca="false">IF($K489="","",IF(INDEX('Prospect Tracker'!$H$5:$H$554,$K489)="","",INDEX('Prospect Tracker'!$H$5:$H$554,$K489)))</f>
        <v/>
      </c>
      <c r="H489" s="7" t="str">
        <f aca="false">IF($K489="","",IF(INDEX('Prospect Tracker'!$K$5:$K$554,$K489)="","",INDEX('Prospect Tracker'!$K$5:$K$554,$K489)))</f>
        <v/>
      </c>
      <c r="I489" s="6" t="str">
        <f aca="false">IF($K489="","",IF(INDEX('Prospect Tracker'!$T$5:$T$554,$K489)="","",INDEX('Prospect Tracker'!$T$5:$T$554,$K489)))</f>
        <v/>
      </c>
      <c r="J489" s="6" t="str">
        <f aca="false">IF($K489="","",IF(INDEX('Prospect Tracker'!$L$5:$L$554,$K489)="","",INDEX('Prospect Tracker'!$L$5:$L$554,$K489)))</f>
        <v/>
      </c>
      <c r="K489" s="1" t="n">
        <f aca="false">IFERROR(MATCH(SMALL('Prospect Tracker'!$X$5:$X$554,ROW()-4),'Prospect Tracker'!$X$5:$X$554,0),"")</f>
        <v>485</v>
      </c>
    </row>
    <row r="490" customFormat="false" ht="15" hidden="false" customHeight="true" outlineLevel="0" collapsed="false">
      <c r="A490" s="11" t="str">
        <f aca="false">IF($K490="","",IF(INDEX('Prospect Tracker'!$W$5:$W$554,$K490)="","",INDEX('Prospect Tracker'!$W$5:$W$554,$K490)))</f>
        <v/>
      </c>
      <c r="B490" s="11" t="str">
        <f aca="false">IF($K490="","",IF(INDEX('Prospect Tracker'!$A$5:$A$554,$K490)="","",INDEX('Prospect Tracker'!$A$5:$A$554,$K490)))</f>
        <v/>
      </c>
      <c r="C490" s="11" t="str">
        <f aca="false">IF($K490="","",IF(INDEX('Prospect Tracker'!$B$5:$B$554,$K490)="","",INDEX('Prospect Tracker'!$B$5:$B$554,$K490)))</f>
        <v/>
      </c>
      <c r="D490" s="11" t="str">
        <f aca="false">IF($K490="","",IF(INDEX('Prospect Tracker'!$M$5:$M$554,$K490)="","",INDEX('Prospect Tracker'!$M$5:$M$554,$K490)))</f>
        <v/>
      </c>
      <c r="E490" s="11" t="str">
        <f aca="false">IF($K490="","",IF(INDEX('Prospect Tracker'!$R$5:$R$554,$K490)="","",INDEX('Prospect Tracker'!$R$5:$R$554,$K490)))</f>
        <v/>
      </c>
      <c r="F490" s="11" t="str">
        <f aca="false">IF($K490="","",IF(INDEX('Prospect Tracker'!$J$5:$J$554,$K490)="","",INDEX('Prospect Tracker'!$J$5:$J$554,$K490)))</f>
        <v/>
      </c>
      <c r="G490" s="11" t="str">
        <f aca="false">IF($K490="","",IF(INDEX('Prospect Tracker'!$H$5:$H$554,$K490)="","",INDEX('Prospect Tracker'!$H$5:$H$554,$K490)))</f>
        <v/>
      </c>
      <c r="H490" s="12" t="str">
        <f aca="false">IF($K490="","",IF(INDEX('Prospect Tracker'!$K$5:$K$554,$K490)="","",INDEX('Prospect Tracker'!$K$5:$K$554,$K490)))</f>
        <v/>
      </c>
      <c r="I490" s="11" t="str">
        <f aca="false">IF($K490="","",IF(INDEX('Prospect Tracker'!$T$5:$T$554,$K490)="","",INDEX('Prospect Tracker'!$T$5:$T$554,$K490)))</f>
        <v/>
      </c>
      <c r="J490" s="11" t="str">
        <f aca="false">IF($K490="","",IF(INDEX('Prospect Tracker'!$L$5:$L$554,$K490)="","",INDEX('Prospect Tracker'!$L$5:$L$554,$K490)))</f>
        <v/>
      </c>
      <c r="K490" s="1" t="n">
        <f aca="false">IFERROR(MATCH(SMALL('Prospect Tracker'!$X$5:$X$554,ROW()-4),'Prospect Tracker'!$X$5:$X$554,0),"")</f>
        <v>486</v>
      </c>
    </row>
    <row r="491" customFormat="false" ht="15" hidden="false" customHeight="true" outlineLevel="0" collapsed="false">
      <c r="A491" s="6" t="str">
        <f aca="false">IF($K491="","",IF(INDEX('Prospect Tracker'!$W$5:$W$554,$K491)="","",INDEX('Prospect Tracker'!$W$5:$W$554,$K491)))</f>
        <v/>
      </c>
      <c r="B491" s="6" t="str">
        <f aca="false">IF($K491="","",IF(INDEX('Prospect Tracker'!$A$5:$A$554,$K491)="","",INDEX('Prospect Tracker'!$A$5:$A$554,$K491)))</f>
        <v/>
      </c>
      <c r="C491" s="6" t="str">
        <f aca="false">IF($K491="","",IF(INDEX('Prospect Tracker'!$B$5:$B$554,$K491)="","",INDEX('Prospect Tracker'!$B$5:$B$554,$K491)))</f>
        <v/>
      </c>
      <c r="D491" s="6" t="str">
        <f aca="false">IF($K491="","",IF(INDEX('Prospect Tracker'!$M$5:$M$554,$K491)="","",INDEX('Prospect Tracker'!$M$5:$M$554,$K491)))</f>
        <v/>
      </c>
      <c r="E491" s="6" t="str">
        <f aca="false">IF($K491="","",IF(INDEX('Prospect Tracker'!$R$5:$R$554,$K491)="","",INDEX('Prospect Tracker'!$R$5:$R$554,$K491)))</f>
        <v/>
      </c>
      <c r="F491" s="6" t="str">
        <f aca="false">IF($K491="","",IF(INDEX('Prospect Tracker'!$J$5:$J$554,$K491)="","",INDEX('Prospect Tracker'!$J$5:$J$554,$K491)))</f>
        <v/>
      </c>
      <c r="G491" s="6" t="str">
        <f aca="false">IF($K491="","",IF(INDEX('Prospect Tracker'!$H$5:$H$554,$K491)="","",INDEX('Prospect Tracker'!$H$5:$H$554,$K491)))</f>
        <v/>
      </c>
      <c r="H491" s="7" t="str">
        <f aca="false">IF($K491="","",IF(INDEX('Prospect Tracker'!$K$5:$K$554,$K491)="","",INDEX('Prospect Tracker'!$K$5:$K$554,$K491)))</f>
        <v/>
      </c>
      <c r="I491" s="6" t="str">
        <f aca="false">IF($K491="","",IF(INDEX('Prospect Tracker'!$T$5:$T$554,$K491)="","",INDEX('Prospect Tracker'!$T$5:$T$554,$K491)))</f>
        <v/>
      </c>
      <c r="J491" s="6" t="str">
        <f aca="false">IF($K491="","",IF(INDEX('Prospect Tracker'!$L$5:$L$554,$K491)="","",INDEX('Prospect Tracker'!$L$5:$L$554,$K491)))</f>
        <v/>
      </c>
      <c r="K491" s="1" t="n">
        <f aca="false">IFERROR(MATCH(SMALL('Prospect Tracker'!$X$5:$X$554,ROW()-4),'Prospect Tracker'!$X$5:$X$554,0),"")</f>
        <v>487</v>
      </c>
    </row>
    <row r="492" customFormat="false" ht="15" hidden="false" customHeight="true" outlineLevel="0" collapsed="false">
      <c r="A492" s="11" t="str">
        <f aca="false">IF($K492="","",IF(INDEX('Prospect Tracker'!$W$5:$W$554,$K492)="","",INDEX('Prospect Tracker'!$W$5:$W$554,$K492)))</f>
        <v/>
      </c>
      <c r="B492" s="11" t="str">
        <f aca="false">IF($K492="","",IF(INDEX('Prospect Tracker'!$A$5:$A$554,$K492)="","",INDEX('Prospect Tracker'!$A$5:$A$554,$K492)))</f>
        <v/>
      </c>
      <c r="C492" s="11" t="str">
        <f aca="false">IF($K492="","",IF(INDEX('Prospect Tracker'!$B$5:$B$554,$K492)="","",INDEX('Prospect Tracker'!$B$5:$B$554,$K492)))</f>
        <v/>
      </c>
      <c r="D492" s="11" t="str">
        <f aca="false">IF($K492="","",IF(INDEX('Prospect Tracker'!$M$5:$M$554,$K492)="","",INDEX('Prospect Tracker'!$M$5:$M$554,$K492)))</f>
        <v/>
      </c>
      <c r="E492" s="11" t="str">
        <f aca="false">IF($K492="","",IF(INDEX('Prospect Tracker'!$R$5:$R$554,$K492)="","",INDEX('Prospect Tracker'!$R$5:$R$554,$K492)))</f>
        <v/>
      </c>
      <c r="F492" s="11" t="str">
        <f aca="false">IF($K492="","",IF(INDEX('Prospect Tracker'!$J$5:$J$554,$K492)="","",INDEX('Prospect Tracker'!$J$5:$J$554,$K492)))</f>
        <v/>
      </c>
      <c r="G492" s="11" t="str">
        <f aca="false">IF($K492="","",IF(INDEX('Prospect Tracker'!$H$5:$H$554,$K492)="","",INDEX('Prospect Tracker'!$H$5:$H$554,$K492)))</f>
        <v/>
      </c>
      <c r="H492" s="12" t="str">
        <f aca="false">IF($K492="","",IF(INDEX('Prospect Tracker'!$K$5:$K$554,$K492)="","",INDEX('Prospect Tracker'!$K$5:$K$554,$K492)))</f>
        <v/>
      </c>
      <c r="I492" s="11" t="str">
        <f aca="false">IF($K492="","",IF(INDEX('Prospect Tracker'!$T$5:$T$554,$K492)="","",INDEX('Prospect Tracker'!$T$5:$T$554,$K492)))</f>
        <v/>
      </c>
      <c r="J492" s="11" t="str">
        <f aca="false">IF($K492="","",IF(INDEX('Prospect Tracker'!$L$5:$L$554,$K492)="","",INDEX('Prospect Tracker'!$L$5:$L$554,$K492)))</f>
        <v/>
      </c>
      <c r="K492" s="1" t="n">
        <f aca="false">IFERROR(MATCH(SMALL('Prospect Tracker'!$X$5:$X$554,ROW()-4),'Prospect Tracker'!$X$5:$X$554,0),"")</f>
        <v>488</v>
      </c>
    </row>
    <row r="493" customFormat="false" ht="15" hidden="false" customHeight="true" outlineLevel="0" collapsed="false">
      <c r="A493" s="6" t="str">
        <f aca="false">IF($K493="","",IF(INDEX('Prospect Tracker'!$W$5:$W$554,$K493)="","",INDEX('Prospect Tracker'!$W$5:$W$554,$K493)))</f>
        <v/>
      </c>
      <c r="B493" s="6" t="str">
        <f aca="false">IF($K493="","",IF(INDEX('Prospect Tracker'!$A$5:$A$554,$K493)="","",INDEX('Prospect Tracker'!$A$5:$A$554,$K493)))</f>
        <v/>
      </c>
      <c r="C493" s="6" t="str">
        <f aca="false">IF($K493="","",IF(INDEX('Prospect Tracker'!$B$5:$B$554,$K493)="","",INDEX('Prospect Tracker'!$B$5:$B$554,$K493)))</f>
        <v/>
      </c>
      <c r="D493" s="6" t="str">
        <f aca="false">IF($K493="","",IF(INDEX('Prospect Tracker'!$M$5:$M$554,$K493)="","",INDEX('Prospect Tracker'!$M$5:$M$554,$K493)))</f>
        <v/>
      </c>
      <c r="E493" s="6" t="str">
        <f aca="false">IF($K493="","",IF(INDEX('Prospect Tracker'!$R$5:$R$554,$K493)="","",INDEX('Prospect Tracker'!$R$5:$R$554,$K493)))</f>
        <v/>
      </c>
      <c r="F493" s="6" t="str">
        <f aca="false">IF($K493="","",IF(INDEX('Prospect Tracker'!$J$5:$J$554,$K493)="","",INDEX('Prospect Tracker'!$J$5:$J$554,$K493)))</f>
        <v/>
      </c>
      <c r="G493" s="6" t="str">
        <f aca="false">IF($K493="","",IF(INDEX('Prospect Tracker'!$H$5:$H$554,$K493)="","",INDEX('Prospect Tracker'!$H$5:$H$554,$K493)))</f>
        <v/>
      </c>
      <c r="H493" s="7" t="str">
        <f aca="false">IF($K493="","",IF(INDEX('Prospect Tracker'!$K$5:$K$554,$K493)="","",INDEX('Prospect Tracker'!$K$5:$K$554,$K493)))</f>
        <v/>
      </c>
      <c r="I493" s="6" t="str">
        <f aca="false">IF($K493="","",IF(INDEX('Prospect Tracker'!$T$5:$T$554,$K493)="","",INDEX('Prospect Tracker'!$T$5:$T$554,$K493)))</f>
        <v/>
      </c>
      <c r="J493" s="6" t="str">
        <f aca="false">IF($K493="","",IF(INDEX('Prospect Tracker'!$L$5:$L$554,$K493)="","",INDEX('Prospect Tracker'!$L$5:$L$554,$K493)))</f>
        <v/>
      </c>
      <c r="K493" s="1" t="n">
        <f aca="false">IFERROR(MATCH(SMALL('Prospect Tracker'!$X$5:$X$554,ROW()-4),'Prospect Tracker'!$X$5:$X$554,0),"")</f>
        <v>489</v>
      </c>
    </row>
    <row r="494" customFormat="false" ht="15" hidden="false" customHeight="true" outlineLevel="0" collapsed="false">
      <c r="A494" s="11" t="str">
        <f aca="false">IF($K494="","",IF(INDEX('Prospect Tracker'!$W$5:$W$554,$K494)="","",INDEX('Prospect Tracker'!$W$5:$W$554,$K494)))</f>
        <v/>
      </c>
      <c r="B494" s="11" t="str">
        <f aca="false">IF($K494="","",IF(INDEX('Prospect Tracker'!$A$5:$A$554,$K494)="","",INDEX('Prospect Tracker'!$A$5:$A$554,$K494)))</f>
        <v/>
      </c>
      <c r="C494" s="11" t="str">
        <f aca="false">IF($K494="","",IF(INDEX('Prospect Tracker'!$B$5:$B$554,$K494)="","",INDEX('Prospect Tracker'!$B$5:$B$554,$K494)))</f>
        <v/>
      </c>
      <c r="D494" s="11" t="str">
        <f aca="false">IF($K494="","",IF(INDEX('Prospect Tracker'!$M$5:$M$554,$K494)="","",INDEX('Prospect Tracker'!$M$5:$M$554,$K494)))</f>
        <v/>
      </c>
      <c r="E494" s="11" t="str">
        <f aca="false">IF($K494="","",IF(INDEX('Prospect Tracker'!$R$5:$R$554,$K494)="","",INDEX('Prospect Tracker'!$R$5:$R$554,$K494)))</f>
        <v/>
      </c>
      <c r="F494" s="11" t="str">
        <f aca="false">IF($K494="","",IF(INDEX('Prospect Tracker'!$J$5:$J$554,$K494)="","",INDEX('Prospect Tracker'!$J$5:$J$554,$K494)))</f>
        <v/>
      </c>
      <c r="G494" s="11" t="str">
        <f aca="false">IF($K494="","",IF(INDEX('Prospect Tracker'!$H$5:$H$554,$K494)="","",INDEX('Prospect Tracker'!$H$5:$H$554,$K494)))</f>
        <v/>
      </c>
      <c r="H494" s="12" t="str">
        <f aca="false">IF($K494="","",IF(INDEX('Prospect Tracker'!$K$5:$K$554,$K494)="","",INDEX('Prospect Tracker'!$K$5:$K$554,$K494)))</f>
        <v/>
      </c>
      <c r="I494" s="11" t="str">
        <f aca="false">IF($K494="","",IF(INDEX('Prospect Tracker'!$T$5:$T$554,$K494)="","",INDEX('Prospect Tracker'!$T$5:$T$554,$K494)))</f>
        <v/>
      </c>
      <c r="J494" s="11" t="str">
        <f aca="false">IF($K494="","",IF(INDEX('Prospect Tracker'!$L$5:$L$554,$K494)="","",INDEX('Prospect Tracker'!$L$5:$L$554,$K494)))</f>
        <v/>
      </c>
      <c r="K494" s="1" t="n">
        <f aca="false">IFERROR(MATCH(SMALL('Prospect Tracker'!$X$5:$X$554,ROW()-4),'Prospect Tracker'!$X$5:$X$554,0),"")</f>
        <v>490</v>
      </c>
    </row>
    <row r="495" customFormat="false" ht="15" hidden="false" customHeight="true" outlineLevel="0" collapsed="false">
      <c r="A495" s="6" t="str">
        <f aca="false">IF($K495="","",IF(INDEX('Prospect Tracker'!$W$5:$W$554,$K495)="","",INDEX('Prospect Tracker'!$W$5:$W$554,$K495)))</f>
        <v/>
      </c>
      <c r="B495" s="6" t="str">
        <f aca="false">IF($K495="","",IF(INDEX('Prospect Tracker'!$A$5:$A$554,$K495)="","",INDEX('Prospect Tracker'!$A$5:$A$554,$K495)))</f>
        <v/>
      </c>
      <c r="C495" s="6" t="str">
        <f aca="false">IF($K495="","",IF(INDEX('Prospect Tracker'!$B$5:$B$554,$K495)="","",INDEX('Prospect Tracker'!$B$5:$B$554,$K495)))</f>
        <v/>
      </c>
      <c r="D495" s="6" t="str">
        <f aca="false">IF($K495="","",IF(INDEX('Prospect Tracker'!$M$5:$M$554,$K495)="","",INDEX('Prospect Tracker'!$M$5:$M$554,$K495)))</f>
        <v/>
      </c>
      <c r="E495" s="6" t="str">
        <f aca="false">IF($K495="","",IF(INDEX('Prospect Tracker'!$R$5:$R$554,$K495)="","",INDEX('Prospect Tracker'!$R$5:$R$554,$K495)))</f>
        <v/>
      </c>
      <c r="F495" s="6" t="str">
        <f aca="false">IF($K495="","",IF(INDEX('Prospect Tracker'!$J$5:$J$554,$K495)="","",INDEX('Prospect Tracker'!$J$5:$J$554,$K495)))</f>
        <v/>
      </c>
      <c r="G495" s="6" t="str">
        <f aca="false">IF($K495="","",IF(INDEX('Prospect Tracker'!$H$5:$H$554,$K495)="","",INDEX('Prospect Tracker'!$H$5:$H$554,$K495)))</f>
        <v/>
      </c>
      <c r="H495" s="7" t="str">
        <f aca="false">IF($K495="","",IF(INDEX('Prospect Tracker'!$K$5:$K$554,$K495)="","",INDEX('Prospect Tracker'!$K$5:$K$554,$K495)))</f>
        <v/>
      </c>
      <c r="I495" s="6" t="str">
        <f aca="false">IF($K495="","",IF(INDEX('Prospect Tracker'!$T$5:$T$554,$K495)="","",INDEX('Prospect Tracker'!$T$5:$T$554,$K495)))</f>
        <v/>
      </c>
      <c r="J495" s="6" t="str">
        <f aca="false">IF($K495="","",IF(INDEX('Prospect Tracker'!$L$5:$L$554,$K495)="","",INDEX('Prospect Tracker'!$L$5:$L$554,$K495)))</f>
        <v/>
      </c>
      <c r="K495" s="1" t="n">
        <f aca="false">IFERROR(MATCH(SMALL('Prospect Tracker'!$X$5:$X$554,ROW()-4),'Prospect Tracker'!$X$5:$X$554,0),"")</f>
        <v>491</v>
      </c>
    </row>
    <row r="496" customFormat="false" ht="15" hidden="false" customHeight="true" outlineLevel="0" collapsed="false">
      <c r="A496" s="11" t="str">
        <f aca="false">IF($K496="","",IF(INDEX('Prospect Tracker'!$W$5:$W$554,$K496)="","",INDEX('Prospect Tracker'!$W$5:$W$554,$K496)))</f>
        <v/>
      </c>
      <c r="B496" s="11" t="str">
        <f aca="false">IF($K496="","",IF(INDEX('Prospect Tracker'!$A$5:$A$554,$K496)="","",INDEX('Prospect Tracker'!$A$5:$A$554,$K496)))</f>
        <v/>
      </c>
      <c r="C496" s="11" t="str">
        <f aca="false">IF($K496="","",IF(INDEX('Prospect Tracker'!$B$5:$B$554,$K496)="","",INDEX('Prospect Tracker'!$B$5:$B$554,$K496)))</f>
        <v/>
      </c>
      <c r="D496" s="11" t="str">
        <f aca="false">IF($K496="","",IF(INDEX('Prospect Tracker'!$M$5:$M$554,$K496)="","",INDEX('Prospect Tracker'!$M$5:$M$554,$K496)))</f>
        <v/>
      </c>
      <c r="E496" s="11" t="str">
        <f aca="false">IF($K496="","",IF(INDEX('Prospect Tracker'!$R$5:$R$554,$K496)="","",INDEX('Prospect Tracker'!$R$5:$R$554,$K496)))</f>
        <v/>
      </c>
      <c r="F496" s="11" t="str">
        <f aca="false">IF($K496="","",IF(INDEX('Prospect Tracker'!$J$5:$J$554,$K496)="","",INDEX('Prospect Tracker'!$J$5:$J$554,$K496)))</f>
        <v/>
      </c>
      <c r="G496" s="11" t="str">
        <f aca="false">IF($K496="","",IF(INDEX('Prospect Tracker'!$H$5:$H$554,$K496)="","",INDEX('Prospect Tracker'!$H$5:$H$554,$K496)))</f>
        <v/>
      </c>
      <c r="H496" s="12" t="str">
        <f aca="false">IF($K496="","",IF(INDEX('Prospect Tracker'!$K$5:$K$554,$K496)="","",INDEX('Prospect Tracker'!$K$5:$K$554,$K496)))</f>
        <v/>
      </c>
      <c r="I496" s="11" t="str">
        <f aca="false">IF($K496="","",IF(INDEX('Prospect Tracker'!$T$5:$T$554,$K496)="","",INDEX('Prospect Tracker'!$T$5:$T$554,$K496)))</f>
        <v/>
      </c>
      <c r="J496" s="11" t="str">
        <f aca="false">IF($K496="","",IF(INDEX('Prospect Tracker'!$L$5:$L$554,$K496)="","",INDEX('Prospect Tracker'!$L$5:$L$554,$K496)))</f>
        <v/>
      </c>
      <c r="K496" s="1" t="n">
        <f aca="false">IFERROR(MATCH(SMALL('Prospect Tracker'!$X$5:$X$554,ROW()-4),'Prospect Tracker'!$X$5:$X$554,0),"")</f>
        <v>492</v>
      </c>
    </row>
    <row r="497" customFormat="false" ht="15" hidden="false" customHeight="true" outlineLevel="0" collapsed="false">
      <c r="A497" s="6" t="str">
        <f aca="false">IF($K497="","",IF(INDEX('Prospect Tracker'!$W$5:$W$554,$K497)="","",INDEX('Prospect Tracker'!$W$5:$W$554,$K497)))</f>
        <v/>
      </c>
      <c r="B497" s="6" t="str">
        <f aca="false">IF($K497="","",IF(INDEX('Prospect Tracker'!$A$5:$A$554,$K497)="","",INDEX('Prospect Tracker'!$A$5:$A$554,$K497)))</f>
        <v/>
      </c>
      <c r="C497" s="6" t="str">
        <f aca="false">IF($K497="","",IF(INDEX('Prospect Tracker'!$B$5:$B$554,$K497)="","",INDEX('Prospect Tracker'!$B$5:$B$554,$K497)))</f>
        <v/>
      </c>
      <c r="D497" s="6" t="str">
        <f aca="false">IF($K497="","",IF(INDEX('Prospect Tracker'!$M$5:$M$554,$K497)="","",INDEX('Prospect Tracker'!$M$5:$M$554,$K497)))</f>
        <v/>
      </c>
      <c r="E497" s="6" t="str">
        <f aca="false">IF($K497="","",IF(INDEX('Prospect Tracker'!$R$5:$R$554,$K497)="","",INDEX('Prospect Tracker'!$R$5:$R$554,$K497)))</f>
        <v/>
      </c>
      <c r="F497" s="6" t="str">
        <f aca="false">IF($K497="","",IF(INDEX('Prospect Tracker'!$J$5:$J$554,$K497)="","",INDEX('Prospect Tracker'!$J$5:$J$554,$K497)))</f>
        <v/>
      </c>
      <c r="G497" s="6" t="str">
        <f aca="false">IF($K497="","",IF(INDEX('Prospect Tracker'!$H$5:$H$554,$K497)="","",INDEX('Prospect Tracker'!$H$5:$H$554,$K497)))</f>
        <v/>
      </c>
      <c r="H497" s="7" t="str">
        <f aca="false">IF($K497="","",IF(INDEX('Prospect Tracker'!$K$5:$K$554,$K497)="","",INDEX('Prospect Tracker'!$K$5:$K$554,$K497)))</f>
        <v/>
      </c>
      <c r="I497" s="6" t="str">
        <f aca="false">IF($K497="","",IF(INDEX('Prospect Tracker'!$T$5:$T$554,$K497)="","",INDEX('Prospect Tracker'!$T$5:$T$554,$K497)))</f>
        <v/>
      </c>
      <c r="J497" s="6" t="str">
        <f aca="false">IF($K497="","",IF(INDEX('Prospect Tracker'!$L$5:$L$554,$K497)="","",INDEX('Prospect Tracker'!$L$5:$L$554,$K497)))</f>
        <v/>
      </c>
      <c r="K497" s="1" t="n">
        <f aca="false">IFERROR(MATCH(SMALL('Prospect Tracker'!$X$5:$X$554,ROW()-4),'Prospect Tracker'!$X$5:$X$554,0),"")</f>
        <v>493</v>
      </c>
    </row>
    <row r="498" customFormat="false" ht="15" hidden="false" customHeight="true" outlineLevel="0" collapsed="false">
      <c r="A498" s="11" t="str">
        <f aca="false">IF($K498="","",IF(INDEX('Prospect Tracker'!$W$5:$W$554,$K498)="","",INDEX('Prospect Tracker'!$W$5:$W$554,$K498)))</f>
        <v/>
      </c>
      <c r="B498" s="11" t="str">
        <f aca="false">IF($K498="","",IF(INDEX('Prospect Tracker'!$A$5:$A$554,$K498)="","",INDEX('Prospect Tracker'!$A$5:$A$554,$K498)))</f>
        <v/>
      </c>
      <c r="C498" s="11" t="str">
        <f aca="false">IF($K498="","",IF(INDEX('Prospect Tracker'!$B$5:$B$554,$K498)="","",INDEX('Prospect Tracker'!$B$5:$B$554,$K498)))</f>
        <v/>
      </c>
      <c r="D498" s="11" t="str">
        <f aca="false">IF($K498="","",IF(INDEX('Prospect Tracker'!$M$5:$M$554,$K498)="","",INDEX('Prospect Tracker'!$M$5:$M$554,$K498)))</f>
        <v/>
      </c>
      <c r="E498" s="11" t="str">
        <f aca="false">IF($K498="","",IF(INDEX('Prospect Tracker'!$R$5:$R$554,$K498)="","",INDEX('Prospect Tracker'!$R$5:$R$554,$K498)))</f>
        <v/>
      </c>
      <c r="F498" s="11" t="str">
        <f aca="false">IF($K498="","",IF(INDEX('Prospect Tracker'!$J$5:$J$554,$K498)="","",INDEX('Prospect Tracker'!$J$5:$J$554,$K498)))</f>
        <v/>
      </c>
      <c r="G498" s="11" t="str">
        <f aca="false">IF($K498="","",IF(INDEX('Prospect Tracker'!$H$5:$H$554,$K498)="","",INDEX('Prospect Tracker'!$H$5:$H$554,$K498)))</f>
        <v/>
      </c>
      <c r="H498" s="12" t="str">
        <f aca="false">IF($K498="","",IF(INDEX('Prospect Tracker'!$K$5:$K$554,$K498)="","",INDEX('Prospect Tracker'!$K$5:$K$554,$K498)))</f>
        <v/>
      </c>
      <c r="I498" s="11" t="str">
        <f aca="false">IF($K498="","",IF(INDEX('Prospect Tracker'!$T$5:$T$554,$K498)="","",INDEX('Prospect Tracker'!$T$5:$T$554,$K498)))</f>
        <v/>
      </c>
      <c r="J498" s="11" t="str">
        <f aca="false">IF($K498="","",IF(INDEX('Prospect Tracker'!$L$5:$L$554,$K498)="","",INDEX('Prospect Tracker'!$L$5:$L$554,$K498)))</f>
        <v/>
      </c>
      <c r="K498" s="1" t="n">
        <f aca="false">IFERROR(MATCH(SMALL('Prospect Tracker'!$X$5:$X$554,ROW()-4),'Prospect Tracker'!$X$5:$X$554,0),"")</f>
        <v>494</v>
      </c>
    </row>
    <row r="499" customFormat="false" ht="15" hidden="false" customHeight="true" outlineLevel="0" collapsed="false">
      <c r="A499" s="6" t="str">
        <f aca="false">IF($K499="","",IF(INDEX('Prospect Tracker'!$W$5:$W$554,$K499)="","",INDEX('Prospect Tracker'!$W$5:$W$554,$K499)))</f>
        <v/>
      </c>
      <c r="B499" s="6" t="str">
        <f aca="false">IF($K499="","",IF(INDEX('Prospect Tracker'!$A$5:$A$554,$K499)="","",INDEX('Prospect Tracker'!$A$5:$A$554,$K499)))</f>
        <v/>
      </c>
      <c r="C499" s="6" t="str">
        <f aca="false">IF($K499="","",IF(INDEX('Prospect Tracker'!$B$5:$B$554,$K499)="","",INDEX('Prospect Tracker'!$B$5:$B$554,$K499)))</f>
        <v/>
      </c>
      <c r="D499" s="6" t="str">
        <f aca="false">IF($K499="","",IF(INDEX('Prospect Tracker'!$M$5:$M$554,$K499)="","",INDEX('Prospect Tracker'!$M$5:$M$554,$K499)))</f>
        <v/>
      </c>
      <c r="E499" s="6" t="str">
        <f aca="false">IF($K499="","",IF(INDEX('Prospect Tracker'!$R$5:$R$554,$K499)="","",INDEX('Prospect Tracker'!$R$5:$R$554,$K499)))</f>
        <v/>
      </c>
      <c r="F499" s="6" t="str">
        <f aca="false">IF($K499="","",IF(INDEX('Prospect Tracker'!$J$5:$J$554,$K499)="","",INDEX('Prospect Tracker'!$J$5:$J$554,$K499)))</f>
        <v/>
      </c>
      <c r="G499" s="6" t="str">
        <f aca="false">IF($K499="","",IF(INDEX('Prospect Tracker'!$H$5:$H$554,$K499)="","",INDEX('Prospect Tracker'!$H$5:$H$554,$K499)))</f>
        <v/>
      </c>
      <c r="H499" s="7" t="str">
        <f aca="false">IF($K499="","",IF(INDEX('Prospect Tracker'!$K$5:$K$554,$K499)="","",INDEX('Prospect Tracker'!$K$5:$K$554,$K499)))</f>
        <v/>
      </c>
      <c r="I499" s="6" t="str">
        <f aca="false">IF($K499="","",IF(INDEX('Prospect Tracker'!$T$5:$T$554,$K499)="","",INDEX('Prospect Tracker'!$T$5:$T$554,$K499)))</f>
        <v/>
      </c>
      <c r="J499" s="6" t="str">
        <f aca="false">IF($K499="","",IF(INDEX('Prospect Tracker'!$L$5:$L$554,$K499)="","",INDEX('Prospect Tracker'!$L$5:$L$554,$K499)))</f>
        <v/>
      </c>
      <c r="K499" s="1" t="n">
        <f aca="false">IFERROR(MATCH(SMALL('Prospect Tracker'!$X$5:$X$554,ROW()-4),'Prospect Tracker'!$X$5:$X$554,0),"")</f>
        <v>495</v>
      </c>
    </row>
    <row r="500" customFormat="false" ht="15" hidden="false" customHeight="true" outlineLevel="0" collapsed="false">
      <c r="A500" s="11" t="str">
        <f aca="false">IF($K500="","",IF(INDEX('Prospect Tracker'!$W$5:$W$554,$K500)="","",INDEX('Prospect Tracker'!$W$5:$W$554,$K500)))</f>
        <v/>
      </c>
      <c r="B500" s="11" t="str">
        <f aca="false">IF($K500="","",IF(INDEX('Prospect Tracker'!$A$5:$A$554,$K500)="","",INDEX('Prospect Tracker'!$A$5:$A$554,$K500)))</f>
        <v/>
      </c>
      <c r="C500" s="11" t="str">
        <f aca="false">IF($K500="","",IF(INDEX('Prospect Tracker'!$B$5:$B$554,$K500)="","",INDEX('Prospect Tracker'!$B$5:$B$554,$K500)))</f>
        <v/>
      </c>
      <c r="D500" s="11" t="str">
        <f aca="false">IF($K500="","",IF(INDEX('Prospect Tracker'!$M$5:$M$554,$K500)="","",INDEX('Prospect Tracker'!$M$5:$M$554,$K500)))</f>
        <v/>
      </c>
      <c r="E500" s="11" t="str">
        <f aca="false">IF($K500="","",IF(INDEX('Prospect Tracker'!$R$5:$R$554,$K500)="","",INDEX('Prospect Tracker'!$R$5:$R$554,$K500)))</f>
        <v/>
      </c>
      <c r="F500" s="11" t="str">
        <f aca="false">IF($K500="","",IF(INDEX('Prospect Tracker'!$J$5:$J$554,$K500)="","",INDEX('Prospect Tracker'!$J$5:$J$554,$K500)))</f>
        <v/>
      </c>
      <c r="G500" s="11" t="str">
        <f aca="false">IF($K500="","",IF(INDEX('Prospect Tracker'!$H$5:$H$554,$K500)="","",INDEX('Prospect Tracker'!$H$5:$H$554,$K500)))</f>
        <v/>
      </c>
      <c r="H500" s="12" t="str">
        <f aca="false">IF($K500="","",IF(INDEX('Prospect Tracker'!$K$5:$K$554,$K500)="","",INDEX('Prospect Tracker'!$K$5:$K$554,$K500)))</f>
        <v/>
      </c>
      <c r="I500" s="11" t="str">
        <f aca="false">IF($K500="","",IF(INDEX('Prospect Tracker'!$T$5:$T$554,$K500)="","",INDEX('Prospect Tracker'!$T$5:$T$554,$K500)))</f>
        <v/>
      </c>
      <c r="J500" s="11" t="str">
        <f aca="false">IF($K500="","",IF(INDEX('Prospect Tracker'!$L$5:$L$554,$K500)="","",INDEX('Prospect Tracker'!$L$5:$L$554,$K500)))</f>
        <v/>
      </c>
      <c r="K500" s="1" t="n">
        <f aca="false">IFERROR(MATCH(SMALL('Prospect Tracker'!$X$5:$X$554,ROW()-4),'Prospect Tracker'!$X$5:$X$554,0),"")</f>
        <v>496</v>
      </c>
    </row>
    <row r="501" customFormat="false" ht="15" hidden="false" customHeight="true" outlineLevel="0" collapsed="false">
      <c r="A501" s="6" t="str">
        <f aca="false">IF($K501="","",IF(INDEX('Prospect Tracker'!$W$5:$W$554,$K501)="","",INDEX('Prospect Tracker'!$W$5:$W$554,$K501)))</f>
        <v/>
      </c>
      <c r="B501" s="6" t="str">
        <f aca="false">IF($K501="","",IF(INDEX('Prospect Tracker'!$A$5:$A$554,$K501)="","",INDEX('Prospect Tracker'!$A$5:$A$554,$K501)))</f>
        <v/>
      </c>
      <c r="C501" s="6" t="str">
        <f aca="false">IF($K501="","",IF(INDEX('Prospect Tracker'!$B$5:$B$554,$K501)="","",INDEX('Prospect Tracker'!$B$5:$B$554,$K501)))</f>
        <v/>
      </c>
      <c r="D501" s="6" t="str">
        <f aca="false">IF($K501="","",IF(INDEX('Prospect Tracker'!$M$5:$M$554,$K501)="","",INDEX('Prospect Tracker'!$M$5:$M$554,$K501)))</f>
        <v/>
      </c>
      <c r="E501" s="6" t="str">
        <f aca="false">IF($K501="","",IF(INDEX('Prospect Tracker'!$R$5:$R$554,$K501)="","",INDEX('Prospect Tracker'!$R$5:$R$554,$K501)))</f>
        <v/>
      </c>
      <c r="F501" s="6" t="str">
        <f aca="false">IF($K501="","",IF(INDEX('Prospect Tracker'!$J$5:$J$554,$K501)="","",INDEX('Prospect Tracker'!$J$5:$J$554,$K501)))</f>
        <v/>
      </c>
      <c r="G501" s="6" t="str">
        <f aca="false">IF($K501="","",IF(INDEX('Prospect Tracker'!$H$5:$H$554,$K501)="","",INDEX('Prospect Tracker'!$H$5:$H$554,$K501)))</f>
        <v/>
      </c>
      <c r="H501" s="7" t="str">
        <f aca="false">IF($K501="","",IF(INDEX('Prospect Tracker'!$K$5:$K$554,$K501)="","",INDEX('Prospect Tracker'!$K$5:$K$554,$K501)))</f>
        <v/>
      </c>
      <c r="I501" s="6" t="str">
        <f aca="false">IF($K501="","",IF(INDEX('Prospect Tracker'!$T$5:$T$554,$K501)="","",INDEX('Prospect Tracker'!$T$5:$T$554,$K501)))</f>
        <v/>
      </c>
      <c r="J501" s="6" t="str">
        <f aca="false">IF($K501="","",IF(INDEX('Prospect Tracker'!$L$5:$L$554,$K501)="","",INDEX('Prospect Tracker'!$L$5:$L$554,$K501)))</f>
        <v/>
      </c>
      <c r="K501" s="1" t="n">
        <f aca="false">IFERROR(MATCH(SMALL('Prospect Tracker'!$X$5:$X$554,ROW()-4),'Prospect Tracker'!$X$5:$X$554,0),"")</f>
        <v>497</v>
      </c>
    </row>
    <row r="502" customFormat="false" ht="15" hidden="false" customHeight="true" outlineLevel="0" collapsed="false">
      <c r="A502" s="11" t="str">
        <f aca="false">IF($K502="","",IF(INDEX('Prospect Tracker'!$W$5:$W$554,$K502)="","",INDEX('Prospect Tracker'!$W$5:$W$554,$K502)))</f>
        <v/>
      </c>
      <c r="B502" s="11" t="str">
        <f aca="false">IF($K502="","",IF(INDEX('Prospect Tracker'!$A$5:$A$554,$K502)="","",INDEX('Prospect Tracker'!$A$5:$A$554,$K502)))</f>
        <v/>
      </c>
      <c r="C502" s="11" t="str">
        <f aca="false">IF($K502="","",IF(INDEX('Prospect Tracker'!$B$5:$B$554,$K502)="","",INDEX('Prospect Tracker'!$B$5:$B$554,$K502)))</f>
        <v/>
      </c>
      <c r="D502" s="11" t="str">
        <f aca="false">IF($K502="","",IF(INDEX('Prospect Tracker'!$M$5:$M$554,$K502)="","",INDEX('Prospect Tracker'!$M$5:$M$554,$K502)))</f>
        <v/>
      </c>
      <c r="E502" s="11" t="str">
        <f aca="false">IF($K502="","",IF(INDEX('Prospect Tracker'!$R$5:$R$554,$K502)="","",INDEX('Prospect Tracker'!$R$5:$R$554,$K502)))</f>
        <v/>
      </c>
      <c r="F502" s="11" t="str">
        <f aca="false">IF($K502="","",IF(INDEX('Prospect Tracker'!$J$5:$J$554,$K502)="","",INDEX('Prospect Tracker'!$J$5:$J$554,$K502)))</f>
        <v/>
      </c>
      <c r="G502" s="11" t="str">
        <f aca="false">IF($K502="","",IF(INDEX('Prospect Tracker'!$H$5:$H$554,$K502)="","",INDEX('Prospect Tracker'!$H$5:$H$554,$K502)))</f>
        <v/>
      </c>
      <c r="H502" s="12" t="str">
        <f aca="false">IF($K502="","",IF(INDEX('Prospect Tracker'!$K$5:$K$554,$K502)="","",INDEX('Prospect Tracker'!$K$5:$K$554,$K502)))</f>
        <v/>
      </c>
      <c r="I502" s="11" t="str">
        <f aca="false">IF($K502="","",IF(INDEX('Prospect Tracker'!$T$5:$T$554,$K502)="","",INDEX('Prospect Tracker'!$T$5:$T$554,$K502)))</f>
        <v/>
      </c>
      <c r="J502" s="11" t="str">
        <f aca="false">IF($K502="","",IF(INDEX('Prospect Tracker'!$L$5:$L$554,$K502)="","",INDEX('Prospect Tracker'!$L$5:$L$554,$K502)))</f>
        <v/>
      </c>
      <c r="K502" s="1" t="n">
        <f aca="false">IFERROR(MATCH(SMALL('Prospect Tracker'!$X$5:$X$554,ROW()-4),'Prospect Tracker'!$X$5:$X$554,0),"")</f>
        <v>498</v>
      </c>
    </row>
    <row r="503" customFormat="false" ht="15" hidden="false" customHeight="true" outlineLevel="0" collapsed="false">
      <c r="A503" s="6" t="str">
        <f aca="false">IF($K503="","",IF(INDEX('Prospect Tracker'!$W$5:$W$554,$K503)="","",INDEX('Prospect Tracker'!$W$5:$W$554,$K503)))</f>
        <v/>
      </c>
      <c r="B503" s="6" t="str">
        <f aca="false">IF($K503="","",IF(INDEX('Prospect Tracker'!$A$5:$A$554,$K503)="","",INDEX('Prospect Tracker'!$A$5:$A$554,$K503)))</f>
        <v/>
      </c>
      <c r="C503" s="6" t="str">
        <f aca="false">IF($K503="","",IF(INDEX('Prospect Tracker'!$B$5:$B$554,$K503)="","",INDEX('Prospect Tracker'!$B$5:$B$554,$K503)))</f>
        <v/>
      </c>
      <c r="D503" s="6" t="str">
        <f aca="false">IF($K503="","",IF(INDEX('Prospect Tracker'!$M$5:$M$554,$K503)="","",INDEX('Prospect Tracker'!$M$5:$M$554,$K503)))</f>
        <v/>
      </c>
      <c r="E503" s="6" t="str">
        <f aca="false">IF($K503="","",IF(INDEX('Prospect Tracker'!$R$5:$R$554,$K503)="","",INDEX('Prospect Tracker'!$R$5:$R$554,$K503)))</f>
        <v/>
      </c>
      <c r="F503" s="6" t="str">
        <f aca="false">IF($K503="","",IF(INDEX('Prospect Tracker'!$J$5:$J$554,$K503)="","",INDEX('Prospect Tracker'!$J$5:$J$554,$K503)))</f>
        <v/>
      </c>
      <c r="G503" s="6" t="str">
        <f aca="false">IF($K503="","",IF(INDEX('Prospect Tracker'!$H$5:$H$554,$K503)="","",INDEX('Prospect Tracker'!$H$5:$H$554,$K503)))</f>
        <v/>
      </c>
      <c r="H503" s="7" t="str">
        <f aca="false">IF($K503="","",IF(INDEX('Prospect Tracker'!$K$5:$K$554,$K503)="","",INDEX('Prospect Tracker'!$K$5:$K$554,$K503)))</f>
        <v/>
      </c>
      <c r="I503" s="6" t="str">
        <f aca="false">IF($K503="","",IF(INDEX('Prospect Tracker'!$T$5:$T$554,$K503)="","",INDEX('Prospect Tracker'!$T$5:$T$554,$K503)))</f>
        <v/>
      </c>
      <c r="J503" s="6" t="str">
        <f aca="false">IF($K503="","",IF(INDEX('Prospect Tracker'!$L$5:$L$554,$K503)="","",INDEX('Prospect Tracker'!$L$5:$L$554,$K503)))</f>
        <v/>
      </c>
      <c r="K503" s="1" t="n">
        <f aca="false">IFERROR(MATCH(SMALL('Prospect Tracker'!$X$5:$X$554,ROW()-4),'Prospect Tracker'!$X$5:$X$554,0),"")</f>
        <v>499</v>
      </c>
    </row>
    <row r="504" customFormat="false" ht="15" hidden="false" customHeight="true" outlineLevel="0" collapsed="false">
      <c r="A504" s="11" t="str">
        <f aca="false">IF($K504="","",IF(INDEX('Prospect Tracker'!$W$5:$W$554,$K504)="","",INDEX('Prospect Tracker'!$W$5:$W$554,$K504)))</f>
        <v/>
      </c>
      <c r="B504" s="11" t="str">
        <f aca="false">IF($K504="","",IF(INDEX('Prospect Tracker'!$A$5:$A$554,$K504)="","",INDEX('Prospect Tracker'!$A$5:$A$554,$K504)))</f>
        <v/>
      </c>
      <c r="C504" s="11" t="str">
        <f aca="false">IF($K504="","",IF(INDEX('Prospect Tracker'!$B$5:$B$554,$K504)="","",INDEX('Prospect Tracker'!$B$5:$B$554,$K504)))</f>
        <v/>
      </c>
      <c r="D504" s="11" t="str">
        <f aca="false">IF($K504="","",IF(INDEX('Prospect Tracker'!$M$5:$M$554,$K504)="","",INDEX('Prospect Tracker'!$M$5:$M$554,$K504)))</f>
        <v/>
      </c>
      <c r="E504" s="11" t="str">
        <f aca="false">IF($K504="","",IF(INDEX('Prospect Tracker'!$R$5:$R$554,$K504)="","",INDEX('Prospect Tracker'!$R$5:$R$554,$K504)))</f>
        <v/>
      </c>
      <c r="F504" s="11" t="str">
        <f aca="false">IF($K504="","",IF(INDEX('Prospect Tracker'!$J$5:$J$554,$K504)="","",INDEX('Prospect Tracker'!$J$5:$J$554,$K504)))</f>
        <v/>
      </c>
      <c r="G504" s="11" t="str">
        <f aca="false">IF($K504="","",IF(INDEX('Prospect Tracker'!$H$5:$H$554,$K504)="","",INDEX('Prospect Tracker'!$H$5:$H$554,$K504)))</f>
        <v/>
      </c>
      <c r="H504" s="12" t="str">
        <f aca="false">IF($K504="","",IF(INDEX('Prospect Tracker'!$K$5:$K$554,$K504)="","",INDEX('Prospect Tracker'!$K$5:$K$554,$K504)))</f>
        <v/>
      </c>
      <c r="I504" s="11" t="str">
        <f aca="false">IF($K504="","",IF(INDEX('Prospect Tracker'!$T$5:$T$554,$K504)="","",INDEX('Prospect Tracker'!$T$5:$T$554,$K504)))</f>
        <v/>
      </c>
      <c r="J504" s="11" t="str">
        <f aca="false">IF($K504="","",IF(INDEX('Prospect Tracker'!$L$5:$L$554,$K504)="","",INDEX('Prospect Tracker'!$L$5:$L$554,$K504)))</f>
        <v/>
      </c>
      <c r="K504" s="1" t="n">
        <f aca="false">IFERROR(MATCH(SMALL('Prospect Tracker'!$X$5:$X$554,ROW()-4),'Prospect Tracker'!$X$5:$X$554,0),"")</f>
        <v>500</v>
      </c>
    </row>
    <row r="505" customFormat="false" ht="15" hidden="false" customHeight="true" outlineLevel="0" collapsed="false">
      <c r="A505" s="6" t="str">
        <f aca="false">IF($K505="","",IF(INDEX('Prospect Tracker'!$W$5:$W$554,$K505)="","",INDEX('Prospect Tracker'!$W$5:$W$554,$K505)))</f>
        <v/>
      </c>
      <c r="B505" s="6" t="str">
        <f aca="false">IF($K505="","",IF(INDEX('Prospect Tracker'!$A$5:$A$554,$K505)="","",INDEX('Prospect Tracker'!$A$5:$A$554,$K505)))</f>
        <v/>
      </c>
      <c r="C505" s="6" t="str">
        <f aca="false">IF($K505="","",IF(INDEX('Prospect Tracker'!$B$5:$B$554,$K505)="","",INDEX('Prospect Tracker'!$B$5:$B$554,$K505)))</f>
        <v/>
      </c>
      <c r="D505" s="6" t="str">
        <f aca="false">IF($K505="","",IF(INDEX('Prospect Tracker'!$M$5:$M$554,$K505)="","",INDEX('Prospect Tracker'!$M$5:$M$554,$K505)))</f>
        <v/>
      </c>
      <c r="E505" s="6" t="str">
        <f aca="false">IF($K505="","",IF(INDEX('Prospect Tracker'!$R$5:$R$554,$K505)="","",INDEX('Prospect Tracker'!$R$5:$R$554,$K505)))</f>
        <v/>
      </c>
      <c r="F505" s="6" t="str">
        <f aca="false">IF($K505="","",IF(INDEX('Prospect Tracker'!$J$5:$J$554,$K505)="","",INDEX('Prospect Tracker'!$J$5:$J$554,$K505)))</f>
        <v/>
      </c>
      <c r="G505" s="6" t="str">
        <f aca="false">IF($K505="","",IF(INDEX('Prospect Tracker'!$H$5:$H$554,$K505)="","",INDEX('Prospect Tracker'!$H$5:$H$554,$K505)))</f>
        <v/>
      </c>
      <c r="H505" s="7" t="str">
        <f aca="false">IF($K505="","",IF(INDEX('Prospect Tracker'!$K$5:$K$554,$K505)="","",INDEX('Prospect Tracker'!$K$5:$K$554,$K505)))</f>
        <v/>
      </c>
      <c r="I505" s="6" t="str">
        <f aca="false">IF($K505="","",IF(INDEX('Prospect Tracker'!$T$5:$T$554,$K505)="","",INDEX('Prospect Tracker'!$T$5:$T$554,$K505)))</f>
        <v/>
      </c>
      <c r="J505" s="6" t="str">
        <f aca="false">IF($K505="","",IF(INDEX('Prospect Tracker'!$L$5:$L$554,$K505)="","",INDEX('Prospect Tracker'!$L$5:$L$554,$K505)))</f>
        <v/>
      </c>
      <c r="K505" s="1" t="n">
        <f aca="false">IFERROR(MATCH(SMALL('Prospect Tracker'!$X$5:$X$554,ROW()-4),'Prospect Tracker'!$X$5:$X$554,0),"")</f>
        <v>501</v>
      </c>
    </row>
    <row r="506" customFormat="false" ht="15" hidden="false" customHeight="true" outlineLevel="0" collapsed="false">
      <c r="A506" s="11" t="str">
        <f aca="false">IF($K506="","",IF(INDEX('Prospect Tracker'!$W$5:$W$554,$K506)="","",INDEX('Prospect Tracker'!$W$5:$W$554,$K506)))</f>
        <v/>
      </c>
      <c r="B506" s="11" t="str">
        <f aca="false">IF($K506="","",IF(INDEX('Prospect Tracker'!$A$5:$A$554,$K506)="","",INDEX('Prospect Tracker'!$A$5:$A$554,$K506)))</f>
        <v/>
      </c>
      <c r="C506" s="11" t="str">
        <f aca="false">IF($K506="","",IF(INDEX('Prospect Tracker'!$B$5:$B$554,$K506)="","",INDEX('Prospect Tracker'!$B$5:$B$554,$K506)))</f>
        <v/>
      </c>
      <c r="D506" s="11" t="str">
        <f aca="false">IF($K506="","",IF(INDEX('Prospect Tracker'!$M$5:$M$554,$K506)="","",INDEX('Prospect Tracker'!$M$5:$M$554,$K506)))</f>
        <v/>
      </c>
      <c r="E506" s="11" t="str">
        <f aca="false">IF($K506="","",IF(INDEX('Prospect Tracker'!$R$5:$R$554,$K506)="","",INDEX('Prospect Tracker'!$R$5:$R$554,$K506)))</f>
        <v/>
      </c>
      <c r="F506" s="11" t="str">
        <f aca="false">IF($K506="","",IF(INDEX('Prospect Tracker'!$J$5:$J$554,$K506)="","",INDEX('Prospect Tracker'!$J$5:$J$554,$K506)))</f>
        <v/>
      </c>
      <c r="G506" s="11" t="str">
        <f aca="false">IF($K506="","",IF(INDEX('Prospect Tracker'!$H$5:$H$554,$K506)="","",INDEX('Prospect Tracker'!$H$5:$H$554,$K506)))</f>
        <v/>
      </c>
      <c r="H506" s="12" t="str">
        <f aca="false">IF($K506="","",IF(INDEX('Prospect Tracker'!$K$5:$K$554,$K506)="","",INDEX('Prospect Tracker'!$K$5:$K$554,$K506)))</f>
        <v/>
      </c>
      <c r="I506" s="11" t="str">
        <f aca="false">IF($K506="","",IF(INDEX('Prospect Tracker'!$T$5:$T$554,$K506)="","",INDEX('Prospect Tracker'!$T$5:$T$554,$K506)))</f>
        <v/>
      </c>
      <c r="J506" s="11" t="str">
        <f aca="false">IF($K506="","",IF(INDEX('Prospect Tracker'!$L$5:$L$554,$K506)="","",INDEX('Prospect Tracker'!$L$5:$L$554,$K506)))</f>
        <v/>
      </c>
      <c r="K506" s="1" t="n">
        <f aca="false">IFERROR(MATCH(SMALL('Prospect Tracker'!$X$5:$X$554,ROW()-4),'Prospect Tracker'!$X$5:$X$554,0),"")</f>
        <v>502</v>
      </c>
    </row>
    <row r="507" customFormat="false" ht="15" hidden="false" customHeight="true" outlineLevel="0" collapsed="false">
      <c r="A507" s="6" t="str">
        <f aca="false">IF($K507="","",IF(INDEX('Prospect Tracker'!$W$5:$W$554,$K507)="","",INDEX('Prospect Tracker'!$W$5:$W$554,$K507)))</f>
        <v/>
      </c>
      <c r="B507" s="6" t="str">
        <f aca="false">IF($K507="","",IF(INDEX('Prospect Tracker'!$A$5:$A$554,$K507)="","",INDEX('Prospect Tracker'!$A$5:$A$554,$K507)))</f>
        <v/>
      </c>
      <c r="C507" s="6" t="str">
        <f aca="false">IF($K507="","",IF(INDEX('Prospect Tracker'!$B$5:$B$554,$K507)="","",INDEX('Prospect Tracker'!$B$5:$B$554,$K507)))</f>
        <v/>
      </c>
      <c r="D507" s="6" t="str">
        <f aca="false">IF($K507="","",IF(INDEX('Prospect Tracker'!$M$5:$M$554,$K507)="","",INDEX('Prospect Tracker'!$M$5:$M$554,$K507)))</f>
        <v/>
      </c>
      <c r="E507" s="6" t="str">
        <f aca="false">IF($K507="","",IF(INDEX('Prospect Tracker'!$R$5:$R$554,$K507)="","",INDEX('Prospect Tracker'!$R$5:$R$554,$K507)))</f>
        <v/>
      </c>
      <c r="F507" s="6" t="str">
        <f aca="false">IF($K507="","",IF(INDEX('Prospect Tracker'!$J$5:$J$554,$K507)="","",INDEX('Prospect Tracker'!$J$5:$J$554,$K507)))</f>
        <v/>
      </c>
      <c r="G507" s="6" t="str">
        <f aca="false">IF($K507="","",IF(INDEX('Prospect Tracker'!$H$5:$H$554,$K507)="","",INDEX('Prospect Tracker'!$H$5:$H$554,$K507)))</f>
        <v/>
      </c>
      <c r="H507" s="7" t="str">
        <f aca="false">IF($K507="","",IF(INDEX('Prospect Tracker'!$K$5:$K$554,$K507)="","",INDEX('Prospect Tracker'!$K$5:$K$554,$K507)))</f>
        <v/>
      </c>
      <c r="I507" s="6" t="str">
        <f aca="false">IF($K507="","",IF(INDEX('Prospect Tracker'!$T$5:$T$554,$K507)="","",INDEX('Prospect Tracker'!$T$5:$T$554,$K507)))</f>
        <v/>
      </c>
      <c r="J507" s="6" t="str">
        <f aca="false">IF($K507="","",IF(INDEX('Prospect Tracker'!$L$5:$L$554,$K507)="","",INDEX('Prospect Tracker'!$L$5:$L$554,$K507)))</f>
        <v/>
      </c>
      <c r="K507" s="1" t="n">
        <f aca="false">IFERROR(MATCH(SMALL('Prospect Tracker'!$X$5:$X$554,ROW()-4),'Prospect Tracker'!$X$5:$X$554,0),"")</f>
        <v>503</v>
      </c>
    </row>
    <row r="508" customFormat="false" ht="15" hidden="false" customHeight="true" outlineLevel="0" collapsed="false">
      <c r="A508" s="11" t="str">
        <f aca="false">IF($K508="","",IF(INDEX('Prospect Tracker'!$W$5:$W$554,$K508)="","",INDEX('Prospect Tracker'!$W$5:$W$554,$K508)))</f>
        <v/>
      </c>
      <c r="B508" s="11" t="str">
        <f aca="false">IF($K508="","",IF(INDEX('Prospect Tracker'!$A$5:$A$554,$K508)="","",INDEX('Prospect Tracker'!$A$5:$A$554,$K508)))</f>
        <v/>
      </c>
      <c r="C508" s="11" t="str">
        <f aca="false">IF($K508="","",IF(INDEX('Prospect Tracker'!$B$5:$B$554,$K508)="","",INDEX('Prospect Tracker'!$B$5:$B$554,$K508)))</f>
        <v/>
      </c>
      <c r="D508" s="11" t="str">
        <f aca="false">IF($K508="","",IF(INDEX('Prospect Tracker'!$M$5:$M$554,$K508)="","",INDEX('Prospect Tracker'!$M$5:$M$554,$K508)))</f>
        <v/>
      </c>
      <c r="E508" s="11" t="str">
        <f aca="false">IF($K508="","",IF(INDEX('Prospect Tracker'!$R$5:$R$554,$K508)="","",INDEX('Prospect Tracker'!$R$5:$R$554,$K508)))</f>
        <v/>
      </c>
      <c r="F508" s="11" t="str">
        <f aca="false">IF($K508="","",IF(INDEX('Prospect Tracker'!$J$5:$J$554,$K508)="","",INDEX('Prospect Tracker'!$J$5:$J$554,$K508)))</f>
        <v/>
      </c>
      <c r="G508" s="11" t="str">
        <f aca="false">IF($K508="","",IF(INDEX('Prospect Tracker'!$H$5:$H$554,$K508)="","",INDEX('Prospect Tracker'!$H$5:$H$554,$K508)))</f>
        <v/>
      </c>
      <c r="H508" s="12" t="str">
        <f aca="false">IF($K508="","",IF(INDEX('Prospect Tracker'!$K$5:$K$554,$K508)="","",INDEX('Prospect Tracker'!$K$5:$K$554,$K508)))</f>
        <v/>
      </c>
      <c r="I508" s="11" t="str">
        <f aca="false">IF($K508="","",IF(INDEX('Prospect Tracker'!$T$5:$T$554,$K508)="","",INDEX('Prospect Tracker'!$T$5:$T$554,$K508)))</f>
        <v/>
      </c>
      <c r="J508" s="11" t="str">
        <f aca="false">IF($K508="","",IF(INDEX('Prospect Tracker'!$L$5:$L$554,$K508)="","",INDEX('Prospect Tracker'!$L$5:$L$554,$K508)))</f>
        <v/>
      </c>
      <c r="K508" s="1" t="n">
        <f aca="false">IFERROR(MATCH(SMALL('Prospect Tracker'!$X$5:$X$554,ROW()-4),'Prospect Tracker'!$X$5:$X$554,0),"")</f>
        <v>504</v>
      </c>
    </row>
    <row r="509" customFormat="false" ht="15" hidden="false" customHeight="true" outlineLevel="0" collapsed="false">
      <c r="A509" s="6" t="str">
        <f aca="false">IF($K509="","",IF(INDEX('Prospect Tracker'!$W$5:$W$554,$K509)="","",INDEX('Prospect Tracker'!$W$5:$W$554,$K509)))</f>
        <v/>
      </c>
      <c r="B509" s="6" t="str">
        <f aca="false">IF($K509="","",IF(INDEX('Prospect Tracker'!$A$5:$A$554,$K509)="","",INDEX('Prospect Tracker'!$A$5:$A$554,$K509)))</f>
        <v/>
      </c>
      <c r="C509" s="6" t="str">
        <f aca="false">IF($K509="","",IF(INDEX('Prospect Tracker'!$B$5:$B$554,$K509)="","",INDEX('Prospect Tracker'!$B$5:$B$554,$K509)))</f>
        <v/>
      </c>
      <c r="D509" s="6" t="str">
        <f aca="false">IF($K509="","",IF(INDEX('Prospect Tracker'!$M$5:$M$554,$K509)="","",INDEX('Prospect Tracker'!$M$5:$M$554,$K509)))</f>
        <v/>
      </c>
      <c r="E509" s="6" t="str">
        <f aca="false">IF($K509="","",IF(INDEX('Prospect Tracker'!$R$5:$R$554,$K509)="","",INDEX('Prospect Tracker'!$R$5:$R$554,$K509)))</f>
        <v/>
      </c>
      <c r="F509" s="6" t="str">
        <f aca="false">IF($K509="","",IF(INDEX('Prospect Tracker'!$J$5:$J$554,$K509)="","",INDEX('Prospect Tracker'!$J$5:$J$554,$K509)))</f>
        <v/>
      </c>
      <c r="G509" s="6" t="str">
        <f aca="false">IF($K509="","",IF(INDEX('Prospect Tracker'!$H$5:$H$554,$K509)="","",INDEX('Prospect Tracker'!$H$5:$H$554,$K509)))</f>
        <v/>
      </c>
      <c r="H509" s="7" t="str">
        <f aca="false">IF($K509="","",IF(INDEX('Prospect Tracker'!$K$5:$K$554,$K509)="","",INDEX('Prospect Tracker'!$K$5:$K$554,$K509)))</f>
        <v/>
      </c>
      <c r="I509" s="6" t="str">
        <f aca="false">IF($K509="","",IF(INDEX('Prospect Tracker'!$T$5:$T$554,$K509)="","",INDEX('Prospect Tracker'!$T$5:$T$554,$K509)))</f>
        <v/>
      </c>
      <c r="J509" s="6" t="str">
        <f aca="false">IF($K509="","",IF(INDEX('Prospect Tracker'!$L$5:$L$554,$K509)="","",INDEX('Prospect Tracker'!$L$5:$L$554,$K509)))</f>
        <v/>
      </c>
      <c r="K509" s="1" t="n">
        <f aca="false">IFERROR(MATCH(SMALL('Prospect Tracker'!$X$5:$X$554,ROW()-4),'Prospect Tracker'!$X$5:$X$554,0),"")</f>
        <v>505</v>
      </c>
    </row>
    <row r="510" customFormat="false" ht="15" hidden="false" customHeight="true" outlineLevel="0" collapsed="false">
      <c r="A510" s="11" t="str">
        <f aca="false">IF($K510="","",IF(INDEX('Prospect Tracker'!$W$5:$W$554,$K510)="","",INDEX('Prospect Tracker'!$W$5:$W$554,$K510)))</f>
        <v/>
      </c>
      <c r="B510" s="11" t="str">
        <f aca="false">IF($K510="","",IF(INDEX('Prospect Tracker'!$A$5:$A$554,$K510)="","",INDEX('Prospect Tracker'!$A$5:$A$554,$K510)))</f>
        <v/>
      </c>
      <c r="C510" s="11" t="str">
        <f aca="false">IF($K510="","",IF(INDEX('Prospect Tracker'!$B$5:$B$554,$K510)="","",INDEX('Prospect Tracker'!$B$5:$B$554,$K510)))</f>
        <v/>
      </c>
      <c r="D510" s="11" t="str">
        <f aca="false">IF($K510="","",IF(INDEX('Prospect Tracker'!$M$5:$M$554,$K510)="","",INDEX('Prospect Tracker'!$M$5:$M$554,$K510)))</f>
        <v/>
      </c>
      <c r="E510" s="11" t="str">
        <f aca="false">IF($K510="","",IF(INDEX('Prospect Tracker'!$R$5:$R$554,$K510)="","",INDEX('Prospect Tracker'!$R$5:$R$554,$K510)))</f>
        <v/>
      </c>
      <c r="F510" s="11" t="str">
        <f aca="false">IF($K510="","",IF(INDEX('Prospect Tracker'!$J$5:$J$554,$K510)="","",INDEX('Prospect Tracker'!$J$5:$J$554,$K510)))</f>
        <v/>
      </c>
      <c r="G510" s="11" t="str">
        <f aca="false">IF($K510="","",IF(INDEX('Prospect Tracker'!$H$5:$H$554,$K510)="","",INDEX('Prospect Tracker'!$H$5:$H$554,$K510)))</f>
        <v/>
      </c>
      <c r="H510" s="12" t="str">
        <f aca="false">IF($K510="","",IF(INDEX('Prospect Tracker'!$K$5:$K$554,$K510)="","",INDEX('Prospect Tracker'!$K$5:$K$554,$K510)))</f>
        <v/>
      </c>
      <c r="I510" s="11" t="str">
        <f aca="false">IF($K510="","",IF(INDEX('Prospect Tracker'!$T$5:$T$554,$K510)="","",INDEX('Prospect Tracker'!$T$5:$T$554,$K510)))</f>
        <v/>
      </c>
      <c r="J510" s="11" t="str">
        <f aca="false">IF($K510="","",IF(INDEX('Prospect Tracker'!$L$5:$L$554,$K510)="","",INDEX('Prospect Tracker'!$L$5:$L$554,$K510)))</f>
        <v/>
      </c>
      <c r="K510" s="1" t="n">
        <f aca="false">IFERROR(MATCH(SMALL('Prospect Tracker'!$X$5:$X$554,ROW()-4),'Prospect Tracker'!$X$5:$X$554,0),"")</f>
        <v>506</v>
      </c>
    </row>
    <row r="511" customFormat="false" ht="15" hidden="false" customHeight="true" outlineLevel="0" collapsed="false">
      <c r="A511" s="6" t="str">
        <f aca="false">IF($K511="","",IF(INDEX('Prospect Tracker'!$W$5:$W$554,$K511)="","",INDEX('Prospect Tracker'!$W$5:$W$554,$K511)))</f>
        <v/>
      </c>
      <c r="B511" s="6" t="str">
        <f aca="false">IF($K511="","",IF(INDEX('Prospect Tracker'!$A$5:$A$554,$K511)="","",INDEX('Prospect Tracker'!$A$5:$A$554,$K511)))</f>
        <v/>
      </c>
      <c r="C511" s="6" t="str">
        <f aca="false">IF($K511="","",IF(INDEX('Prospect Tracker'!$B$5:$B$554,$K511)="","",INDEX('Prospect Tracker'!$B$5:$B$554,$K511)))</f>
        <v/>
      </c>
      <c r="D511" s="6" t="str">
        <f aca="false">IF($K511="","",IF(INDEX('Prospect Tracker'!$M$5:$M$554,$K511)="","",INDEX('Prospect Tracker'!$M$5:$M$554,$K511)))</f>
        <v/>
      </c>
      <c r="E511" s="6" t="str">
        <f aca="false">IF($K511="","",IF(INDEX('Prospect Tracker'!$R$5:$R$554,$K511)="","",INDEX('Prospect Tracker'!$R$5:$R$554,$K511)))</f>
        <v/>
      </c>
      <c r="F511" s="6" t="str">
        <f aca="false">IF($K511="","",IF(INDEX('Prospect Tracker'!$J$5:$J$554,$K511)="","",INDEX('Prospect Tracker'!$J$5:$J$554,$K511)))</f>
        <v/>
      </c>
      <c r="G511" s="6" t="str">
        <f aca="false">IF($K511="","",IF(INDEX('Prospect Tracker'!$H$5:$H$554,$K511)="","",INDEX('Prospect Tracker'!$H$5:$H$554,$K511)))</f>
        <v/>
      </c>
      <c r="H511" s="7" t="str">
        <f aca="false">IF($K511="","",IF(INDEX('Prospect Tracker'!$K$5:$K$554,$K511)="","",INDEX('Prospect Tracker'!$K$5:$K$554,$K511)))</f>
        <v/>
      </c>
      <c r="I511" s="6" t="str">
        <f aca="false">IF($K511="","",IF(INDEX('Prospect Tracker'!$T$5:$T$554,$K511)="","",INDEX('Prospect Tracker'!$T$5:$T$554,$K511)))</f>
        <v/>
      </c>
      <c r="J511" s="6" t="str">
        <f aca="false">IF($K511="","",IF(INDEX('Prospect Tracker'!$L$5:$L$554,$K511)="","",INDEX('Prospect Tracker'!$L$5:$L$554,$K511)))</f>
        <v/>
      </c>
      <c r="K511" s="1" t="n">
        <f aca="false">IFERROR(MATCH(SMALL('Prospect Tracker'!$X$5:$X$554,ROW()-4),'Prospect Tracker'!$X$5:$X$554,0),"")</f>
        <v>507</v>
      </c>
    </row>
    <row r="512" customFormat="false" ht="15" hidden="false" customHeight="true" outlineLevel="0" collapsed="false">
      <c r="A512" s="11" t="str">
        <f aca="false">IF($K512="","",IF(INDEX('Prospect Tracker'!$W$5:$W$554,$K512)="","",INDEX('Prospect Tracker'!$W$5:$W$554,$K512)))</f>
        <v/>
      </c>
      <c r="B512" s="11" t="str">
        <f aca="false">IF($K512="","",IF(INDEX('Prospect Tracker'!$A$5:$A$554,$K512)="","",INDEX('Prospect Tracker'!$A$5:$A$554,$K512)))</f>
        <v/>
      </c>
      <c r="C512" s="11" t="str">
        <f aca="false">IF($K512="","",IF(INDEX('Prospect Tracker'!$B$5:$B$554,$K512)="","",INDEX('Prospect Tracker'!$B$5:$B$554,$K512)))</f>
        <v/>
      </c>
      <c r="D512" s="11" t="str">
        <f aca="false">IF($K512="","",IF(INDEX('Prospect Tracker'!$M$5:$M$554,$K512)="","",INDEX('Prospect Tracker'!$M$5:$M$554,$K512)))</f>
        <v/>
      </c>
      <c r="E512" s="11" t="str">
        <f aca="false">IF($K512="","",IF(INDEX('Prospect Tracker'!$R$5:$R$554,$K512)="","",INDEX('Prospect Tracker'!$R$5:$R$554,$K512)))</f>
        <v/>
      </c>
      <c r="F512" s="11" t="str">
        <f aca="false">IF($K512="","",IF(INDEX('Prospect Tracker'!$J$5:$J$554,$K512)="","",INDEX('Prospect Tracker'!$J$5:$J$554,$K512)))</f>
        <v/>
      </c>
      <c r="G512" s="11" t="str">
        <f aca="false">IF($K512="","",IF(INDEX('Prospect Tracker'!$H$5:$H$554,$K512)="","",INDEX('Prospect Tracker'!$H$5:$H$554,$K512)))</f>
        <v/>
      </c>
      <c r="H512" s="12" t="str">
        <f aca="false">IF($K512="","",IF(INDEX('Prospect Tracker'!$K$5:$K$554,$K512)="","",INDEX('Prospect Tracker'!$K$5:$K$554,$K512)))</f>
        <v/>
      </c>
      <c r="I512" s="11" t="str">
        <f aca="false">IF($K512="","",IF(INDEX('Prospect Tracker'!$T$5:$T$554,$K512)="","",INDEX('Prospect Tracker'!$T$5:$T$554,$K512)))</f>
        <v/>
      </c>
      <c r="J512" s="11" t="str">
        <f aca="false">IF($K512="","",IF(INDEX('Prospect Tracker'!$L$5:$L$554,$K512)="","",INDEX('Prospect Tracker'!$L$5:$L$554,$K512)))</f>
        <v/>
      </c>
      <c r="K512" s="1" t="n">
        <f aca="false">IFERROR(MATCH(SMALL('Prospect Tracker'!$X$5:$X$554,ROW()-4),'Prospect Tracker'!$X$5:$X$554,0),"")</f>
        <v>508</v>
      </c>
    </row>
    <row r="513" customFormat="false" ht="15" hidden="false" customHeight="true" outlineLevel="0" collapsed="false">
      <c r="A513" s="6" t="str">
        <f aca="false">IF($K513="","",IF(INDEX('Prospect Tracker'!$W$5:$W$554,$K513)="","",INDEX('Prospect Tracker'!$W$5:$W$554,$K513)))</f>
        <v/>
      </c>
      <c r="B513" s="6" t="str">
        <f aca="false">IF($K513="","",IF(INDEX('Prospect Tracker'!$A$5:$A$554,$K513)="","",INDEX('Prospect Tracker'!$A$5:$A$554,$K513)))</f>
        <v/>
      </c>
      <c r="C513" s="6" t="str">
        <f aca="false">IF($K513="","",IF(INDEX('Prospect Tracker'!$B$5:$B$554,$K513)="","",INDEX('Prospect Tracker'!$B$5:$B$554,$K513)))</f>
        <v/>
      </c>
      <c r="D513" s="6" t="str">
        <f aca="false">IF($K513="","",IF(INDEX('Prospect Tracker'!$M$5:$M$554,$K513)="","",INDEX('Prospect Tracker'!$M$5:$M$554,$K513)))</f>
        <v/>
      </c>
      <c r="E513" s="6" t="str">
        <f aca="false">IF($K513="","",IF(INDEX('Prospect Tracker'!$R$5:$R$554,$K513)="","",INDEX('Prospect Tracker'!$R$5:$R$554,$K513)))</f>
        <v/>
      </c>
      <c r="F513" s="6" t="str">
        <f aca="false">IF($K513="","",IF(INDEX('Prospect Tracker'!$J$5:$J$554,$K513)="","",INDEX('Prospect Tracker'!$J$5:$J$554,$K513)))</f>
        <v/>
      </c>
      <c r="G513" s="6" t="str">
        <f aca="false">IF($K513="","",IF(INDEX('Prospect Tracker'!$H$5:$H$554,$K513)="","",INDEX('Prospect Tracker'!$H$5:$H$554,$K513)))</f>
        <v/>
      </c>
      <c r="H513" s="7" t="str">
        <f aca="false">IF($K513="","",IF(INDEX('Prospect Tracker'!$K$5:$K$554,$K513)="","",INDEX('Prospect Tracker'!$K$5:$K$554,$K513)))</f>
        <v/>
      </c>
      <c r="I513" s="6" t="str">
        <f aca="false">IF($K513="","",IF(INDEX('Prospect Tracker'!$T$5:$T$554,$K513)="","",INDEX('Prospect Tracker'!$T$5:$T$554,$K513)))</f>
        <v/>
      </c>
      <c r="J513" s="6" t="str">
        <f aca="false">IF($K513="","",IF(INDEX('Prospect Tracker'!$L$5:$L$554,$K513)="","",INDEX('Prospect Tracker'!$L$5:$L$554,$K513)))</f>
        <v/>
      </c>
      <c r="K513" s="1" t="n">
        <f aca="false">IFERROR(MATCH(SMALL('Prospect Tracker'!$X$5:$X$554,ROW()-4),'Prospect Tracker'!$X$5:$X$554,0),"")</f>
        <v>509</v>
      </c>
    </row>
    <row r="514" customFormat="false" ht="15" hidden="false" customHeight="true" outlineLevel="0" collapsed="false">
      <c r="A514" s="11" t="str">
        <f aca="false">IF($K514="","",IF(INDEX('Prospect Tracker'!$W$5:$W$554,$K514)="","",INDEX('Prospect Tracker'!$W$5:$W$554,$K514)))</f>
        <v/>
      </c>
      <c r="B514" s="11" t="str">
        <f aca="false">IF($K514="","",IF(INDEX('Prospect Tracker'!$A$5:$A$554,$K514)="","",INDEX('Prospect Tracker'!$A$5:$A$554,$K514)))</f>
        <v/>
      </c>
      <c r="C514" s="11" t="str">
        <f aca="false">IF($K514="","",IF(INDEX('Prospect Tracker'!$B$5:$B$554,$K514)="","",INDEX('Prospect Tracker'!$B$5:$B$554,$K514)))</f>
        <v/>
      </c>
      <c r="D514" s="11" t="str">
        <f aca="false">IF($K514="","",IF(INDEX('Prospect Tracker'!$M$5:$M$554,$K514)="","",INDEX('Prospect Tracker'!$M$5:$M$554,$K514)))</f>
        <v/>
      </c>
      <c r="E514" s="11" t="str">
        <f aca="false">IF($K514="","",IF(INDEX('Prospect Tracker'!$R$5:$R$554,$K514)="","",INDEX('Prospect Tracker'!$R$5:$R$554,$K514)))</f>
        <v/>
      </c>
      <c r="F514" s="11" t="str">
        <f aca="false">IF($K514="","",IF(INDEX('Prospect Tracker'!$J$5:$J$554,$K514)="","",INDEX('Prospect Tracker'!$J$5:$J$554,$K514)))</f>
        <v/>
      </c>
      <c r="G514" s="11" t="str">
        <f aca="false">IF($K514="","",IF(INDEX('Prospect Tracker'!$H$5:$H$554,$K514)="","",INDEX('Prospect Tracker'!$H$5:$H$554,$K514)))</f>
        <v/>
      </c>
      <c r="H514" s="12" t="str">
        <f aca="false">IF($K514="","",IF(INDEX('Prospect Tracker'!$K$5:$K$554,$K514)="","",INDEX('Prospect Tracker'!$K$5:$K$554,$K514)))</f>
        <v/>
      </c>
      <c r="I514" s="11" t="str">
        <f aca="false">IF($K514="","",IF(INDEX('Prospect Tracker'!$T$5:$T$554,$K514)="","",INDEX('Prospect Tracker'!$T$5:$T$554,$K514)))</f>
        <v/>
      </c>
      <c r="J514" s="11" t="str">
        <f aca="false">IF($K514="","",IF(INDEX('Prospect Tracker'!$L$5:$L$554,$K514)="","",INDEX('Prospect Tracker'!$L$5:$L$554,$K514)))</f>
        <v/>
      </c>
      <c r="K514" s="1" t="n">
        <f aca="false">IFERROR(MATCH(SMALL('Prospect Tracker'!$X$5:$X$554,ROW()-4),'Prospect Tracker'!$X$5:$X$554,0),"")</f>
        <v>510</v>
      </c>
    </row>
    <row r="515" customFormat="false" ht="15" hidden="false" customHeight="true" outlineLevel="0" collapsed="false">
      <c r="A515" s="6" t="str">
        <f aca="false">IF($K515="","",IF(INDEX('Prospect Tracker'!$W$5:$W$554,$K515)="","",INDEX('Prospect Tracker'!$W$5:$W$554,$K515)))</f>
        <v/>
      </c>
      <c r="B515" s="6" t="str">
        <f aca="false">IF($K515="","",IF(INDEX('Prospect Tracker'!$A$5:$A$554,$K515)="","",INDEX('Prospect Tracker'!$A$5:$A$554,$K515)))</f>
        <v/>
      </c>
      <c r="C515" s="6" t="str">
        <f aca="false">IF($K515="","",IF(INDEX('Prospect Tracker'!$B$5:$B$554,$K515)="","",INDEX('Prospect Tracker'!$B$5:$B$554,$K515)))</f>
        <v/>
      </c>
      <c r="D515" s="6" t="str">
        <f aca="false">IF($K515="","",IF(INDEX('Prospect Tracker'!$M$5:$M$554,$K515)="","",INDEX('Prospect Tracker'!$M$5:$M$554,$K515)))</f>
        <v/>
      </c>
      <c r="E515" s="6" t="str">
        <f aca="false">IF($K515="","",IF(INDEX('Prospect Tracker'!$R$5:$R$554,$K515)="","",INDEX('Prospect Tracker'!$R$5:$R$554,$K515)))</f>
        <v/>
      </c>
      <c r="F515" s="6" t="str">
        <f aca="false">IF($K515="","",IF(INDEX('Prospect Tracker'!$J$5:$J$554,$K515)="","",INDEX('Prospect Tracker'!$J$5:$J$554,$K515)))</f>
        <v/>
      </c>
      <c r="G515" s="6" t="str">
        <f aca="false">IF($K515="","",IF(INDEX('Prospect Tracker'!$H$5:$H$554,$K515)="","",INDEX('Prospect Tracker'!$H$5:$H$554,$K515)))</f>
        <v/>
      </c>
      <c r="H515" s="7" t="str">
        <f aca="false">IF($K515="","",IF(INDEX('Prospect Tracker'!$K$5:$K$554,$K515)="","",INDEX('Prospect Tracker'!$K$5:$K$554,$K515)))</f>
        <v/>
      </c>
      <c r="I515" s="6" t="str">
        <f aca="false">IF($K515="","",IF(INDEX('Prospect Tracker'!$T$5:$T$554,$K515)="","",INDEX('Prospect Tracker'!$T$5:$T$554,$K515)))</f>
        <v/>
      </c>
      <c r="J515" s="6" t="str">
        <f aca="false">IF($K515="","",IF(INDEX('Prospect Tracker'!$L$5:$L$554,$K515)="","",INDEX('Prospect Tracker'!$L$5:$L$554,$K515)))</f>
        <v/>
      </c>
      <c r="K515" s="1" t="n">
        <f aca="false">IFERROR(MATCH(SMALL('Prospect Tracker'!$X$5:$X$554,ROW()-4),'Prospect Tracker'!$X$5:$X$554,0),"")</f>
        <v>511</v>
      </c>
    </row>
    <row r="516" customFormat="false" ht="15" hidden="false" customHeight="true" outlineLevel="0" collapsed="false">
      <c r="A516" s="11" t="str">
        <f aca="false">IF($K516="","",IF(INDEX('Prospect Tracker'!$W$5:$W$554,$K516)="","",INDEX('Prospect Tracker'!$W$5:$W$554,$K516)))</f>
        <v/>
      </c>
      <c r="B516" s="11" t="str">
        <f aca="false">IF($K516="","",IF(INDEX('Prospect Tracker'!$A$5:$A$554,$K516)="","",INDEX('Prospect Tracker'!$A$5:$A$554,$K516)))</f>
        <v/>
      </c>
      <c r="C516" s="11" t="str">
        <f aca="false">IF($K516="","",IF(INDEX('Prospect Tracker'!$B$5:$B$554,$K516)="","",INDEX('Prospect Tracker'!$B$5:$B$554,$K516)))</f>
        <v/>
      </c>
      <c r="D516" s="11" t="str">
        <f aca="false">IF($K516="","",IF(INDEX('Prospect Tracker'!$M$5:$M$554,$K516)="","",INDEX('Prospect Tracker'!$M$5:$M$554,$K516)))</f>
        <v/>
      </c>
      <c r="E516" s="11" t="str">
        <f aca="false">IF($K516="","",IF(INDEX('Prospect Tracker'!$R$5:$R$554,$K516)="","",INDEX('Prospect Tracker'!$R$5:$R$554,$K516)))</f>
        <v/>
      </c>
      <c r="F516" s="11" t="str">
        <f aca="false">IF($K516="","",IF(INDEX('Prospect Tracker'!$J$5:$J$554,$K516)="","",INDEX('Prospect Tracker'!$J$5:$J$554,$K516)))</f>
        <v/>
      </c>
      <c r="G516" s="11" t="str">
        <f aca="false">IF($K516="","",IF(INDEX('Prospect Tracker'!$H$5:$H$554,$K516)="","",INDEX('Prospect Tracker'!$H$5:$H$554,$K516)))</f>
        <v/>
      </c>
      <c r="H516" s="12" t="str">
        <f aca="false">IF($K516="","",IF(INDEX('Prospect Tracker'!$K$5:$K$554,$K516)="","",INDEX('Prospect Tracker'!$K$5:$K$554,$K516)))</f>
        <v/>
      </c>
      <c r="I516" s="11" t="str">
        <f aca="false">IF($K516="","",IF(INDEX('Prospect Tracker'!$T$5:$T$554,$K516)="","",INDEX('Prospect Tracker'!$T$5:$T$554,$K516)))</f>
        <v/>
      </c>
      <c r="J516" s="11" t="str">
        <f aca="false">IF($K516="","",IF(INDEX('Prospect Tracker'!$L$5:$L$554,$K516)="","",INDEX('Prospect Tracker'!$L$5:$L$554,$K516)))</f>
        <v/>
      </c>
      <c r="K516" s="1" t="n">
        <f aca="false">IFERROR(MATCH(SMALL('Prospect Tracker'!$X$5:$X$554,ROW()-4),'Prospect Tracker'!$X$5:$X$554,0),"")</f>
        <v>512</v>
      </c>
    </row>
    <row r="517" customFormat="false" ht="15" hidden="false" customHeight="true" outlineLevel="0" collapsed="false">
      <c r="A517" s="6" t="str">
        <f aca="false">IF($K517="","",IF(INDEX('Prospect Tracker'!$W$5:$W$554,$K517)="","",INDEX('Prospect Tracker'!$W$5:$W$554,$K517)))</f>
        <v/>
      </c>
      <c r="B517" s="6" t="str">
        <f aca="false">IF($K517="","",IF(INDEX('Prospect Tracker'!$A$5:$A$554,$K517)="","",INDEX('Prospect Tracker'!$A$5:$A$554,$K517)))</f>
        <v/>
      </c>
      <c r="C517" s="6" t="str">
        <f aca="false">IF($K517="","",IF(INDEX('Prospect Tracker'!$B$5:$B$554,$K517)="","",INDEX('Prospect Tracker'!$B$5:$B$554,$K517)))</f>
        <v/>
      </c>
      <c r="D517" s="6" t="str">
        <f aca="false">IF($K517="","",IF(INDEX('Prospect Tracker'!$M$5:$M$554,$K517)="","",INDEX('Prospect Tracker'!$M$5:$M$554,$K517)))</f>
        <v/>
      </c>
      <c r="E517" s="6" t="str">
        <f aca="false">IF($K517="","",IF(INDEX('Prospect Tracker'!$R$5:$R$554,$K517)="","",INDEX('Prospect Tracker'!$R$5:$R$554,$K517)))</f>
        <v/>
      </c>
      <c r="F517" s="6" t="str">
        <f aca="false">IF($K517="","",IF(INDEX('Prospect Tracker'!$J$5:$J$554,$K517)="","",INDEX('Prospect Tracker'!$J$5:$J$554,$K517)))</f>
        <v/>
      </c>
      <c r="G517" s="6" t="str">
        <f aca="false">IF($K517="","",IF(INDEX('Prospect Tracker'!$H$5:$H$554,$K517)="","",INDEX('Prospect Tracker'!$H$5:$H$554,$K517)))</f>
        <v/>
      </c>
      <c r="H517" s="7" t="str">
        <f aca="false">IF($K517="","",IF(INDEX('Prospect Tracker'!$K$5:$K$554,$K517)="","",INDEX('Prospect Tracker'!$K$5:$K$554,$K517)))</f>
        <v/>
      </c>
      <c r="I517" s="6" t="str">
        <f aca="false">IF($K517="","",IF(INDEX('Prospect Tracker'!$T$5:$T$554,$K517)="","",INDEX('Prospect Tracker'!$T$5:$T$554,$K517)))</f>
        <v/>
      </c>
      <c r="J517" s="6" t="str">
        <f aca="false">IF($K517="","",IF(INDEX('Prospect Tracker'!$L$5:$L$554,$K517)="","",INDEX('Prospect Tracker'!$L$5:$L$554,$K517)))</f>
        <v/>
      </c>
      <c r="K517" s="1" t="n">
        <f aca="false">IFERROR(MATCH(SMALL('Prospect Tracker'!$X$5:$X$554,ROW()-4),'Prospect Tracker'!$X$5:$X$554,0),"")</f>
        <v>513</v>
      </c>
    </row>
    <row r="518" customFormat="false" ht="15" hidden="false" customHeight="true" outlineLevel="0" collapsed="false">
      <c r="A518" s="11" t="str">
        <f aca="false">IF($K518="","",IF(INDEX('Prospect Tracker'!$W$5:$W$554,$K518)="","",INDEX('Prospect Tracker'!$W$5:$W$554,$K518)))</f>
        <v/>
      </c>
      <c r="B518" s="11" t="str">
        <f aca="false">IF($K518="","",IF(INDEX('Prospect Tracker'!$A$5:$A$554,$K518)="","",INDEX('Prospect Tracker'!$A$5:$A$554,$K518)))</f>
        <v/>
      </c>
      <c r="C518" s="11" t="str">
        <f aca="false">IF($K518="","",IF(INDEX('Prospect Tracker'!$B$5:$B$554,$K518)="","",INDEX('Prospect Tracker'!$B$5:$B$554,$K518)))</f>
        <v/>
      </c>
      <c r="D518" s="11" t="str">
        <f aca="false">IF($K518="","",IF(INDEX('Prospect Tracker'!$M$5:$M$554,$K518)="","",INDEX('Prospect Tracker'!$M$5:$M$554,$K518)))</f>
        <v/>
      </c>
      <c r="E518" s="11" t="str">
        <f aca="false">IF($K518="","",IF(INDEX('Prospect Tracker'!$R$5:$R$554,$K518)="","",INDEX('Prospect Tracker'!$R$5:$R$554,$K518)))</f>
        <v/>
      </c>
      <c r="F518" s="11" t="str">
        <f aca="false">IF($K518="","",IF(INDEX('Prospect Tracker'!$J$5:$J$554,$K518)="","",INDEX('Prospect Tracker'!$J$5:$J$554,$K518)))</f>
        <v/>
      </c>
      <c r="G518" s="11" t="str">
        <f aca="false">IF($K518="","",IF(INDEX('Prospect Tracker'!$H$5:$H$554,$K518)="","",INDEX('Prospect Tracker'!$H$5:$H$554,$K518)))</f>
        <v/>
      </c>
      <c r="H518" s="12" t="str">
        <f aca="false">IF($K518="","",IF(INDEX('Prospect Tracker'!$K$5:$K$554,$K518)="","",INDEX('Prospect Tracker'!$K$5:$K$554,$K518)))</f>
        <v/>
      </c>
      <c r="I518" s="11" t="str">
        <f aca="false">IF($K518="","",IF(INDEX('Prospect Tracker'!$T$5:$T$554,$K518)="","",INDEX('Prospect Tracker'!$T$5:$T$554,$K518)))</f>
        <v/>
      </c>
      <c r="J518" s="11" t="str">
        <f aca="false">IF($K518="","",IF(INDEX('Prospect Tracker'!$L$5:$L$554,$K518)="","",INDEX('Prospect Tracker'!$L$5:$L$554,$K518)))</f>
        <v/>
      </c>
      <c r="K518" s="1" t="n">
        <f aca="false">IFERROR(MATCH(SMALL('Prospect Tracker'!$X$5:$X$554,ROW()-4),'Prospect Tracker'!$X$5:$X$554,0),"")</f>
        <v>514</v>
      </c>
    </row>
    <row r="519" customFormat="false" ht="15" hidden="false" customHeight="true" outlineLevel="0" collapsed="false">
      <c r="A519" s="6" t="str">
        <f aca="false">IF($K519="","",IF(INDEX('Prospect Tracker'!$W$5:$W$554,$K519)="","",INDEX('Prospect Tracker'!$W$5:$W$554,$K519)))</f>
        <v/>
      </c>
      <c r="B519" s="6" t="str">
        <f aca="false">IF($K519="","",IF(INDEX('Prospect Tracker'!$A$5:$A$554,$K519)="","",INDEX('Prospect Tracker'!$A$5:$A$554,$K519)))</f>
        <v/>
      </c>
      <c r="C519" s="6" t="str">
        <f aca="false">IF($K519="","",IF(INDEX('Prospect Tracker'!$B$5:$B$554,$K519)="","",INDEX('Prospect Tracker'!$B$5:$B$554,$K519)))</f>
        <v/>
      </c>
      <c r="D519" s="6" t="str">
        <f aca="false">IF($K519="","",IF(INDEX('Prospect Tracker'!$M$5:$M$554,$K519)="","",INDEX('Prospect Tracker'!$M$5:$M$554,$K519)))</f>
        <v/>
      </c>
      <c r="E519" s="6" t="str">
        <f aca="false">IF($K519="","",IF(INDEX('Prospect Tracker'!$R$5:$R$554,$K519)="","",INDEX('Prospect Tracker'!$R$5:$R$554,$K519)))</f>
        <v/>
      </c>
      <c r="F519" s="6" t="str">
        <f aca="false">IF($K519="","",IF(INDEX('Prospect Tracker'!$J$5:$J$554,$K519)="","",INDEX('Prospect Tracker'!$J$5:$J$554,$K519)))</f>
        <v/>
      </c>
      <c r="G519" s="6" t="str">
        <f aca="false">IF($K519="","",IF(INDEX('Prospect Tracker'!$H$5:$H$554,$K519)="","",INDEX('Prospect Tracker'!$H$5:$H$554,$K519)))</f>
        <v/>
      </c>
      <c r="H519" s="7" t="str">
        <f aca="false">IF($K519="","",IF(INDEX('Prospect Tracker'!$K$5:$K$554,$K519)="","",INDEX('Prospect Tracker'!$K$5:$K$554,$K519)))</f>
        <v/>
      </c>
      <c r="I519" s="6" t="str">
        <f aca="false">IF($K519="","",IF(INDEX('Prospect Tracker'!$T$5:$T$554,$K519)="","",INDEX('Prospect Tracker'!$T$5:$T$554,$K519)))</f>
        <v/>
      </c>
      <c r="J519" s="6" t="str">
        <f aca="false">IF($K519="","",IF(INDEX('Prospect Tracker'!$L$5:$L$554,$K519)="","",INDEX('Prospect Tracker'!$L$5:$L$554,$K519)))</f>
        <v/>
      </c>
      <c r="K519" s="1" t="n">
        <f aca="false">IFERROR(MATCH(SMALL('Prospect Tracker'!$X$5:$X$554,ROW()-4),'Prospect Tracker'!$X$5:$X$554,0),"")</f>
        <v>515</v>
      </c>
    </row>
    <row r="520" customFormat="false" ht="15" hidden="false" customHeight="true" outlineLevel="0" collapsed="false">
      <c r="A520" s="11" t="str">
        <f aca="false">IF($K520="","",IF(INDEX('Prospect Tracker'!$W$5:$W$554,$K520)="","",INDEX('Prospect Tracker'!$W$5:$W$554,$K520)))</f>
        <v/>
      </c>
      <c r="B520" s="11" t="str">
        <f aca="false">IF($K520="","",IF(INDEX('Prospect Tracker'!$A$5:$A$554,$K520)="","",INDEX('Prospect Tracker'!$A$5:$A$554,$K520)))</f>
        <v/>
      </c>
      <c r="C520" s="11" t="str">
        <f aca="false">IF($K520="","",IF(INDEX('Prospect Tracker'!$B$5:$B$554,$K520)="","",INDEX('Prospect Tracker'!$B$5:$B$554,$K520)))</f>
        <v/>
      </c>
      <c r="D520" s="11" t="str">
        <f aca="false">IF($K520="","",IF(INDEX('Prospect Tracker'!$M$5:$M$554,$K520)="","",INDEX('Prospect Tracker'!$M$5:$M$554,$K520)))</f>
        <v/>
      </c>
      <c r="E520" s="11" t="str">
        <f aca="false">IF($K520="","",IF(INDEX('Prospect Tracker'!$R$5:$R$554,$K520)="","",INDEX('Prospect Tracker'!$R$5:$R$554,$K520)))</f>
        <v/>
      </c>
      <c r="F520" s="11" t="str">
        <f aca="false">IF($K520="","",IF(INDEX('Prospect Tracker'!$J$5:$J$554,$K520)="","",INDEX('Prospect Tracker'!$J$5:$J$554,$K520)))</f>
        <v/>
      </c>
      <c r="G520" s="11" t="str">
        <f aca="false">IF($K520="","",IF(INDEX('Prospect Tracker'!$H$5:$H$554,$K520)="","",INDEX('Prospect Tracker'!$H$5:$H$554,$K520)))</f>
        <v/>
      </c>
      <c r="H520" s="12" t="str">
        <f aca="false">IF($K520="","",IF(INDEX('Prospect Tracker'!$K$5:$K$554,$K520)="","",INDEX('Prospect Tracker'!$K$5:$K$554,$K520)))</f>
        <v/>
      </c>
      <c r="I520" s="11" t="str">
        <f aca="false">IF($K520="","",IF(INDEX('Prospect Tracker'!$T$5:$T$554,$K520)="","",INDEX('Prospect Tracker'!$T$5:$T$554,$K520)))</f>
        <v/>
      </c>
      <c r="J520" s="11" t="str">
        <f aca="false">IF($K520="","",IF(INDEX('Prospect Tracker'!$L$5:$L$554,$K520)="","",INDEX('Prospect Tracker'!$L$5:$L$554,$K520)))</f>
        <v/>
      </c>
      <c r="K520" s="1" t="n">
        <f aca="false">IFERROR(MATCH(SMALL('Prospect Tracker'!$X$5:$X$554,ROW()-4),'Prospect Tracker'!$X$5:$X$554,0),"")</f>
        <v>516</v>
      </c>
    </row>
    <row r="521" customFormat="false" ht="15" hidden="false" customHeight="true" outlineLevel="0" collapsed="false">
      <c r="A521" s="6" t="str">
        <f aca="false">IF($K521="","",IF(INDEX('Prospect Tracker'!$W$5:$W$554,$K521)="","",INDEX('Prospect Tracker'!$W$5:$W$554,$K521)))</f>
        <v/>
      </c>
      <c r="B521" s="6" t="str">
        <f aca="false">IF($K521="","",IF(INDEX('Prospect Tracker'!$A$5:$A$554,$K521)="","",INDEX('Prospect Tracker'!$A$5:$A$554,$K521)))</f>
        <v/>
      </c>
      <c r="C521" s="6" t="str">
        <f aca="false">IF($K521="","",IF(INDEX('Prospect Tracker'!$B$5:$B$554,$K521)="","",INDEX('Prospect Tracker'!$B$5:$B$554,$K521)))</f>
        <v/>
      </c>
      <c r="D521" s="6" t="str">
        <f aca="false">IF($K521="","",IF(INDEX('Prospect Tracker'!$M$5:$M$554,$K521)="","",INDEX('Prospect Tracker'!$M$5:$M$554,$K521)))</f>
        <v/>
      </c>
      <c r="E521" s="6" t="str">
        <f aca="false">IF($K521="","",IF(INDEX('Prospect Tracker'!$R$5:$R$554,$K521)="","",INDEX('Prospect Tracker'!$R$5:$R$554,$K521)))</f>
        <v/>
      </c>
      <c r="F521" s="6" t="str">
        <f aca="false">IF($K521="","",IF(INDEX('Prospect Tracker'!$J$5:$J$554,$K521)="","",INDEX('Prospect Tracker'!$J$5:$J$554,$K521)))</f>
        <v/>
      </c>
      <c r="G521" s="6" t="str">
        <f aca="false">IF($K521="","",IF(INDEX('Prospect Tracker'!$H$5:$H$554,$K521)="","",INDEX('Prospect Tracker'!$H$5:$H$554,$K521)))</f>
        <v/>
      </c>
      <c r="H521" s="7" t="str">
        <f aca="false">IF($K521="","",IF(INDEX('Prospect Tracker'!$K$5:$K$554,$K521)="","",INDEX('Prospect Tracker'!$K$5:$K$554,$K521)))</f>
        <v/>
      </c>
      <c r="I521" s="6" t="str">
        <f aca="false">IF($K521="","",IF(INDEX('Prospect Tracker'!$T$5:$T$554,$K521)="","",INDEX('Prospect Tracker'!$T$5:$T$554,$K521)))</f>
        <v/>
      </c>
      <c r="J521" s="6" t="str">
        <f aca="false">IF($K521="","",IF(INDEX('Prospect Tracker'!$L$5:$L$554,$K521)="","",INDEX('Prospect Tracker'!$L$5:$L$554,$K521)))</f>
        <v/>
      </c>
      <c r="K521" s="1" t="n">
        <f aca="false">IFERROR(MATCH(SMALL('Prospect Tracker'!$X$5:$X$554,ROW()-4),'Prospect Tracker'!$X$5:$X$554,0),"")</f>
        <v>517</v>
      </c>
    </row>
    <row r="522" customFormat="false" ht="15" hidden="false" customHeight="true" outlineLevel="0" collapsed="false">
      <c r="A522" s="11" t="str">
        <f aca="false">IF($K522="","",IF(INDEX('Prospect Tracker'!$W$5:$W$554,$K522)="","",INDEX('Prospect Tracker'!$W$5:$W$554,$K522)))</f>
        <v/>
      </c>
      <c r="B522" s="11" t="str">
        <f aca="false">IF($K522="","",IF(INDEX('Prospect Tracker'!$A$5:$A$554,$K522)="","",INDEX('Prospect Tracker'!$A$5:$A$554,$K522)))</f>
        <v/>
      </c>
      <c r="C522" s="11" t="str">
        <f aca="false">IF($K522="","",IF(INDEX('Prospect Tracker'!$B$5:$B$554,$K522)="","",INDEX('Prospect Tracker'!$B$5:$B$554,$K522)))</f>
        <v/>
      </c>
      <c r="D522" s="11" t="str">
        <f aca="false">IF($K522="","",IF(INDEX('Prospect Tracker'!$M$5:$M$554,$K522)="","",INDEX('Prospect Tracker'!$M$5:$M$554,$K522)))</f>
        <v/>
      </c>
      <c r="E522" s="11" t="str">
        <f aca="false">IF($K522="","",IF(INDEX('Prospect Tracker'!$R$5:$R$554,$K522)="","",INDEX('Prospect Tracker'!$R$5:$R$554,$K522)))</f>
        <v/>
      </c>
      <c r="F522" s="11" t="str">
        <f aca="false">IF($K522="","",IF(INDEX('Prospect Tracker'!$J$5:$J$554,$K522)="","",INDEX('Prospect Tracker'!$J$5:$J$554,$K522)))</f>
        <v/>
      </c>
      <c r="G522" s="11" t="str">
        <f aca="false">IF($K522="","",IF(INDEX('Prospect Tracker'!$H$5:$H$554,$K522)="","",INDEX('Prospect Tracker'!$H$5:$H$554,$K522)))</f>
        <v/>
      </c>
      <c r="H522" s="12" t="str">
        <f aca="false">IF($K522="","",IF(INDEX('Prospect Tracker'!$K$5:$K$554,$K522)="","",INDEX('Prospect Tracker'!$K$5:$K$554,$K522)))</f>
        <v/>
      </c>
      <c r="I522" s="11" t="str">
        <f aca="false">IF($K522="","",IF(INDEX('Prospect Tracker'!$T$5:$T$554,$K522)="","",INDEX('Prospect Tracker'!$T$5:$T$554,$K522)))</f>
        <v/>
      </c>
      <c r="J522" s="11" t="str">
        <f aca="false">IF($K522="","",IF(INDEX('Prospect Tracker'!$L$5:$L$554,$K522)="","",INDEX('Prospect Tracker'!$L$5:$L$554,$K522)))</f>
        <v/>
      </c>
      <c r="K522" s="1" t="n">
        <f aca="false">IFERROR(MATCH(SMALL('Prospect Tracker'!$X$5:$X$554,ROW()-4),'Prospect Tracker'!$X$5:$X$554,0),"")</f>
        <v>518</v>
      </c>
    </row>
    <row r="523" customFormat="false" ht="15" hidden="false" customHeight="true" outlineLevel="0" collapsed="false">
      <c r="A523" s="6" t="str">
        <f aca="false">IF($K523="","",IF(INDEX('Prospect Tracker'!$W$5:$W$554,$K523)="","",INDEX('Prospect Tracker'!$W$5:$W$554,$K523)))</f>
        <v/>
      </c>
      <c r="B523" s="6" t="str">
        <f aca="false">IF($K523="","",IF(INDEX('Prospect Tracker'!$A$5:$A$554,$K523)="","",INDEX('Prospect Tracker'!$A$5:$A$554,$K523)))</f>
        <v/>
      </c>
      <c r="C523" s="6" t="str">
        <f aca="false">IF($K523="","",IF(INDEX('Prospect Tracker'!$B$5:$B$554,$K523)="","",INDEX('Prospect Tracker'!$B$5:$B$554,$K523)))</f>
        <v/>
      </c>
      <c r="D523" s="6" t="str">
        <f aca="false">IF($K523="","",IF(INDEX('Prospect Tracker'!$M$5:$M$554,$K523)="","",INDEX('Prospect Tracker'!$M$5:$M$554,$K523)))</f>
        <v/>
      </c>
      <c r="E523" s="6" t="str">
        <f aca="false">IF($K523="","",IF(INDEX('Prospect Tracker'!$R$5:$R$554,$K523)="","",INDEX('Prospect Tracker'!$R$5:$R$554,$K523)))</f>
        <v/>
      </c>
      <c r="F523" s="6" t="str">
        <f aca="false">IF($K523="","",IF(INDEX('Prospect Tracker'!$J$5:$J$554,$K523)="","",INDEX('Prospect Tracker'!$J$5:$J$554,$K523)))</f>
        <v/>
      </c>
      <c r="G523" s="6" t="str">
        <f aca="false">IF($K523="","",IF(INDEX('Prospect Tracker'!$H$5:$H$554,$K523)="","",INDEX('Prospect Tracker'!$H$5:$H$554,$K523)))</f>
        <v/>
      </c>
      <c r="H523" s="7" t="str">
        <f aca="false">IF($K523="","",IF(INDEX('Prospect Tracker'!$K$5:$K$554,$K523)="","",INDEX('Prospect Tracker'!$K$5:$K$554,$K523)))</f>
        <v/>
      </c>
      <c r="I523" s="6" t="str">
        <f aca="false">IF($K523="","",IF(INDEX('Prospect Tracker'!$T$5:$T$554,$K523)="","",INDEX('Prospect Tracker'!$T$5:$T$554,$K523)))</f>
        <v/>
      </c>
      <c r="J523" s="6" t="str">
        <f aca="false">IF($K523="","",IF(INDEX('Prospect Tracker'!$L$5:$L$554,$K523)="","",INDEX('Prospect Tracker'!$L$5:$L$554,$K523)))</f>
        <v/>
      </c>
      <c r="K523" s="1" t="n">
        <f aca="false">IFERROR(MATCH(SMALL('Prospect Tracker'!$X$5:$X$554,ROW()-4),'Prospect Tracker'!$X$5:$X$554,0),"")</f>
        <v>519</v>
      </c>
    </row>
    <row r="524" customFormat="false" ht="15" hidden="false" customHeight="true" outlineLevel="0" collapsed="false">
      <c r="A524" s="11" t="str">
        <f aca="false">IF($K524="","",IF(INDEX('Prospect Tracker'!$W$5:$W$554,$K524)="","",INDEX('Prospect Tracker'!$W$5:$W$554,$K524)))</f>
        <v/>
      </c>
      <c r="B524" s="11" t="str">
        <f aca="false">IF($K524="","",IF(INDEX('Prospect Tracker'!$A$5:$A$554,$K524)="","",INDEX('Prospect Tracker'!$A$5:$A$554,$K524)))</f>
        <v/>
      </c>
      <c r="C524" s="11" t="str">
        <f aca="false">IF($K524="","",IF(INDEX('Prospect Tracker'!$B$5:$B$554,$K524)="","",INDEX('Prospect Tracker'!$B$5:$B$554,$K524)))</f>
        <v/>
      </c>
      <c r="D524" s="11" t="str">
        <f aca="false">IF($K524="","",IF(INDEX('Prospect Tracker'!$M$5:$M$554,$K524)="","",INDEX('Prospect Tracker'!$M$5:$M$554,$K524)))</f>
        <v/>
      </c>
      <c r="E524" s="11" t="str">
        <f aca="false">IF($K524="","",IF(INDEX('Prospect Tracker'!$R$5:$R$554,$K524)="","",INDEX('Prospect Tracker'!$R$5:$R$554,$K524)))</f>
        <v/>
      </c>
      <c r="F524" s="11" t="str">
        <f aca="false">IF($K524="","",IF(INDEX('Prospect Tracker'!$J$5:$J$554,$K524)="","",INDEX('Prospect Tracker'!$J$5:$J$554,$K524)))</f>
        <v/>
      </c>
      <c r="G524" s="11" t="str">
        <f aca="false">IF($K524="","",IF(INDEX('Prospect Tracker'!$H$5:$H$554,$K524)="","",INDEX('Prospect Tracker'!$H$5:$H$554,$K524)))</f>
        <v/>
      </c>
      <c r="H524" s="12" t="str">
        <f aca="false">IF($K524="","",IF(INDEX('Prospect Tracker'!$K$5:$K$554,$K524)="","",INDEX('Prospect Tracker'!$K$5:$K$554,$K524)))</f>
        <v/>
      </c>
      <c r="I524" s="11" t="str">
        <f aca="false">IF($K524="","",IF(INDEX('Prospect Tracker'!$T$5:$T$554,$K524)="","",INDEX('Prospect Tracker'!$T$5:$T$554,$K524)))</f>
        <v/>
      </c>
      <c r="J524" s="11" t="str">
        <f aca="false">IF($K524="","",IF(INDEX('Prospect Tracker'!$L$5:$L$554,$K524)="","",INDEX('Prospect Tracker'!$L$5:$L$554,$K524)))</f>
        <v/>
      </c>
      <c r="K524" s="1" t="n">
        <f aca="false">IFERROR(MATCH(SMALL('Prospect Tracker'!$X$5:$X$554,ROW()-4),'Prospect Tracker'!$X$5:$X$554,0),"")</f>
        <v>520</v>
      </c>
    </row>
    <row r="525" customFormat="false" ht="15" hidden="false" customHeight="true" outlineLevel="0" collapsed="false">
      <c r="A525" s="6" t="str">
        <f aca="false">IF($K525="","",IF(INDEX('Prospect Tracker'!$W$5:$W$554,$K525)="","",INDEX('Prospect Tracker'!$W$5:$W$554,$K525)))</f>
        <v/>
      </c>
      <c r="B525" s="6" t="str">
        <f aca="false">IF($K525="","",IF(INDEX('Prospect Tracker'!$A$5:$A$554,$K525)="","",INDEX('Prospect Tracker'!$A$5:$A$554,$K525)))</f>
        <v/>
      </c>
      <c r="C525" s="6" t="str">
        <f aca="false">IF($K525="","",IF(INDEX('Prospect Tracker'!$B$5:$B$554,$K525)="","",INDEX('Prospect Tracker'!$B$5:$B$554,$K525)))</f>
        <v/>
      </c>
      <c r="D525" s="6" t="str">
        <f aca="false">IF($K525="","",IF(INDEX('Prospect Tracker'!$M$5:$M$554,$K525)="","",INDEX('Prospect Tracker'!$M$5:$M$554,$K525)))</f>
        <v/>
      </c>
      <c r="E525" s="6" t="str">
        <f aca="false">IF($K525="","",IF(INDEX('Prospect Tracker'!$R$5:$R$554,$K525)="","",INDEX('Prospect Tracker'!$R$5:$R$554,$K525)))</f>
        <v/>
      </c>
      <c r="F525" s="6" t="str">
        <f aca="false">IF($K525="","",IF(INDEX('Prospect Tracker'!$J$5:$J$554,$K525)="","",INDEX('Prospect Tracker'!$J$5:$J$554,$K525)))</f>
        <v/>
      </c>
      <c r="G525" s="6" t="str">
        <f aca="false">IF($K525="","",IF(INDEX('Prospect Tracker'!$H$5:$H$554,$K525)="","",INDEX('Prospect Tracker'!$H$5:$H$554,$K525)))</f>
        <v/>
      </c>
      <c r="H525" s="7" t="str">
        <f aca="false">IF($K525="","",IF(INDEX('Prospect Tracker'!$K$5:$K$554,$K525)="","",INDEX('Prospect Tracker'!$K$5:$K$554,$K525)))</f>
        <v/>
      </c>
      <c r="I525" s="6" t="str">
        <f aca="false">IF($K525="","",IF(INDEX('Prospect Tracker'!$T$5:$T$554,$K525)="","",INDEX('Prospect Tracker'!$T$5:$T$554,$K525)))</f>
        <v/>
      </c>
      <c r="J525" s="6" t="str">
        <f aca="false">IF($K525="","",IF(INDEX('Prospect Tracker'!$L$5:$L$554,$K525)="","",INDEX('Prospect Tracker'!$L$5:$L$554,$K525)))</f>
        <v/>
      </c>
      <c r="K525" s="1" t="n">
        <f aca="false">IFERROR(MATCH(SMALL('Prospect Tracker'!$X$5:$X$554,ROW()-4),'Prospect Tracker'!$X$5:$X$554,0),"")</f>
        <v>521</v>
      </c>
    </row>
    <row r="526" customFormat="false" ht="15" hidden="false" customHeight="true" outlineLevel="0" collapsed="false">
      <c r="A526" s="11" t="str">
        <f aca="false">IF($K526="","",IF(INDEX('Prospect Tracker'!$W$5:$W$554,$K526)="","",INDEX('Prospect Tracker'!$W$5:$W$554,$K526)))</f>
        <v/>
      </c>
      <c r="B526" s="11" t="str">
        <f aca="false">IF($K526="","",IF(INDEX('Prospect Tracker'!$A$5:$A$554,$K526)="","",INDEX('Prospect Tracker'!$A$5:$A$554,$K526)))</f>
        <v/>
      </c>
      <c r="C526" s="11" t="str">
        <f aca="false">IF($K526="","",IF(INDEX('Prospect Tracker'!$B$5:$B$554,$K526)="","",INDEX('Prospect Tracker'!$B$5:$B$554,$K526)))</f>
        <v/>
      </c>
      <c r="D526" s="11" t="str">
        <f aca="false">IF($K526="","",IF(INDEX('Prospect Tracker'!$M$5:$M$554,$K526)="","",INDEX('Prospect Tracker'!$M$5:$M$554,$K526)))</f>
        <v/>
      </c>
      <c r="E526" s="11" t="str">
        <f aca="false">IF($K526="","",IF(INDEX('Prospect Tracker'!$R$5:$R$554,$K526)="","",INDEX('Prospect Tracker'!$R$5:$R$554,$K526)))</f>
        <v/>
      </c>
      <c r="F526" s="11" t="str">
        <f aca="false">IF($K526="","",IF(INDEX('Prospect Tracker'!$J$5:$J$554,$K526)="","",INDEX('Prospect Tracker'!$J$5:$J$554,$K526)))</f>
        <v/>
      </c>
      <c r="G526" s="11" t="str">
        <f aca="false">IF($K526="","",IF(INDEX('Prospect Tracker'!$H$5:$H$554,$K526)="","",INDEX('Prospect Tracker'!$H$5:$H$554,$K526)))</f>
        <v/>
      </c>
      <c r="H526" s="12" t="str">
        <f aca="false">IF($K526="","",IF(INDEX('Prospect Tracker'!$K$5:$K$554,$K526)="","",INDEX('Prospect Tracker'!$K$5:$K$554,$K526)))</f>
        <v/>
      </c>
      <c r="I526" s="11" t="str">
        <f aca="false">IF($K526="","",IF(INDEX('Prospect Tracker'!$T$5:$T$554,$K526)="","",INDEX('Prospect Tracker'!$T$5:$T$554,$K526)))</f>
        <v/>
      </c>
      <c r="J526" s="11" t="str">
        <f aca="false">IF($K526="","",IF(INDEX('Prospect Tracker'!$L$5:$L$554,$K526)="","",INDEX('Prospect Tracker'!$L$5:$L$554,$K526)))</f>
        <v/>
      </c>
      <c r="K526" s="1" t="n">
        <f aca="false">IFERROR(MATCH(SMALL('Prospect Tracker'!$X$5:$X$554,ROW()-4),'Prospect Tracker'!$X$5:$X$554,0),"")</f>
        <v>522</v>
      </c>
    </row>
    <row r="527" customFormat="false" ht="15" hidden="false" customHeight="true" outlineLevel="0" collapsed="false">
      <c r="A527" s="6" t="str">
        <f aca="false">IF($K527="","",IF(INDEX('Prospect Tracker'!$W$5:$W$554,$K527)="","",INDEX('Prospect Tracker'!$W$5:$W$554,$K527)))</f>
        <v/>
      </c>
      <c r="B527" s="6" t="str">
        <f aca="false">IF($K527="","",IF(INDEX('Prospect Tracker'!$A$5:$A$554,$K527)="","",INDEX('Prospect Tracker'!$A$5:$A$554,$K527)))</f>
        <v/>
      </c>
      <c r="C527" s="6" t="str">
        <f aca="false">IF($K527="","",IF(INDEX('Prospect Tracker'!$B$5:$B$554,$K527)="","",INDEX('Prospect Tracker'!$B$5:$B$554,$K527)))</f>
        <v/>
      </c>
      <c r="D527" s="6" t="str">
        <f aca="false">IF($K527="","",IF(INDEX('Prospect Tracker'!$M$5:$M$554,$K527)="","",INDEX('Prospect Tracker'!$M$5:$M$554,$K527)))</f>
        <v/>
      </c>
      <c r="E527" s="6" t="str">
        <f aca="false">IF($K527="","",IF(INDEX('Prospect Tracker'!$R$5:$R$554,$K527)="","",INDEX('Prospect Tracker'!$R$5:$R$554,$K527)))</f>
        <v/>
      </c>
      <c r="F527" s="6" t="str">
        <f aca="false">IF($K527="","",IF(INDEX('Prospect Tracker'!$J$5:$J$554,$K527)="","",INDEX('Prospect Tracker'!$J$5:$J$554,$K527)))</f>
        <v/>
      </c>
      <c r="G527" s="6" t="str">
        <f aca="false">IF($K527="","",IF(INDEX('Prospect Tracker'!$H$5:$H$554,$K527)="","",INDEX('Prospect Tracker'!$H$5:$H$554,$K527)))</f>
        <v/>
      </c>
      <c r="H527" s="7" t="str">
        <f aca="false">IF($K527="","",IF(INDEX('Prospect Tracker'!$K$5:$K$554,$K527)="","",INDEX('Prospect Tracker'!$K$5:$K$554,$K527)))</f>
        <v/>
      </c>
      <c r="I527" s="6" t="str">
        <f aca="false">IF($K527="","",IF(INDEX('Prospect Tracker'!$T$5:$T$554,$K527)="","",INDEX('Prospect Tracker'!$T$5:$T$554,$K527)))</f>
        <v/>
      </c>
      <c r="J527" s="6" t="str">
        <f aca="false">IF($K527="","",IF(INDEX('Prospect Tracker'!$L$5:$L$554,$K527)="","",INDEX('Prospect Tracker'!$L$5:$L$554,$K527)))</f>
        <v/>
      </c>
      <c r="K527" s="1" t="n">
        <f aca="false">IFERROR(MATCH(SMALL('Prospect Tracker'!$X$5:$X$554,ROW()-4),'Prospect Tracker'!$X$5:$X$554,0),"")</f>
        <v>523</v>
      </c>
    </row>
    <row r="528" customFormat="false" ht="15" hidden="false" customHeight="true" outlineLevel="0" collapsed="false">
      <c r="A528" s="11" t="str">
        <f aca="false">IF($K528="","",IF(INDEX('Prospect Tracker'!$W$5:$W$554,$K528)="","",INDEX('Prospect Tracker'!$W$5:$W$554,$K528)))</f>
        <v/>
      </c>
      <c r="B528" s="11" t="str">
        <f aca="false">IF($K528="","",IF(INDEX('Prospect Tracker'!$A$5:$A$554,$K528)="","",INDEX('Prospect Tracker'!$A$5:$A$554,$K528)))</f>
        <v/>
      </c>
      <c r="C528" s="11" t="str">
        <f aca="false">IF($K528="","",IF(INDEX('Prospect Tracker'!$B$5:$B$554,$K528)="","",INDEX('Prospect Tracker'!$B$5:$B$554,$K528)))</f>
        <v/>
      </c>
      <c r="D528" s="11" t="str">
        <f aca="false">IF($K528="","",IF(INDEX('Prospect Tracker'!$M$5:$M$554,$K528)="","",INDEX('Prospect Tracker'!$M$5:$M$554,$K528)))</f>
        <v/>
      </c>
      <c r="E528" s="11" t="str">
        <f aca="false">IF($K528="","",IF(INDEX('Prospect Tracker'!$R$5:$R$554,$K528)="","",INDEX('Prospect Tracker'!$R$5:$R$554,$K528)))</f>
        <v/>
      </c>
      <c r="F528" s="11" t="str">
        <f aca="false">IF($K528="","",IF(INDEX('Prospect Tracker'!$J$5:$J$554,$K528)="","",INDEX('Prospect Tracker'!$J$5:$J$554,$K528)))</f>
        <v/>
      </c>
      <c r="G528" s="11" t="str">
        <f aca="false">IF($K528="","",IF(INDEX('Prospect Tracker'!$H$5:$H$554,$K528)="","",INDEX('Prospect Tracker'!$H$5:$H$554,$K528)))</f>
        <v/>
      </c>
      <c r="H528" s="12" t="str">
        <f aca="false">IF($K528="","",IF(INDEX('Prospect Tracker'!$K$5:$K$554,$K528)="","",INDEX('Prospect Tracker'!$K$5:$K$554,$K528)))</f>
        <v/>
      </c>
      <c r="I528" s="11" t="str">
        <f aca="false">IF($K528="","",IF(INDEX('Prospect Tracker'!$T$5:$T$554,$K528)="","",INDEX('Prospect Tracker'!$T$5:$T$554,$K528)))</f>
        <v/>
      </c>
      <c r="J528" s="11" t="str">
        <f aca="false">IF($K528="","",IF(INDEX('Prospect Tracker'!$L$5:$L$554,$K528)="","",INDEX('Prospect Tracker'!$L$5:$L$554,$K528)))</f>
        <v/>
      </c>
      <c r="K528" s="1" t="n">
        <f aca="false">IFERROR(MATCH(SMALL('Prospect Tracker'!$X$5:$X$554,ROW()-4),'Prospect Tracker'!$X$5:$X$554,0),"")</f>
        <v>524</v>
      </c>
    </row>
    <row r="529" customFormat="false" ht="15" hidden="false" customHeight="true" outlineLevel="0" collapsed="false">
      <c r="A529" s="6" t="str">
        <f aca="false">IF($K529="","",IF(INDEX('Prospect Tracker'!$W$5:$W$554,$K529)="","",INDEX('Prospect Tracker'!$W$5:$W$554,$K529)))</f>
        <v/>
      </c>
      <c r="B529" s="6" t="str">
        <f aca="false">IF($K529="","",IF(INDEX('Prospect Tracker'!$A$5:$A$554,$K529)="","",INDEX('Prospect Tracker'!$A$5:$A$554,$K529)))</f>
        <v/>
      </c>
      <c r="C529" s="6" t="str">
        <f aca="false">IF($K529="","",IF(INDEX('Prospect Tracker'!$B$5:$B$554,$K529)="","",INDEX('Prospect Tracker'!$B$5:$B$554,$K529)))</f>
        <v/>
      </c>
      <c r="D529" s="6" t="str">
        <f aca="false">IF($K529="","",IF(INDEX('Prospect Tracker'!$M$5:$M$554,$K529)="","",INDEX('Prospect Tracker'!$M$5:$M$554,$K529)))</f>
        <v/>
      </c>
      <c r="E529" s="6" t="str">
        <f aca="false">IF($K529="","",IF(INDEX('Prospect Tracker'!$R$5:$R$554,$K529)="","",INDEX('Prospect Tracker'!$R$5:$R$554,$K529)))</f>
        <v/>
      </c>
      <c r="F529" s="6" t="str">
        <f aca="false">IF($K529="","",IF(INDEX('Prospect Tracker'!$J$5:$J$554,$K529)="","",INDEX('Prospect Tracker'!$J$5:$J$554,$K529)))</f>
        <v/>
      </c>
      <c r="G529" s="6" t="str">
        <f aca="false">IF($K529="","",IF(INDEX('Prospect Tracker'!$H$5:$H$554,$K529)="","",INDEX('Prospect Tracker'!$H$5:$H$554,$K529)))</f>
        <v/>
      </c>
      <c r="H529" s="7" t="str">
        <f aca="false">IF($K529="","",IF(INDEX('Prospect Tracker'!$K$5:$K$554,$K529)="","",INDEX('Prospect Tracker'!$K$5:$K$554,$K529)))</f>
        <v/>
      </c>
      <c r="I529" s="6" t="str">
        <f aca="false">IF($K529="","",IF(INDEX('Prospect Tracker'!$T$5:$T$554,$K529)="","",INDEX('Prospect Tracker'!$T$5:$T$554,$K529)))</f>
        <v/>
      </c>
      <c r="J529" s="6" t="str">
        <f aca="false">IF($K529="","",IF(INDEX('Prospect Tracker'!$L$5:$L$554,$K529)="","",INDEX('Prospect Tracker'!$L$5:$L$554,$K529)))</f>
        <v/>
      </c>
      <c r="K529" s="1" t="n">
        <f aca="false">IFERROR(MATCH(SMALL('Prospect Tracker'!$X$5:$X$554,ROW()-4),'Prospect Tracker'!$X$5:$X$554,0),"")</f>
        <v>525</v>
      </c>
    </row>
    <row r="530" customFormat="false" ht="15" hidden="false" customHeight="true" outlineLevel="0" collapsed="false">
      <c r="A530" s="11" t="str">
        <f aca="false">IF($K530="","",IF(INDEX('Prospect Tracker'!$W$5:$W$554,$K530)="","",INDEX('Prospect Tracker'!$W$5:$W$554,$K530)))</f>
        <v/>
      </c>
      <c r="B530" s="11" t="str">
        <f aca="false">IF($K530="","",IF(INDEX('Prospect Tracker'!$A$5:$A$554,$K530)="","",INDEX('Prospect Tracker'!$A$5:$A$554,$K530)))</f>
        <v/>
      </c>
      <c r="C530" s="11" t="str">
        <f aca="false">IF($K530="","",IF(INDEX('Prospect Tracker'!$B$5:$B$554,$K530)="","",INDEX('Prospect Tracker'!$B$5:$B$554,$K530)))</f>
        <v/>
      </c>
      <c r="D530" s="11" t="str">
        <f aca="false">IF($K530="","",IF(INDEX('Prospect Tracker'!$M$5:$M$554,$K530)="","",INDEX('Prospect Tracker'!$M$5:$M$554,$K530)))</f>
        <v/>
      </c>
      <c r="E530" s="11" t="str">
        <f aca="false">IF($K530="","",IF(INDEX('Prospect Tracker'!$R$5:$R$554,$K530)="","",INDEX('Prospect Tracker'!$R$5:$R$554,$K530)))</f>
        <v/>
      </c>
      <c r="F530" s="11" t="str">
        <f aca="false">IF($K530="","",IF(INDEX('Prospect Tracker'!$J$5:$J$554,$K530)="","",INDEX('Prospect Tracker'!$J$5:$J$554,$K530)))</f>
        <v/>
      </c>
      <c r="G530" s="11" t="str">
        <f aca="false">IF($K530="","",IF(INDEX('Prospect Tracker'!$H$5:$H$554,$K530)="","",INDEX('Prospect Tracker'!$H$5:$H$554,$K530)))</f>
        <v/>
      </c>
      <c r="H530" s="12" t="str">
        <f aca="false">IF($K530="","",IF(INDEX('Prospect Tracker'!$K$5:$K$554,$K530)="","",INDEX('Prospect Tracker'!$K$5:$K$554,$K530)))</f>
        <v/>
      </c>
      <c r="I530" s="11" t="str">
        <f aca="false">IF($K530="","",IF(INDEX('Prospect Tracker'!$T$5:$T$554,$K530)="","",INDEX('Prospect Tracker'!$T$5:$T$554,$K530)))</f>
        <v/>
      </c>
      <c r="J530" s="11" t="str">
        <f aca="false">IF($K530="","",IF(INDEX('Prospect Tracker'!$L$5:$L$554,$K530)="","",INDEX('Prospect Tracker'!$L$5:$L$554,$K530)))</f>
        <v/>
      </c>
      <c r="K530" s="1" t="n">
        <f aca="false">IFERROR(MATCH(SMALL('Prospect Tracker'!$X$5:$X$554,ROW()-4),'Prospect Tracker'!$X$5:$X$554,0),"")</f>
        <v>526</v>
      </c>
    </row>
    <row r="531" customFormat="false" ht="15" hidden="false" customHeight="true" outlineLevel="0" collapsed="false">
      <c r="A531" s="6" t="str">
        <f aca="false">IF($K531="","",IF(INDEX('Prospect Tracker'!$W$5:$W$554,$K531)="","",INDEX('Prospect Tracker'!$W$5:$W$554,$K531)))</f>
        <v/>
      </c>
      <c r="B531" s="6" t="str">
        <f aca="false">IF($K531="","",IF(INDEX('Prospect Tracker'!$A$5:$A$554,$K531)="","",INDEX('Prospect Tracker'!$A$5:$A$554,$K531)))</f>
        <v/>
      </c>
      <c r="C531" s="6" t="str">
        <f aca="false">IF($K531="","",IF(INDEX('Prospect Tracker'!$B$5:$B$554,$K531)="","",INDEX('Prospect Tracker'!$B$5:$B$554,$K531)))</f>
        <v/>
      </c>
      <c r="D531" s="6" t="str">
        <f aca="false">IF($K531="","",IF(INDEX('Prospect Tracker'!$M$5:$M$554,$K531)="","",INDEX('Prospect Tracker'!$M$5:$M$554,$K531)))</f>
        <v/>
      </c>
      <c r="E531" s="6" t="str">
        <f aca="false">IF($K531="","",IF(INDEX('Prospect Tracker'!$R$5:$R$554,$K531)="","",INDEX('Prospect Tracker'!$R$5:$R$554,$K531)))</f>
        <v/>
      </c>
      <c r="F531" s="6" t="str">
        <f aca="false">IF($K531="","",IF(INDEX('Prospect Tracker'!$J$5:$J$554,$K531)="","",INDEX('Prospect Tracker'!$J$5:$J$554,$K531)))</f>
        <v/>
      </c>
      <c r="G531" s="6" t="str">
        <f aca="false">IF($K531="","",IF(INDEX('Prospect Tracker'!$H$5:$H$554,$K531)="","",INDEX('Prospect Tracker'!$H$5:$H$554,$K531)))</f>
        <v/>
      </c>
      <c r="H531" s="7" t="str">
        <f aca="false">IF($K531="","",IF(INDEX('Prospect Tracker'!$K$5:$K$554,$K531)="","",INDEX('Prospect Tracker'!$K$5:$K$554,$K531)))</f>
        <v/>
      </c>
      <c r="I531" s="6" t="str">
        <f aca="false">IF($K531="","",IF(INDEX('Prospect Tracker'!$T$5:$T$554,$K531)="","",INDEX('Prospect Tracker'!$T$5:$T$554,$K531)))</f>
        <v/>
      </c>
      <c r="J531" s="6" t="str">
        <f aca="false">IF($K531="","",IF(INDEX('Prospect Tracker'!$L$5:$L$554,$K531)="","",INDEX('Prospect Tracker'!$L$5:$L$554,$K531)))</f>
        <v/>
      </c>
      <c r="K531" s="1" t="n">
        <f aca="false">IFERROR(MATCH(SMALL('Prospect Tracker'!$X$5:$X$554,ROW()-4),'Prospect Tracker'!$X$5:$X$554,0),"")</f>
        <v>527</v>
      </c>
    </row>
    <row r="532" customFormat="false" ht="15" hidden="false" customHeight="true" outlineLevel="0" collapsed="false">
      <c r="A532" s="11" t="str">
        <f aca="false">IF($K532="","",IF(INDEX('Prospect Tracker'!$W$5:$W$554,$K532)="","",INDEX('Prospect Tracker'!$W$5:$W$554,$K532)))</f>
        <v/>
      </c>
      <c r="B532" s="11" t="str">
        <f aca="false">IF($K532="","",IF(INDEX('Prospect Tracker'!$A$5:$A$554,$K532)="","",INDEX('Prospect Tracker'!$A$5:$A$554,$K532)))</f>
        <v/>
      </c>
      <c r="C532" s="11" t="str">
        <f aca="false">IF($K532="","",IF(INDEX('Prospect Tracker'!$B$5:$B$554,$K532)="","",INDEX('Prospect Tracker'!$B$5:$B$554,$K532)))</f>
        <v/>
      </c>
      <c r="D532" s="11" t="str">
        <f aca="false">IF($K532="","",IF(INDEX('Prospect Tracker'!$M$5:$M$554,$K532)="","",INDEX('Prospect Tracker'!$M$5:$M$554,$K532)))</f>
        <v/>
      </c>
      <c r="E532" s="11" t="str">
        <f aca="false">IF($K532="","",IF(INDEX('Prospect Tracker'!$R$5:$R$554,$K532)="","",INDEX('Prospect Tracker'!$R$5:$R$554,$K532)))</f>
        <v/>
      </c>
      <c r="F532" s="11" t="str">
        <f aca="false">IF($K532="","",IF(INDEX('Prospect Tracker'!$J$5:$J$554,$K532)="","",INDEX('Prospect Tracker'!$J$5:$J$554,$K532)))</f>
        <v/>
      </c>
      <c r="G532" s="11" t="str">
        <f aca="false">IF($K532="","",IF(INDEX('Prospect Tracker'!$H$5:$H$554,$K532)="","",INDEX('Prospect Tracker'!$H$5:$H$554,$K532)))</f>
        <v/>
      </c>
      <c r="H532" s="12" t="str">
        <f aca="false">IF($K532="","",IF(INDEX('Prospect Tracker'!$K$5:$K$554,$K532)="","",INDEX('Prospect Tracker'!$K$5:$K$554,$K532)))</f>
        <v/>
      </c>
      <c r="I532" s="11" t="str">
        <f aca="false">IF($K532="","",IF(INDEX('Prospect Tracker'!$T$5:$T$554,$K532)="","",INDEX('Prospect Tracker'!$T$5:$T$554,$K532)))</f>
        <v/>
      </c>
      <c r="J532" s="11" t="str">
        <f aca="false">IF($K532="","",IF(INDEX('Prospect Tracker'!$L$5:$L$554,$K532)="","",INDEX('Prospect Tracker'!$L$5:$L$554,$K532)))</f>
        <v/>
      </c>
      <c r="K532" s="1" t="n">
        <f aca="false">IFERROR(MATCH(SMALL('Prospect Tracker'!$X$5:$X$554,ROW()-4),'Prospect Tracker'!$X$5:$X$554,0),"")</f>
        <v>528</v>
      </c>
    </row>
    <row r="533" customFormat="false" ht="15" hidden="false" customHeight="true" outlineLevel="0" collapsed="false">
      <c r="A533" s="6" t="str">
        <f aca="false">IF($K533="","",IF(INDEX('Prospect Tracker'!$W$5:$W$554,$K533)="","",INDEX('Prospect Tracker'!$W$5:$W$554,$K533)))</f>
        <v/>
      </c>
      <c r="B533" s="6" t="str">
        <f aca="false">IF($K533="","",IF(INDEX('Prospect Tracker'!$A$5:$A$554,$K533)="","",INDEX('Prospect Tracker'!$A$5:$A$554,$K533)))</f>
        <v/>
      </c>
      <c r="C533" s="6" t="str">
        <f aca="false">IF($K533="","",IF(INDEX('Prospect Tracker'!$B$5:$B$554,$K533)="","",INDEX('Prospect Tracker'!$B$5:$B$554,$K533)))</f>
        <v/>
      </c>
      <c r="D533" s="6" t="str">
        <f aca="false">IF($K533="","",IF(INDEX('Prospect Tracker'!$M$5:$M$554,$K533)="","",INDEX('Prospect Tracker'!$M$5:$M$554,$K533)))</f>
        <v/>
      </c>
      <c r="E533" s="6" t="str">
        <f aca="false">IF($K533="","",IF(INDEX('Prospect Tracker'!$R$5:$R$554,$K533)="","",INDEX('Prospect Tracker'!$R$5:$R$554,$K533)))</f>
        <v/>
      </c>
      <c r="F533" s="6" t="str">
        <f aca="false">IF($K533="","",IF(INDEX('Prospect Tracker'!$J$5:$J$554,$K533)="","",INDEX('Prospect Tracker'!$J$5:$J$554,$K533)))</f>
        <v/>
      </c>
      <c r="G533" s="6" t="str">
        <f aca="false">IF($K533="","",IF(INDEX('Prospect Tracker'!$H$5:$H$554,$K533)="","",INDEX('Prospect Tracker'!$H$5:$H$554,$K533)))</f>
        <v/>
      </c>
      <c r="H533" s="7" t="str">
        <f aca="false">IF($K533="","",IF(INDEX('Prospect Tracker'!$K$5:$K$554,$K533)="","",INDEX('Prospect Tracker'!$K$5:$K$554,$K533)))</f>
        <v/>
      </c>
      <c r="I533" s="6" t="str">
        <f aca="false">IF($K533="","",IF(INDEX('Prospect Tracker'!$T$5:$T$554,$K533)="","",INDEX('Prospect Tracker'!$T$5:$T$554,$K533)))</f>
        <v/>
      </c>
      <c r="J533" s="6" t="str">
        <f aca="false">IF($K533="","",IF(INDEX('Prospect Tracker'!$L$5:$L$554,$K533)="","",INDEX('Prospect Tracker'!$L$5:$L$554,$K533)))</f>
        <v/>
      </c>
      <c r="K533" s="1" t="n">
        <f aca="false">IFERROR(MATCH(SMALL('Prospect Tracker'!$X$5:$X$554,ROW()-4),'Prospect Tracker'!$X$5:$X$554,0),"")</f>
        <v>529</v>
      </c>
    </row>
    <row r="534" customFormat="false" ht="15" hidden="false" customHeight="true" outlineLevel="0" collapsed="false">
      <c r="A534" s="11" t="str">
        <f aca="false">IF($K534="","",IF(INDEX('Prospect Tracker'!$W$5:$W$554,$K534)="","",INDEX('Prospect Tracker'!$W$5:$W$554,$K534)))</f>
        <v/>
      </c>
      <c r="B534" s="11" t="str">
        <f aca="false">IF($K534="","",IF(INDEX('Prospect Tracker'!$A$5:$A$554,$K534)="","",INDEX('Prospect Tracker'!$A$5:$A$554,$K534)))</f>
        <v/>
      </c>
      <c r="C534" s="11" t="str">
        <f aca="false">IF($K534="","",IF(INDEX('Prospect Tracker'!$B$5:$B$554,$K534)="","",INDEX('Prospect Tracker'!$B$5:$B$554,$K534)))</f>
        <v/>
      </c>
      <c r="D534" s="11" t="str">
        <f aca="false">IF($K534="","",IF(INDEX('Prospect Tracker'!$M$5:$M$554,$K534)="","",INDEX('Prospect Tracker'!$M$5:$M$554,$K534)))</f>
        <v/>
      </c>
      <c r="E534" s="11" t="str">
        <f aca="false">IF($K534="","",IF(INDEX('Prospect Tracker'!$R$5:$R$554,$K534)="","",INDEX('Prospect Tracker'!$R$5:$R$554,$K534)))</f>
        <v/>
      </c>
      <c r="F534" s="11" t="str">
        <f aca="false">IF($K534="","",IF(INDEX('Prospect Tracker'!$J$5:$J$554,$K534)="","",INDEX('Prospect Tracker'!$J$5:$J$554,$K534)))</f>
        <v/>
      </c>
      <c r="G534" s="11" t="str">
        <f aca="false">IF($K534="","",IF(INDEX('Prospect Tracker'!$H$5:$H$554,$K534)="","",INDEX('Prospect Tracker'!$H$5:$H$554,$K534)))</f>
        <v/>
      </c>
      <c r="H534" s="12" t="str">
        <f aca="false">IF($K534="","",IF(INDEX('Prospect Tracker'!$K$5:$K$554,$K534)="","",INDEX('Prospect Tracker'!$K$5:$K$554,$K534)))</f>
        <v/>
      </c>
      <c r="I534" s="11" t="str">
        <f aca="false">IF($K534="","",IF(INDEX('Prospect Tracker'!$T$5:$T$554,$K534)="","",INDEX('Prospect Tracker'!$T$5:$T$554,$K534)))</f>
        <v/>
      </c>
      <c r="J534" s="11" t="str">
        <f aca="false">IF($K534="","",IF(INDEX('Prospect Tracker'!$L$5:$L$554,$K534)="","",INDEX('Prospect Tracker'!$L$5:$L$554,$K534)))</f>
        <v/>
      </c>
      <c r="K534" s="1" t="n">
        <f aca="false">IFERROR(MATCH(SMALL('Prospect Tracker'!$X$5:$X$554,ROW()-4),'Prospect Tracker'!$X$5:$X$554,0),"")</f>
        <v>530</v>
      </c>
    </row>
    <row r="535" customFormat="false" ht="15" hidden="false" customHeight="true" outlineLevel="0" collapsed="false">
      <c r="A535" s="6" t="str">
        <f aca="false">IF($K535="","",IF(INDEX('Prospect Tracker'!$W$5:$W$554,$K535)="","",INDEX('Prospect Tracker'!$W$5:$W$554,$K535)))</f>
        <v/>
      </c>
      <c r="B535" s="6" t="str">
        <f aca="false">IF($K535="","",IF(INDEX('Prospect Tracker'!$A$5:$A$554,$K535)="","",INDEX('Prospect Tracker'!$A$5:$A$554,$K535)))</f>
        <v/>
      </c>
      <c r="C535" s="6" t="str">
        <f aca="false">IF($K535="","",IF(INDEX('Prospect Tracker'!$B$5:$B$554,$K535)="","",INDEX('Prospect Tracker'!$B$5:$B$554,$K535)))</f>
        <v/>
      </c>
      <c r="D535" s="6" t="str">
        <f aca="false">IF($K535="","",IF(INDEX('Prospect Tracker'!$M$5:$M$554,$K535)="","",INDEX('Prospect Tracker'!$M$5:$M$554,$K535)))</f>
        <v/>
      </c>
      <c r="E535" s="6" t="str">
        <f aca="false">IF($K535="","",IF(INDEX('Prospect Tracker'!$R$5:$R$554,$K535)="","",INDEX('Prospect Tracker'!$R$5:$R$554,$K535)))</f>
        <v/>
      </c>
      <c r="F535" s="6" t="str">
        <f aca="false">IF($K535="","",IF(INDEX('Prospect Tracker'!$J$5:$J$554,$K535)="","",INDEX('Prospect Tracker'!$J$5:$J$554,$K535)))</f>
        <v/>
      </c>
      <c r="G535" s="6" t="str">
        <f aca="false">IF($K535="","",IF(INDEX('Prospect Tracker'!$H$5:$H$554,$K535)="","",INDEX('Prospect Tracker'!$H$5:$H$554,$K535)))</f>
        <v/>
      </c>
      <c r="H535" s="7" t="str">
        <f aca="false">IF($K535="","",IF(INDEX('Prospect Tracker'!$K$5:$K$554,$K535)="","",INDEX('Prospect Tracker'!$K$5:$K$554,$K535)))</f>
        <v/>
      </c>
      <c r="I535" s="6" t="str">
        <f aca="false">IF($K535="","",IF(INDEX('Prospect Tracker'!$T$5:$T$554,$K535)="","",INDEX('Prospect Tracker'!$T$5:$T$554,$K535)))</f>
        <v/>
      </c>
      <c r="J535" s="6" t="str">
        <f aca="false">IF($K535="","",IF(INDEX('Prospect Tracker'!$L$5:$L$554,$K535)="","",INDEX('Prospect Tracker'!$L$5:$L$554,$K535)))</f>
        <v/>
      </c>
      <c r="K535" s="1" t="n">
        <f aca="false">IFERROR(MATCH(SMALL('Prospect Tracker'!$X$5:$X$554,ROW()-4),'Prospect Tracker'!$X$5:$X$554,0),"")</f>
        <v>531</v>
      </c>
    </row>
    <row r="536" customFormat="false" ht="15" hidden="false" customHeight="true" outlineLevel="0" collapsed="false">
      <c r="A536" s="11" t="str">
        <f aca="false">IF($K536="","",IF(INDEX('Prospect Tracker'!$W$5:$W$554,$K536)="","",INDEX('Prospect Tracker'!$W$5:$W$554,$K536)))</f>
        <v/>
      </c>
      <c r="B536" s="11" t="str">
        <f aca="false">IF($K536="","",IF(INDEX('Prospect Tracker'!$A$5:$A$554,$K536)="","",INDEX('Prospect Tracker'!$A$5:$A$554,$K536)))</f>
        <v/>
      </c>
      <c r="C536" s="11" t="str">
        <f aca="false">IF($K536="","",IF(INDEX('Prospect Tracker'!$B$5:$B$554,$K536)="","",INDEX('Prospect Tracker'!$B$5:$B$554,$K536)))</f>
        <v/>
      </c>
      <c r="D536" s="11" t="str">
        <f aca="false">IF($K536="","",IF(INDEX('Prospect Tracker'!$M$5:$M$554,$K536)="","",INDEX('Prospect Tracker'!$M$5:$M$554,$K536)))</f>
        <v/>
      </c>
      <c r="E536" s="11" t="str">
        <f aca="false">IF($K536="","",IF(INDEX('Prospect Tracker'!$R$5:$R$554,$K536)="","",INDEX('Prospect Tracker'!$R$5:$R$554,$K536)))</f>
        <v/>
      </c>
      <c r="F536" s="11" t="str">
        <f aca="false">IF($K536="","",IF(INDEX('Prospect Tracker'!$J$5:$J$554,$K536)="","",INDEX('Prospect Tracker'!$J$5:$J$554,$K536)))</f>
        <v/>
      </c>
      <c r="G536" s="11" t="str">
        <f aca="false">IF($K536="","",IF(INDEX('Prospect Tracker'!$H$5:$H$554,$K536)="","",INDEX('Prospect Tracker'!$H$5:$H$554,$K536)))</f>
        <v/>
      </c>
      <c r="H536" s="12" t="str">
        <f aca="false">IF($K536="","",IF(INDEX('Prospect Tracker'!$K$5:$K$554,$K536)="","",INDEX('Prospect Tracker'!$K$5:$K$554,$K536)))</f>
        <v/>
      </c>
      <c r="I536" s="11" t="str">
        <f aca="false">IF($K536="","",IF(INDEX('Prospect Tracker'!$T$5:$T$554,$K536)="","",INDEX('Prospect Tracker'!$T$5:$T$554,$K536)))</f>
        <v/>
      </c>
      <c r="J536" s="11" t="str">
        <f aca="false">IF($K536="","",IF(INDEX('Prospect Tracker'!$L$5:$L$554,$K536)="","",INDEX('Prospect Tracker'!$L$5:$L$554,$K536)))</f>
        <v/>
      </c>
      <c r="K536" s="1" t="n">
        <f aca="false">IFERROR(MATCH(SMALL('Prospect Tracker'!$X$5:$X$554,ROW()-4),'Prospect Tracker'!$X$5:$X$554,0),"")</f>
        <v>532</v>
      </c>
    </row>
    <row r="537" customFormat="false" ht="15" hidden="false" customHeight="true" outlineLevel="0" collapsed="false">
      <c r="A537" s="6" t="str">
        <f aca="false">IF($K537="","",IF(INDEX('Prospect Tracker'!$W$5:$W$554,$K537)="","",INDEX('Prospect Tracker'!$W$5:$W$554,$K537)))</f>
        <v/>
      </c>
      <c r="B537" s="6" t="str">
        <f aca="false">IF($K537="","",IF(INDEX('Prospect Tracker'!$A$5:$A$554,$K537)="","",INDEX('Prospect Tracker'!$A$5:$A$554,$K537)))</f>
        <v/>
      </c>
      <c r="C537" s="6" t="str">
        <f aca="false">IF($K537="","",IF(INDEX('Prospect Tracker'!$B$5:$B$554,$K537)="","",INDEX('Prospect Tracker'!$B$5:$B$554,$K537)))</f>
        <v/>
      </c>
      <c r="D537" s="6" t="str">
        <f aca="false">IF($K537="","",IF(INDEX('Prospect Tracker'!$M$5:$M$554,$K537)="","",INDEX('Prospect Tracker'!$M$5:$M$554,$K537)))</f>
        <v/>
      </c>
      <c r="E537" s="6" t="str">
        <f aca="false">IF($K537="","",IF(INDEX('Prospect Tracker'!$R$5:$R$554,$K537)="","",INDEX('Prospect Tracker'!$R$5:$R$554,$K537)))</f>
        <v/>
      </c>
      <c r="F537" s="6" t="str">
        <f aca="false">IF($K537="","",IF(INDEX('Prospect Tracker'!$J$5:$J$554,$K537)="","",INDEX('Prospect Tracker'!$J$5:$J$554,$K537)))</f>
        <v/>
      </c>
      <c r="G537" s="6" t="str">
        <f aca="false">IF($K537="","",IF(INDEX('Prospect Tracker'!$H$5:$H$554,$K537)="","",INDEX('Prospect Tracker'!$H$5:$H$554,$K537)))</f>
        <v/>
      </c>
      <c r="H537" s="7" t="str">
        <f aca="false">IF($K537="","",IF(INDEX('Prospect Tracker'!$K$5:$K$554,$K537)="","",INDEX('Prospect Tracker'!$K$5:$K$554,$K537)))</f>
        <v/>
      </c>
      <c r="I537" s="6" t="str">
        <f aca="false">IF($K537="","",IF(INDEX('Prospect Tracker'!$T$5:$T$554,$K537)="","",INDEX('Prospect Tracker'!$T$5:$T$554,$K537)))</f>
        <v/>
      </c>
      <c r="J537" s="6" t="str">
        <f aca="false">IF($K537="","",IF(INDEX('Prospect Tracker'!$L$5:$L$554,$K537)="","",INDEX('Prospect Tracker'!$L$5:$L$554,$K537)))</f>
        <v/>
      </c>
      <c r="K537" s="1" t="n">
        <f aca="false">IFERROR(MATCH(SMALL('Prospect Tracker'!$X$5:$X$554,ROW()-4),'Prospect Tracker'!$X$5:$X$554,0),"")</f>
        <v>533</v>
      </c>
    </row>
    <row r="538" customFormat="false" ht="15" hidden="false" customHeight="true" outlineLevel="0" collapsed="false">
      <c r="A538" s="11" t="str">
        <f aca="false">IF($K538="","",IF(INDEX('Prospect Tracker'!$W$5:$W$554,$K538)="","",INDEX('Prospect Tracker'!$W$5:$W$554,$K538)))</f>
        <v/>
      </c>
      <c r="B538" s="11" t="str">
        <f aca="false">IF($K538="","",IF(INDEX('Prospect Tracker'!$A$5:$A$554,$K538)="","",INDEX('Prospect Tracker'!$A$5:$A$554,$K538)))</f>
        <v/>
      </c>
      <c r="C538" s="11" t="str">
        <f aca="false">IF($K538="","",IF(INDEX('Prospect Tracker'!$B$5:$B$554,$K538)="","",INDEX('Prospect Tracker'!$B$5:$B$554,$K538)))</f>
        <v/>
      </c>
      <c r="D538" s="11" t="str">
        <f aca="false">IF($K538="","",IF(INDEX('Prospect Tracker'!$M$5:$M$554,$K538)="","",INDEX('Prospect Tracker'!$M$5:$M$554,$K538)))</f>
        <v/>
      </c>
      <c r="E538" s="11" t="str">
        <f aca="false">IF($K538="","",IF(INDEX('Prospect Tracker'!$R$5:$R$554,$K538)="","",INDEX('Prospect Tracker'!$R$5:$R$554,$K538)))</f>
        <v/>
      </c>
      <c r="F538" s="11" t="str">
        <f aca="false">IF($K538="","",IF(INDEX('Prospect Tracker'!$J$5:$J$554,$K538)="","",INDEX('Prospect Tracker'!$J$5:$J$554,$K538)))</f>
        <v/>
      </c>
      <c r="G538" s="11" t="str">
        <f aca="false">IF($K538="","",IF(INDEX('Prospect Tracker'!$H$5:$H$554,$K538)="","",INDEX('Prospect Tracker'!$H$5:$H$554,$K538)))</f>
        <v/>
      </c>
      <c r="H538" s="12" t="str">
        <f aca="false">IF($K538="","",IF(INDEX('Prospect Tracker'!$K$5:$K$554,$K538)="","",INDEX('Prospect Tracker'!$K$5:$K$554,$K538)))</f>
        <v/>
      </c>
      <c r="I538" s="11" t="str">
        <f aca="false">IF($K538="","",IF(INDEX('Prospect Tracker'!$T$5:$T$554,$K538)="","",INDEX('Prospect Tracker'!$T$5:$T$554,$K538)))</f>
        <v/>
      </c>
      <c r="J538" s="11" t="str">
        <f aca="false">IF($K538="","",IF(INDEX('Prospect Tracker'!$L$5:$L$554,$K538)="","",INDEX('Prospect Tracker'!$L$5:$L$554,$K538)))</f>
        <v/>
      </c>
      <c r="K538" s="1" t="n">
        <f aca="false">IFERROR(MATCH(SMALL('Prospect Tracker'!$X$5:$X$554,ROW()-4),'Prospect Tracker'!$X$5:$X$554,0),"")</f>
        <v>534</v>
      </c>
    </row>
    <row r="539" customFormat="false" ht="15" hidden="false" customHeight="true" outlineLevel="0" collapsed="false">
      <c r="A539" s="6" t="str">
        <f aca="false">IF($K539="","",IF(INDEX('Prospect Tracker'!$W$5:$W$554,$K539)="","",INDEX('Prospect Tracker'!$W$5:$W$554,$K539)))</f>
        <v/>
      </c>
      <c r="B539" s="6" t="str">
        <f aca="false">IF($K539="","",IF(INDEX('Prospect Tracker'!$A$5:$A$554,$K539)="","",INDEX('Prospect Tracker'!$A$5:$A$554,$K539)))</f>
        <v/>
      </c>
      <c r="C539" s="6" t="str">
        <f aca="false">IF($K539="","",IF(INDEX('Prospect Tracker'!$B$5:$B$554,$K539)="","",INDEX('Prospect Tracker'!$B$5:$B$554,$K539)))</f>
        <v/>
      </c>
      <c r="D539" s="6" t="str">
        <f aca="false">IF($K539="","",IF(INDEX('Prospect Tracker'!$M$5:$M$554,$K539)="","",INDEX('Prospect Tracker'!$M$5:$M$554,$K539)))</f>
        <v/>
      </c>
      <c r="E539" s="6" t="str">
        <f aca="false">IF($K539="","",IF(INDEX('Prospect Tracker'!$R$5:$R$554,$K539)="","",INDEX('Prospect Tracker'!$R$5:$R$554,$K539)))</f>
        <v/>
      </c>
      <c r="F539" s="6" t="str">
        <f aca="false">IF($K539="","",IF(INDEX('Prospect Tracker'!$J$5:$J$554,$K539)="","",INDEX('Prospect Tracker'!$J$5:$J$554,$K539)))</f>
        <v/>
      </c>
      <c r="G539" s="6" t="str">
        <f aca="false">IF($K539="","",IF(INDEX('Prospect Tracker'!$H$5:$H$554,$K539)="","",INDEX('Prospect Tracker'!$H$5:$H$554,$K539)))</f>
        <v/>
      </c>
      <c r="H539" s="7" t="str">
        <f aca="false">IF($K539="","",IF(INDEX('Prospect Tracker'!$K$5:$K$554,$K539)="","",INDEX('Prospect Tracker'!$K$5:$K$554,$K539)))</f>
        <v/>
      </c>
      <c r="I539" s="6" t="str">
        <f aca="false">IF($K539="","",IF(INDEX('Prospect Tracker'!$T$5:$T$554,$K539)="","",INDEX('Prospect Tracker'!$T$5:$T$554,$K539)))</f>
        <v/>
      </c>
      <c r="J539" s="6" t="str">
        <f aca="false">IF($K539="","",IF(INDEX('Prospect Tracker'!$L$5:$L$554,$K539)="","",INDEX('Prospect Tracker'!$L$5:$L$554,$K539)))</f>
        <v/>
      </c>
      <c r="K539" s="1" t="n">
        <f aca="false">IFERROR(MATCH(SMALL('Prospect Tracker'!$X$5:$X$554,ROW()-4),'Prospect Tracker'!$X$5:$X$554,0),"")</f>
        <v>535</v>
      </c>
    </row>
    <row r="540" customFormat="false" ht="15" hidden="false" customHeight="true" outlineLevel="0" collapsed="false">
      <c r="A540" s="11" t="str">
        <f aca="false">IF($K540="","",IF(INDEX('Prospect Tracker'!$W$5:$W$554,$K540)="","",INDEX('Prospect Tracker'!$W$5:$W$554,$K540)))</f>
        <v/>
      </c>
      <c r="B540" s="11" t="str">
        <f aca="false">IF($K540="","",IF(INDEX('Prospect Tracker'!$A$5:$A$554,$K540)="","",INDEX('Prospect Tracker'!$A$5:$A$554,$K540)))</f>
        <v/>
      </c>
      <c r="C540" s="11" t="str">
        <f aca="false">IF($K540="","",IF(INDEX('Prospect Tracker'!$B$5:$B$554,$K540)="","",INDEX('Prospect Tracker'!$B$5:$B$554,$K540)))</f>
        <v/>
      </c>
      <c r="D540" s="11" t="str">
        <f aca="false">IF($K540="","",IF(INDEX('Prospect Tracker'!$M$5:$M$554,$K540)="","",INDEX('Prospect Tracker'!$M$5:$M$554,$K540)))</f>
        <v/>
      </c>
      <c r="E540" s="11" t="str">
        <f aca="false">IF($K540="","",IF(INDEX('Prospect Tracker'!$R$5:$R$554,$K540)="","",INDEX('Prospect Tracker'!$R$5:$R$554,$K540)))</f>
        <v/>
      </c>
      <c r="F540" s="11" t="str">
        <f aca="false">IF($K540="","",IF(INDEX('Prospect Tracker'!$J$5:$J$554,$K540)="","",INDEX('Prospect Tracker'!$J$5:$J$554,$K540)))</f>
        <v/>
      </c>
      <c r="G540" s="11" t="str">
        <f aca="false">IF($K540="","",IF(INDEX('Prospect Tracker'!$H$5:$H$554,$K540)="","",INDEX('Prospect Tracker'!$H$5:$H$554,$K540)))</f>
        <v/>
      </c>
      <c r="H540" s="12" t="str">
        <f aca="false">IF($K540="","",IF(INDEX('Prospect Tracker'!$K$5:$K$554,$K540)="","",INDEX('Prospect Tracker'!$K$5:$K$554,$K540)))</f>
        <v/>
      </c>
      <c r="I540" s="11" t="str">
        <f aca="false">IF($K540="","",IF(INDEX('Prospect Tracker'!$T$5:$T$554,$K540)="","",INDEX('Prospect Tracker'!$T$5:$T$554,$K540)))</f>
        <v/>
      </c>
      <c r="J540" s="11" t="str">
        <f aca="false">IF($K540="","",IF(INDEX('Prospect Tracker'!$L$5:$L$554,$K540)="","",INDEX('Prospect Tracker'!$L$5:$L$554,$K540)))</f>
        <v/>
      </c>
      <c r="K540" s="1" t="n">
        <f aca="false">IFERROR(MATCH(SMALL('Prospect Tracker'!$X$5:$X$554,ROW()-4),'Prospect Tracker'!$X$5:$X$554,0),"")</f>
        <v>536</v>
      </c>
    </row>
    <row r="541" customFormat="false" ht="15" hidden="false" customHeight="true" outlineLevel="0" collapsed="false">
      <c r="A541" s="6" t="str">
        <f aca="false">IF($K541="","",IF(INDEX('Prospect Tracker'!$W$5:$W$554,$K541)="","",INDEX('Prospect Tracker'!$W$5:$W$554,$K541)))</f>
        <v/>
      </c>
      <c r="B541" s="6" t="str">
        <f aca="false">IF($K541="","",IF(INDEX('Prospect Tracker'!$A$5:$A$554,$K541)="","",INDEX('Prospect Tracker'!$A$5:$A$554,$K541)))</f>
        <v/>
      </c>
      <c r="C541" s="6" t="str">
        <f aca="false">IF($K541="","",IF(INDEX('Prospect Tracker'!$B$5:$B$554,$K541)="","",INDEX('Prospect Tracker'!$B$5:$B$554,$K541)))</f>
        <v/>
      </c>
      <c r="D541" s="6" t="str">
        <f aca="false">IF($K541="","",IF(INDEX('Prospect Tracker'!$M$5:$M$554,$K541)="","",INDEX('Prospect Tracker'!$M$5:$M$554,$K541)))</f>
        <v/>
      </c>
      <c r="E541" s="6" t="str">
        <f aca="false">IF($K541="","",IF(INDEX('Prospect Tracker'!$R$5:$R$554,$K541)="","",INDEX('Prospect Tracker'!$R$5:$R$554,$K541)))</f>
        <v/>
      </c>
      <c r="F541" s="6" t="str">
        <f aca="false">IF($K541="","",IF(INDEX('Prospect Tracker'!$J$5:$J$554,$K541)="","",INDEX('Prospect Tracker'!$J$5:$J$554,$K541)))</f>
        <v/>
      </c>
      <c r="G541" s="6" t="str">
        <f aca="false">IF($K541="","",IF(INDEX('Prospect Tracker'!$H$5:$H$554,$K541)="","",INDEX('Prospect Tracker'!$H$5:$H$554,$K541)))</f>
        <v/>
      </c>
      <c r="H541" s="7" t="str">
        <f aca="false">IF($K541="","",IF(INDEX('Prospect Tracker'!$K$5:$K$554,$K541)="","",INDEX('Prospect Tracker'!$K$5:$K$554,$K541)))</f>
        <v/>
      </c>
      <c r="I541" s="6" t="str">
        <f aca="false">IF($K541="","",IF(INDEX('Prospect Tracker'!$T$5:$T$554,$K541)="","",INDEX('Prospect Tracker'!$T$5:$T$554,$K541)))</f>
        <v/>
      </c>
      <c r="J541" s="6" t="str">
        <f aca="false">IF($K541="","",IF(INDEX('Prospect Tracker'!$L$5:$L$554,$K541)="","",INDEX('Prospect Tracker'!$L$5:$L$554,$K541)))</f>
        <v/>
      </c>
      <c r="K541" s="1" t="n">
        <f aca="false">IFERROR(MATCH(SMALL('Prospect Tracker'!$X$5:$X$554,ROW()-4),'Prospect Tracker'!$X$5:$X$554,0),"")</f>
        <v>537</v>
      </c>
    </row>
    <row r="542" customFormat="false" ht="15" hidden="false" customHeight="true" outlineLevel="0" collapsed="false">
      <c r="A542" s="11" t="str">
        <f aca="false">IF($K542="","",IF(INDEX('Prospect Tracker'!$W$5:$W$554,$K542)="","",INDEX('Prospect Tracker'!$W$5:$W$554,$K542)))</f>
        <v/>
      </c>
      <c r="B542" s="11" t="str">
        <f aca="false">IF($K542="","",IF(INDEX('Prospect Tracker'!$A$5:$A$554,$K542)="","",INDEX('Prospect Tracker'!$A$5:$A$554,$K542)))</f>
        <v/>
      </c>
      <c r="C542" s="11" t="str">
        <f aca="false">IF($K542="","",IF(INDEX('Prospect Tracker'!$B$5:$B$554,$K542)="","",INDEX('Prospect Tracker'!$B$5:$B$554,$K542)))</f>
        <v/>
      </c>
      <c r="D542" s="11" t="str">
        <f aca="false">IF($K542="","",IF(INDEX('Prospect Tracker'!$M$5:$M$554,$K542)="","",INDEX('Prospect Tracker'!$M$5:$M$554,$K542)))</f>
        <v/>
      </c>
      <c r="E542" s="11" t="str">
        <f aca="false">IF($K542="","",IF(INDEX('Prospect Tracker'!$R$5:$R$554,$K542)="","",INDEX('Prospect Tracker'!$R$5:$R$554,$K542)))</f>
        <v/>
      </c>
      <c r="F542" s="11" t="str">
        <f aca="false">IF($K542="","",IF(INDEX('Prospect Tracker'!$J$5:$J$554,$K542)="","",INDEX('Prospect Tracker'!$J$5:$J$554,$K542)))</f>
        <v/>
      </c>
      <c r="G542" s="11" t="str">
        <f aca="false">IF($K542="","",IF(INDEX('Prospect Tracker'!$H$5:$H$554,$K542)="","",INDEX('Prospect Tracker'!$H$5:$H$554,$K542)))</f>
        <v/>
      </c>
      <c r="H542" s="12" t="str">
        <f aca="false">IF($K542="","",IF(INDEX('Prospect Tracker'!$K$5:$K$554,$K542)="","",INDEX('Prospect Tracker'!$K$5:$K$554,$K542)))</f>
        <v/>
      </c>
      <c r="I542" s="11" t="str">
        <f aca="false">IF($K542="","",IF(INDEX('Prospect Tracker'!$T$5:$T$554,$K542)="","",INDEX('Prospect Tracker'!$T$5:$T$554,$K542)))</f>
        <v/>
      </c>
      <c r="J542" s="11" t="str">
        <f aca="false">IF($K542="","",IF(INDEX('Prospect Tracker'!$L$5:$L$554,$K542)="","",INDEX('Prospect Tracker'!$L$5:$L$554,$K542)))</f>
        <v/>
      </c>
      <c r="K542" s="1" t="n">
        <f aca="false">IFERROR(MATCH(SMALL('Prospect Tracker'!$X$5:$X$554,ROW()-4),'Prospect Tracker'!$X$5:$X$554,0),"")</f>
        <v>538</v>
      </c>
    </row>
    <row r="543" customFormat="false" ht="15" hidden="false" customHeight="true" outlineLevel="0" collapsed="false">
      <c r="A543" s="6" t="str">
        <f aca="false">IF($K543="","",IF(INDEX('Prospect Tracker'!$W$5:$W$554,$K543)="","",INDEX('Prospect Tracker'!$W$5:$W$554,$K543)))</f>
        <v/>
      </c>
      <c r="B543" s="6" t="str">
        <f aca="false">IF($K543="","",IF(INDEX('Prospect Tracker'!$A$5:$A$554,$K543)="","",INDEX('Prospect Tracker'!$A$5:$A$554,$K543)))</f>
        <v/>
      </c>
      <c r="C543" s="6" t="str">
        <f aca="false">IF($K543="","",IF(INDEX('Prospect Tracker'!$B$5:$B$554,$K543)="","",INDEX('Prospect Tracker'!$B$5:$B$554,$K543)))</f>
        <v/>
      </c>
      <c r="D543" s="6" t="str">
        <f aca="false">IF($K543="","",IF(INDEX('Prospect Tracker'!$M$5:$M$554,$K543)="","",INDEX('Prospect Tracker'!$M$5:$M$554,$K543)))</f>
        <v/>
      </c>
      <c r="E543" s="6" t="str">
        <f aca="false">IF($K543="","",IF(INDEX('Prospect Tracker'!$R$5:$R$554,$K543)="","",INDEX('Prospect Tracker'!$R$5:$R$554,$K543)))</f>
        <v/>
      </c>
      <c r="F543" s="6" t="str">
        <f aca="false">IF($K543="","",IF(INDEX('Prospect Tracker'!$J$5:$J$554,$K543)="","",INDEX('Prospect Tracker'!$J$5:$J$554,$K543)))</f>
        <v/>
      </c>
      <c r="G543" s="6" t="str">
        <f aca="false">IF($K543="","",IF(INDEX('Prospect Tracker'!$H$5:$H$554,$K543)="","",INDEX('Prospect Tracker'!$H$5:$H$554,$K543)))</f>
        <v/>
      </c>
      <c r="H543" s="7" t="str">
        <f aca="false">IF($K543="","",IF(INDEX('Prospect Tracker'!$K$5:$K$554,$K543)="","",INDEX('Prospect Tracker'!$K$5:$K$554,$K543)))</f>
        <v/>
      </c>
      <c r="I543" s="6" t="str">
        <f aca="false">IF($K543="","",IF(INDEX('Prospect Tracker'!$T$5:$T$554,$K543)="","",INDEX('Prospect Tracker'!$T$5:$T$554,$K543)))</f>
        <v/>
      </c>
      <c r="J543" s="6" t="str">
        <f aca="false">IF($K543="","",IF(INDEX('Prospect Tracker'!$L$5:$L$554,$K543)="","",INDEX('Prospect Tracker'!$L$5:$L$554,$K543)))</f>
        <v/>
      </c>
      <c r="K543" s="1" t="n">
        <f aca="false">IFERROR(MATCH(SMALL('Prospect Tracker'!$X$5:$X$554,ROW()-4),'Prospect Tracker'!$X$5:$X$554,0),"")</f>
        <v>539</v>
      </c>
    </row>
    <row r="544" customFormat="false" ht="15" hidden="false" customHeight="true" outlineLevel="0" collapsed="false">
      <c r="A544" s="11" t="str">
        <f aca="false">IF($K544="","",IF(INDEX('Prospect Tracker'!$W$5:$W$554,$K544)="","",INDEX('Prospect Tracker'!$W$5:$W$554,$K544)))</f>
        <v/>
      </c>
      <c r="B544" s="11" t="str">
        <f aca="false">IF($K544="","",IF(INDEX('Prospect Tracker'!$A$5:$A$554,$K544)="","",INDEX('Prospect Tracker'!$A$5:$A$554,$K544)))</f>
        <v/>
      </c>
      <c r="C544" s="11" t="str">
        <f aca="false">IF($K544="","",IF(INDEX('Prospect Tracker'!$B$5:$B$554,$K544)="","",INDEX('Prospect Tracker'!$B$5:$B$554,$K544)))</f>
        <v/>
      </c>
      <c r="D544" s="11" t="str">
        <f aca="false">IF($K544="","",IF(INDEX('Prospect Tracker'!$M$5:$M$554,$K544)="","",INDEX('Prospect Tracker'!$M$5:$M$554,$K544)))</f>
        <v/>
      </c>
      <c r="E544" s="11" t="str">
        <f aca="false">IF($K544="","",IF(INDEX('Prospect Tracker'!$R$5:$R$554,$K544)="","",INDEX('Prospect Tracker'!$R$5:$R$554,$K544)))</f>
        <v/>
      </c>
      <c r="F544" s="11" t="str">
        <f aca="false">IF($K544="","",IF(INDEX('Prospect Tracker'!$J$5:$J$554,$K544)="","",INDEX('Prospect Tracker'!$J$5:$J$554,$K544)))</f>
        <v/>
      </c>
      <c r="G544" s="11" t="str">
        <f aca="false">IF($K544="","",IF(INDEX('Prospect Tracker'!$H$5:$H$554,$K544)="","",INDEX('Prospect Tracker'!$H$5:$H$554,$K544)))</f>
        <v/>
      </c>
      <c r="H544" s="12" t="str">
        <f aca="false">IF($K544="","",IF(INDEX('Prospect Tracker'!$K$5:$K$554,$K544)="","",INDEX('Prospect Tracker'!$K$5:$K$554,$K544)))</f>
        <v/>
      </c>
      <c r="I544" s="11" t="str">
        <f aca="false">IF($K544="","",IF(INDEX('Prospect Tracker'!$T$5:$T$554,$K544)="","",INDEX('Prospect Tracker'!$T$5:$T$554,$K544)))</f>
        <v/>
      </c>
      <c r="J544" s="11" t="str">
        <f aca="false">IF($K544="","",IF(INDEX('Prospect Tracker'!$L$5:$L$554,$K544)="","",INDEX('Prospect Tracker'!$L$5:$L$554,$K544)))</f>
        <v/>
      </c>
      <c r="K544" s="1" t="n">
        <f aca="false">IFERROR(MATCH(SMALL('Prospect Tracker'!$X$5:$X$554,ROW()-4),'Prospect Tracker'!$X$5:$X$554,0),"")</f>
        <v>540</v>
      </c>
    </row>
    <row r="545" customFormat="false" ht="15" hidden="false" customHeight="true" outlineLevel="0" collapsed="false">
      <c r="A545" s="6" t="str">
        <f aca="false">IF($K545="","",IF(INDEX('Prospect Tracker'!$W$5:$W$554,$K545)="","",INDEX('Prospect Tracker'!$W$5:$W$554,$K545)))</f>
        <v/>
      </c>
      <c r="B545" s="6" t="str">
        <f aca="false">IF($K545="","",IF(INDEX('Prospect Tracker'!$A$5:$A$554,$K545)="","",INDEX('Prospect Tracker'!$A$5:$A$554,$K545)))</f>
        <v/>
      </c>
      <c r="C545" s="6" t="str">
        <f aca="false">IF($K545="","",IF(INDEX('Prospect Tracker'!$B$5:$B$554,$K545)="","",INDEX('Prospect Tracker'!$B$5:$B$554,$K545)))</f>
        <v/>
      </c>
      <c r="D545" s="6" t="str">
        <f aca="false">IF($K545="","",IF(INDEX('Prospect Tracker'!$M$5:$M$554,$K545)="","",INDEX('Prospect Tracker'!$M$5:$M$554,$K545)))</f>
        <v/>
      </c>
      <c r="E545" s="6" t="str">
        <f aca="false">IF($K545="","",IF(INDEX('Prospect Tracker'!$R$5:$R$554,$K545)="","",INDEX('Prospect Tracker'!$R$5:$R$554,$K545)))</f>
        <v/>
      </c>
      <c r="F545" s="6" t="str">
        <f aca="false">IF($K545="","",IF(INDEX('Prospect Tracker'!$J$5:$J$554,$K545)="","",INDEX('Prospect Tracker'!$J$5:$J$554,$K545)))</f>
        <v/>
      </c>
      <c r="G545" s="6" t="str">
        <f aca="false">IF($K545="","",IF(INDEX('Prospect Tracker'!$H$5:$H$554,$K545)="","",INDEX('Prospect Tracker'!$H$5:$H$554,$K545)))</f>
        <v/>
      </c>
      <c r="H545" s="7" t="str">
        <f aca="false">IF($K545="","",IF(INDEX('Prospect Tracker'!$K$5:$K$554,$K545)="","",INDEX('Prospect Tracker'!$K$5:$K$554,$K545)))</f>
        <v/>
      </c>
      <c r="I545" s="6" t="str">
        <f aca="false">IF($K545="","",IF(INDEX('Prospect Tracker'!$T$5:$T$554,$K545)="","",INDEX('Prospect Tracker'!$T$5:$T$554,$K545)))</f>
        <v/>
      </c>
      <c r="J545" s="6" t="str">
        <f aca="false">IF($K545="","",IF(INDEX('Prospect Tracker'!$L$5:$L$554,$K545)="","",INDEX('Prospect Tracker'!$L$5:$L$554,$K545)))</f>
        <v/>
      </c>
      <c r="K545" s="1" t="n">
        <f aca="false">IFERROR(MATCH(SMALL('Prospect Tracker'!$X$5:$X$554,ROW()-4),'Prospect Tracker'!$X$5:$X$554,0),"")</f>
        <v>541</v>
      </c>
    </row>
    <row r="546" customFormat="false" ht="15" hidden="false" customHeight="true" outlineLevel="0" collapsed="false">
      <c r="A546" s="11" t="str">
        <f aca="false">IF($K546="","",IF(INDEX('Prospect Tracker'!$W$5:$W$554,$K546)="","",INDEX('Prospect Tracker'!$W$5:$W$554,$K546)))</f>
        <v/>
      </c>
      <c r="B546" s="11" t="str">
        <f aca="false">IF($K546="","",IF(INDEX('Prospect Tracker'!$A$5:$A$554,$K546)="","",INDEX('Prospect Tracker'!$A$5:$A$554,$K546)))</f>
        <v/>
      </c>
      <c r="C546" s="11" t="str">
        <f aca="false">IF($K546="","",IF(INDEX('Prospect Tracker'!$B$5:$B$554,$K546)="","",INDEX('Prospect Tracker'!$B$5:$B$554,$K546)))</f>
        <v/>
      </c>
      <c r="D546" s="11" t="str">
        <f aca="false">IF($K546="","",IF(INDEX('Prospect Tracker'!$M$5:$M$554,$K546)="","",INDEX('Prospect Tracker'!$M$5:$M$554,$K546)))</f>
        <v/>
      </c>
      <c r="E546" s="11" t="str">
        <f aca="false">IF($K546="","",IF(INDEX('Prospect Tracker'!$R$5:$R$554,$K546)="","",INDEX('Prospect Tracker'!$R$5:$R$554,$K546)))</f>
        <v/>
      </c>
      <c r="F546" s="11" t="str">
        <f aca="false">IF($K546="","",IF(INDEX('Prospect Tracker'!$J$5:$J$554,$K546)="","",INDEX('Prospect Tracker'!$J$5:$J$554,$K546)))</f>
        <v/>
      </c>
      <c r="G546" s="11" t="str">
        <f aca="false">IF($K546="","",IF(INDEX('Prospect Tracker'!$H$5:$H$554,$K546)="","",INDEX('Prospect Tracker'!$H$5:$H$554,$K546)))</f>
        <v/>
      </c>
      <c r="H546" s="12" t="str">
        <f aca="false">IF($K546="","",IF(INDEX('Prospect Tracker'!$K$5:$K$554,$K546)="","",INDEX('Prospect Tracker'!$K$5:$K$554,$K546)))</f>
        <v/>
      </c>
      <c r="I546" s="11" t="str">
        <f aca="false">IF($K546="","",IF(INDEX('Prospect Tracker'!$T$5:$T$554,$K546)="","",INDEX('Prospect Tracker'!$T$5:$T$554,$K546)))</f>
        <v/>
      </c>
      <c r="J546" s="11" t="str">
        <f aca="false">IF($K546="","",IF(INDEX('Prospect Tracker'!$L$5:$L$554,$K546)="","",INDEX('Prospect Tracker'!$L$5:$L$554,$K546)))</f>
        <v/>
      </c>
      <c r="K546" s="1" t="n">
        <f aca="false">IFERROR(MATCH(SMALL('Prospect Tracker'!$X$5:$X$554,ROW()-4),'Prospect Tracker'!$X$5:$X$554,0),"")</f>
        <v>542</v>
      </c>
    </row>
    <row r="547" customFormat="false" ht="15" hidden="false" customHeight="true" outlineLevel="0" collapsed="false">
      <c r="A547" s="6" t="str">
        <f aca="false">IF($K547="","",IF(INDEX('Prospect Tracker'!$W$5:$W$554,$K547)="","",INDEX('Prospect Tracker'!$W$5:$W$554,$K547)))</f>
        <v/>
      </c>
      <c r="B547" s="6" t="str">
        <f aca="false">IF($K547="","",IF(INDEX('Prospect Tracker'!$A$5:$A$554,$K547)="","",INDEX('Prospect Tracker'!$A$5:$A$554,$K547)))</f>
        <v/>
      </c>
      <c r="C547" s="6" t="str">
        <f aca="false">IF($K547="","",IF(INDEX('Prospect Tracker'!$B$5:$B$554,$K547)="","",INDEX('Prospect Tracker'!$B$5:$B$554,$K547)))</f>
        <v/>
      </c>
      <c r="D547" s="6" t="str">
        <f aca="false">IF($K547="","",IF(INDEX('Prospect Tracker'!$M$5:$M$554,$K547)="","",INDEX('Prospect Tracker'!$M$5:$M$554,$K547)))</f>
        <v/>
      </c>
      <c r="E547" s="6" t="str">
        <f aca="false">IF($K547="","",IF(INDEX('Prospect Tracker'!$R$5:$R$554,$K547)="","",INDEX('Prospect Tracker'!$R$5:$R$554,$K547)))</f>
        <v/>
      </c>
      <c r="F547" s="6" t="str">
        <f aca="false">IF($K547="","",IF(INDEX('Prospect Tracker'!$J$5:$J$554,$K547)="","",INDEX('Prospect Tracker'!$J$5:$J$554,$K547)))</f>
        <v/>
      </c>
      <c r="G547" s="6" t="str">
        <f aca="false">IF($K547="","",IF(INDEX('Prospect Tracker'!$H$5:$H$554,$K547)="","",INDEX('Prospect Tracker'!$H$5:$H$554,$K547)))</f>
        <v/>
      </c>
      <c r="H547" s="7" t="str">
        <f aca="false">IF($K547="","",IF(INDEX('Prospect Tracker'!$K$5:$K$554,$K547)="","",INDEX('Prospect Tracker'!$K$5:$K$554,$K547)))</f>
        <v/>
      </c>
      <c r="I547" s="6" t="str">
        <f aca="false">IF($K547="","",IF(INDEX('Prospect Tracker'!$T$5:$T$554,$K547)="","",INDEX('Prospect Tracker'!$T$5:$T$554,$K547)))</f>
        <v/>
      </c>
      <c r="J547" s="6" t="str">
        <f aca="false">IF($K547="","",IF(INDEX('Prospect Tracker'!$L$5:$L$554,$K547)="","",INDEX('Prospect Tracker'!$L$5:$L$554,$K547)))</f>
        <v/>
      </c>
      <c r="K547" s="1" t="n">
        <f aca="false">IFERROR(MATCH(SMALL('Prospect Tracker'!$X$5:$X$554,ROW()-4),'Prospect Tracker'!$X$5:$X$554,0),"")</f>
        <v>543</v>
      </c>
    </row>
    <row r="548" customFormat="false" ht="15" hidden="false" customHeight="true" outlineLevel="0" collapsed="false">
      <c r="A548" s="11" t="str">
        <f aca="false">IF($K548="","",IF(INDEX('Prospect Tracker'!$W$5:$W$554,$K548)="","",INDEX('Prospect Tracker'!$W$5:$W$554,$K548)))</f>
        <v/>
      </c>
      <c r="B548" s="11" t="str">
        <f aca="false">IF($K548="","",IF(INDEX('Prospect Tracker'!$A$5:$A$554,$K548)="","",INDEX('Prospect Tracker'!$A$5:$A$554,$K548)))</f>
        <v/>
      </c>
      <c r="C548" s="11" t="str">
        <f aca="false">IF($K548="","",IF(INDEX('Prospect Tracker'!$B$5:$B$554,$K548)="","",INDEX('Prospect Tracker'!$B$5:$B$554,$K548)))</f>
        <v/>
      </c>
      <c r="D548" s="11" t="str">
        <f aca="false">IF($K548="","",IF(INDEX('Prospect Tracker'!$M$5:$M$554,$K548)="","",INDEX('Prospect Tracker'!$M$5:$M$554,$K548)))</f>
        <v/>
      </c>
      <c r="E548" s="11" t="str">
        <f aca="false">IF($K548="","",IF(INDEX('Prospect Tracker'!$R$5:$R$554,$K548)="","",INDEX('Prospect Tracker'!$R$5:$R$554,$K548)))</f>
        <v/>
      </c>
      <c r="F548" s="11" t="str">
        <f aca="false">IF($K548="","",IF(INDEX('Prospect Tracker'!$J$5:$J$554,$K548)="","",INDEX('Prospect Tracker'!$J$5:$J$554,$K548)))</f>
        <v/>
      </c>
      <c r="G548" s="11" t="str">
        <f aca="false">IF($K548="","",IF(INDEX('Prospect Tracker'!$H$5:$H$554,$K548)="","",INDEX('Prospect Tracker'!$H$5:$H$554,$K548)))</f>
        <v/>
      </c>
      <c r="H548" s="12" t="str">
        <f aca="false">IF($K548="","",IF(INDEX('Prospect Tracker'!$K$5:$K$554,$K548)="","",INDEX('Prospect Tracker'!$K$5:$K$554,$K548)))</f>
        <v/>
      </c>
      <c r="I548" s="11" t="str">
        <f aca="false">IF($K548="","",IF(INDEX('Prospect Tracker'!$T$5:$T$554,$K548)="","",INDEX('Prospect Tracker'!$T$5:$T$554,$K548)))</f>
        <v/>
      </c>
      <c r="J548" s="11" t="str">
        <f aca="false">IF($K548="","",IF(INDEX('Prospect Tracker'!$L$5:$L$554,$K548)="","",INDEX('Prospect Tracker'!$L$5:$L$554,$K548)))</f>
        <v/>
      </c>
      <c r="K548" s="1" t="n">
        <f aca="false">IFERROR(MATCH(SMALL('Prospect Tracker'!$X$5:$X$554,ROW()-4),'Prospect Tracker'!$X$5:$X$554,0),"")</f>
        <v>544</v>
      </c>
    </row>
    <row r="549" customFormat="false" ht="15" hidden="false" customHeight="true" outlineLevel="0" collapsed="false">
      <c r="A549" s="6" t="str">
        <f aca="false">IF($K549="","",IF(INDEX('Prospect Tracker'!$W$5:$W$554,$K549)="","",INDEX('Prospect Tracker'!$W$5:$W$554,$K549)))</f>
        <v/>
      </c>
      <c r="B549" s="6" t="str">
        <f aca="false">IF($K549="","",IF(INDEX('Prospect Tracker'!$A$5:$A$554,$K549)="","",INDEX('Prospect Tracker'!$A$5:$A$554,$K549)))</f>
        <v/>
      </c>
      <c r="C549" s="6" t="str">
        <f aca="false">IF($K549="","",IF(INDEX('Prospect Tracker'!$B$5:$B$554,$K549)="","",INDEX('Prospect Tracker'!$B$5:$B$554,$K549)))</f>
        <v/>
      </c>
      <c r="D549" s="6" t="str">
        <f aca="false">IF($K549="","",IF(INDEX('Prospect Tracker'!$M$5:$M$554,$K549)="","",INDEX('Prospect Tracker'!$M$5:$M$554,$K549)))</f>
        <v/>
      </c>
      <c r="E549" s="6" t="str">
        <f aca="false">IF($K549="","",IF(INDEX('Prospect Tracker'!$R$5:$R$554,$K549)="","",INDEX('Prospect Tracker'!$R$5:$R$554,$K549)))</f>
        <v/>
      </c>
      <c r="F549" s="6" t="str">
        <f aca="false">IF($K549="","",IF(INDEX('Prospect Tracker'!$J$5:$J$554,$K549)="","",INDEX('Prospect Tracker'!$J$5:$J$554,$K549)))</f>
        <v/>
      </c>
      <c r="G549" s="6" t="str">
        <f aca="false">IF($K549="","",IF(INDEX('Prospect Tracker'!$H$5:$H$554,$K549)="","",INDEX('Prospect Tracker'!$H$5:$H$554,$K549)))</f>
        <v/>
      </c>
      <c r="H549" s="7" t="str">
        <f aca="false">IF($K549="","",IF(INDEX('Prospect Tracker'!$K$5:$K$554,$K549)="","",INDEX('Prospect Tracker'!$K$5:$K$554,$K549)))</f>
        <v/>
      </c>
      <c r="I549" s="6" t="str">
        <f aca="false">IF($K549="","",IF(INDEX('Prospect Tracker'!$T$5:$T$554,$K549)="","",INDEX('Prospect Tracker'!$T$5:$T$554,$K549)))</f>
        <v/>
      </c>
      <c r="J549" s="6" t="str">
        <f aca="false">IF($K549="","",IF(INDEX('Prospect Tracker'!$L$5:$L$554,$K549)="","",INDEX('Prospect Tracker'!$L$5:$L$554,$K549)))</f>
        <v/>
      </c>
      <c r="K549" s="1" t="n">
        <f aca="false">IFERROR(MATCH(SMALL('Prospect Tracker'!$X$5:$X$554,ROW()-4),'Prospect Tracker'!$X$5:$X$554,0),"")</f>
        <v>545</v>
      </c>
    </row>
    <row r="550" customFormat="false" ht="15" hidden="false" customHeight="true" outlineLevel="0" collapsed="false">
      <c r="A550" s="11" t="str">
        <f aca="false">IF($K550="","",IF(INDEX('Prospect Tracker'!$W$5:$W$554,$K550)="","",INDEX('Prospect Tracker'!$W$5:$W$554,$K550)))</f>
        <v/>
      </c>
      <c r="B550" s="11" t="str">
        <f aca="false">IF($K550="","",IF(INDEX('Prospect Tracker'!$A$5:$A$554,$K550)="","",INDEX('Prospect Tracker'!$A$5:$A$554,$K550)))</f>
        <v/>
      </c>
      <c r="C550" s="11" t="str">
        <f aca="false">IF($K550="","",IF(INDEX('Prospect Tracker'!$B$5:$B$554,$K550)="","",INDEX('Prospect Tracker'!$B$5:$B$554,$K550)))</f>
        <v/>
      </c>
      <c r="D550" s="11" t="str">
        <f aca="false">IF($K550="","",IF(INDEX('Prospect Tracker'!$M$5:$M$554,$K550)="","",INDEX('Prospect Tracker'!$M$5:$M$554,$K550)))</f>
        <v/>
      </c>
      <c r="E550" s="11" t="str">
        <f aca="false">IF($K550="","",IF(INDEX('Prospect Tracker'!$R$5:$R$554,$K550)="","",INDEX('Prospect Tracker'!$R$5:$R$554,$K550)))</f>
        <v/>
      </c>
      <c r="F550" s="11" t="str">
        <f aca="false">IF($K550="","",IF(INDEX('Prospect Tracker'!$J$5:$J$554,$K550)="","",INDEX('Prospect Tracker'!$J$5:$J$554,$K550)))</f>
        <v/>
      </c>
      <c r="G550" s="11" t="str">
        <f aca="false">IF($K550="","",IF(INDEX('Prospect Tracker'!$H$5:$H$554,$K550)="","",INDEX('Prospect Tracker'!$H$5:$H$554,$K550)))</f>
        <v/>
      </c>
      <c r="H550" s="12" t="str">
        <f aca="false">IF($K550="","",IF(INDEX('Prospect Tracker'!$K$5:$K$554,$K550)="","",INDEX('Prospect Tracker'!$K$5:$K$554,$K550)))</f>
        <v/>
      </c>
      <c r="I550" s="11" t="str">
        <f aca="false">IF($K550="","",IF(INDEX('Prospect Tracker'!$T$5:$T$554,$K550)="","",INDEX('Prospect Tracker'!$T$5:$T$554,$K550)))</f>
        <v/>
      </c>
      <c r="J550" s="11" t="str">
        <f aca="false">IF($K550="","",IF(INDEX('Prospect Tracker'!$L$5:$L$554,$K550)="","",INDEX('Prospect Tracker'!$L$5:$L$554,$K550)))</f>
        <v/>
      </c>
      <c r="K550" s="1" t="n">
        <f aca="false">IFERROR(MATCH(SMALL('Prospect Tracker'!$X$5:$X$554,ROW()-4),'Prospect Tracker'!$X$5:$X$554,0),"")</f>
        <v>546</v>
      </c>
    </row>
    <row r="551" customFormat="false" ht="15" hidden="false" customHeight="true" outlineLevel="0" collapsed="false">
      <c r="A551" s="6" t="str">
        <f aca="false">IF($K551="","",IF(INDEX('Prospect Tracker'!$W$5:$W$554,$K551)="","",INDEX('Prospect Tracker'!$W$5:$W$554,$K551)))</f>
        <v/>
      </c>
      <c r="B551" s="6" t="str">
        <f aca="false">IF($K551="","",IF(INDEX('Prospect Tracker'!$A$5:$A$554,$K551)="","",INDEX('Prospect Tracker'!$A$5:$A$554,$K551)))</f>
        <v/>
      </c>
      <c r="C551" s="6" t="str">
        <f aca="false">IF($K551="","",IF(INDEX('Prospect Tracker'!$B$5:$B$554,$K551)="","",INDEX('Prospect Tracker'!$B$5:$B$554,$K551)))</f>
        <v/>
      </c>
      <c r="D551" s="6" t="str">
        <f aca="false">IF($K551="","",IF(INDEX('Prospect Tracker'!$M$5:$M$554,$K551)="","",INDEX('Prospect Tracker'!$M$5:$M$554,$K551)))</f>
        <v/>
      </c>
      <c r="E551" s="6" t="str">
        <f aca="false">IF($K551="","",IF(INDEX('Prospect Tracker'!$R$5:$R$554,$K551)="","",INDEX('Prospect Tracker'!$R$5:$R$554,$K551)))</f>
        <v/>
      </c>
      <c r="F551" s="6" t="str">
        <f aca="false">IF($K551="","",IF(INDEX('Prospect Tracker'!$J$5:$J$554,$K551)="","",INDEX('Prospect Tracker'!$J$5:$J$554,$K551)))</f>
        <v/>
      </c>
      <c r="G551" s="6" t="str">
        <f aca="false">IF($K551="","",IF(INDEX('Prospect Tracker'!$H$5:$H$554,$K551)="","",INDEX('Prospect Tracker'!$H$5:$H$554,$K551)))</f>
        <v/>
      </c>
      <c r="H551" s="7" t="str">
        <f aca="false">IF($K551="","",IF(INDEX('Prospect Tracker'!$K$5:$K$554,$K551)="","",INDEX('Prospect Tracker'!$K$5:$K$554,$K551)))</f>
        <v/>
      </c>
      <c r="I551" s="6" t="str">
        <f aca="false">IF($K551="","",IF(INDEX('Prospect Tracker'!$T$5:$T$554,$K551)="","",INDEX('Prospect Tracker'!$T$5:$T$554,$K551)))</f>
        <v/>
      </c>
      <c r="J551" s="6" t="str">
        <f aca="false">IF($K551="","",IF(INDEX('Prospect Tracker'!$L$5:$L$554,$K551)="","",INDEX('Prospect Tracker'!$L$5:$L$554,$K551)))</f>
        <v/>
      </c>
      <c r="K551" s="1" t="n">
        <f aca="false">IFERROR(MATCH(SMALL('Prospect Tracker'!$X$5:$X$554,ROW()-4),'Prospect Tracker'!$X$5:$X$554,0),"")</f>
        <v>547</v>
      </c>
    </row>
    <row r="552" customFormat="false" ht="15" hidden="false" customHeight="true" outlineLevel="0" collapsed="false">
      <c r="A552" s="11" t="str">
        <f aca="false">IF($K552="","",IF(INDEX('Prospect Tracker'!$W$5:$W$554,$K552)="","",INDEX('Prospect Tracker'!$W$5:$W$554,$K552)))</f>
        <v/>
      </c>
      <c r="B552" s="11" t="str">
        <f aca="false">IF($K552="","",IF(INDEX('Prospect Tracker'!$A$5:$A$554,$K552)="","",INDEX('Prospect Tracker'!$A$5:$A$554,$K552)))</f>
        <v/>
      </c>
      <c r="C552" s="11" t="str">
        <f aca="false">IF($K552="","",IF(INDEX('Prospect Tracker'!$B$5:$B$554,$K552)="","",INDEX('Prospect Tracker'!$B$5:$B$554,$K552)))</f>
        <v/>
      </c>
      <c r="D552" s="11" t="str">
        <f aca="false">IF($K552="","",IF(INDEX('Prospect Tracker'!$M$5:$M$554,$K552)="","",INDEX('Prospect Tracker'!$M$5:$M$554,$K552)))</f>
        <v/>
      </c>
      <c r="E552" s="11" t="str">
        <f aca="false">IF($K552="","",IF(INDEX('Prospect Tracker'!$R$5:$R$554,$K552)="","",INDEX('Prospect Tracker'!$R$5:$R$554,$K552)))</f>
        <v/>
      </c>
      <c r="F552" s="11" t="str">
        <f aca="false">IF($K552="","",IF(INDEX('Prospect Tracker'!$J$5:$J$554,$K552)="","",INDEX('Prospect Tracker'!$J$5:$J$554,$K552)))</f>
        <v/>
      </c>
      <c r="G552" s="11" t="str">
        <f aca="false">IF($K552="","",IF(INDEX('Prospect Tracker'!$H$5:$H$554,$K552)="","",INDEX('Prospect Tracker'!$H$5:$H$554,$K552)))</f>
        <v/>
      </c>
      <c r="H552" s="12" t="str">
        <f aca="false">IF($K552="","",IF(INDEX('Prospect Tracker'!$K$5:$K$554,$K552)="","",INDEX('Prospect Tracker'!$K$5:$K$554,$K552)))</f>
        <v/>
      </c>
      <c r="I552" s="11" t="str">
        <f aca="false">IF($K552="","",IF(INDEX('Prospect Tracker'!$T$5:$T$554,$K552)="","",INDEX('Prospect Tracker'!$T$5:$T$554,$K552)))</f>
        <v/>
      </c>
      <c r="J552" s="11" t="str">
        <f aca="false">IF($K552="","",IF(INDEX('Prospect Tracker'!$L$5:$L$554,$K552)="","",INDEX('Prospect Tracker'!$L$5:$L$554,$K552)))</f>
        <v/>
      </c>
      <c r="K552" s="1" t="n">
        <f aca="false">IFERROR(MATCH(SMALL('Prospect Tracker'!$X$5:$X$554,ROW()-4),'Prospect Tracker'!$X$5:$X$554,0),"")</f>
        <v>548</v>
      </c>
    </row>
    <row r="553" customFormat="false" ht="15" hidden="false" customHeight="true" outlineLevel="0" collapsed="false">
      <c r="A553" s="6" t="str">
        <f aca="false">IF($K553="","",IF(INDEX('Prospect Tracker'!$W$5:$W$554,$K553)="","",INDEX('Prospect Tracker'!$W$5:$W$554,$K553)))</f>
        <v/>
      </c>
      <c r="B553" s="6" t="str">
        <f aca="false">IF($K553="","",IF(INDEX('Prospect Tracker'!$A$5:$A$554,$K553)="","",INDEX('Prospect Tracker'!$A$5:$A$554,$K553)))</f>
        <v/>
      </c>
      <c r="C553" s="6" t="str">
        <f aca="false">IF($K553="","",IF(INDEX('Prospect Tracker'!$B$5:$B$554,$K553)="","",INDEX('Prospect Tracker'!$B$5:$B$554,$K553)))</f>
        <v/>
      </c>
      <c r="D553" s="6" t="str">
        <f aca="false">IF($K553="","",IF(INDEX('Prospect Tracker'!$M$5:$M$554,$K553)="","",INDEX('Prospect Tracker'!$M$5:$M$554,$K553)))</f>
        <v/>
      </c>
      <c r="E553" s="6" t="str">
        <f aca="false">IF($K553="","",IF(INDEX('Prospect Tracker'!$R$5:$R$554,$K553)="","",INDEX('Prospect Tracker'!$R$5:$R$554,$K553)))</f>
        <v/>
      </c>
      <c r="F553" s="6" t="str">
        <f aca="false">IF($K553="","",IF(INDEX('Prospect Tracker'!$J$5:$J$554,$K553)="","",INDEX('Prospect Tracker'!$J$5:$J$554,$K553)))</f>
        <v/>
      </c>
      <c r="G553" s="6" t="str">
        <f aca="false">IF($K553="","",IF(INDEX('Prospect Tracker'!$H$5:$H$554,$K553)="","",INDEX('Prospect Tracker'!$H$5:$H$554,$K553)))</f>
        <v/>
      </c>
      <c r="H553" s="7" t="str">
        <f aca="false">IF($K553="","",IF(INDEX('Prospect Tracker'!$K$5:$K$554,$K553)="","",INDEX('Prospect Tracker'!$K$5:$K$554,$K553)))</f>
        <v/>
      </c>
      <c r="I553" s="6" t="str">
        <f aca="false">IF($K553="","",IF(INDEX('Prospect Tracker'!$T$5:$T$554,$K553)="","",INDEX('Prospect Tracker'!$T$5:$T$554,$K553)))</f>
        <v/>
      </c>
      <c r="J553" s="6" t="str">
        <f aca="false">IF($K553="","",IF(INDEX('Prospect Tracker'!$L$5:$L$554,$K553)="","",INDEX('Prospect Tracker'!$L$5:$L$554,$K553)))</f>
        <v/>
      </c>
      <c r="K553" s="1" t="n">
        <f aca="false">IFERROR(MATCH(SMALL('Prospect Tracker'!$X$5:$X$554,ROW()-4),'Prospect Tracker'!$X$5:$X$554,0),"")</f>
        <v>549</v>
      </c>
    </row>
    <row r="554" customFormat="false" ht="15" hidden="false" customHeight="true" outlineLevel="0" collapsed="false">
      <c r="A554" s="11" t="str">
        <f aca="false">IF($K554="","",IF(INDEX('Prospect Tracker'!$W$5:$W$554,$K554)="","",INDEX('Prospect Tracker'!$W$5:$W$554,$K554)))</f>
        <v/>
      </c>
      <c r="B554" s="11" t="str">
        <f aca="false">IF($K554="","",IF(INDEX('Prospect Tracker'!$A$5:$A$554,$K554)="","",INDEX('Prospect Tracker'!$A$5:$A$554,$K554)))</f>
        <v/>
      </c>
      <c r="C554" s="11" t="str">
        <f aca="false">IF($K554="","",IF(INDEX('Prospect Tracker'!$B$5:$B$554,$K554)="","",INDEX('Prospect Tracker'!$B$5:$B$554,$K554)))</f>
        <v/>
      </c>
      <c r="D554" s="11" t="str">
        <f aca="false">IF($K554="","",IF(INDEX('Prospect Tracker'!$M$5:$M$554,$K554)="","",INDEX('Prospect Tracker'!$M$5:$M$554,$K554)))</f>
        <v/>
      </c>
      <c r="E554" s="11" t="str">
        <f aca="false">IF($K554="","",IF(INDEX('Prospect Tracker'!$R$5:$R$554,$K554)="","",INDEX('Prospect Tracker'!$R$5:$R$554,$K554)))</f>
        <v/>
      </c>
      <c r="F554" s="11" t="str">
        <f aca="false">IF($K554="","",IF(INDEX('Prospect Tracker'!$J$5:$J$554,$K554)="","",INDEX('Prospect Tracker'!$J$5:$J$554,$K554)))</f>
        <v/>
      </c>
      <c r="G554" s="11" t="str">
        <f aca="false">IF($K554="","",IF(INDEX('Prospect Tracker'!$H$5:$H$554,$K554)="","",INDEX('Prospect Tracker'!$H$5:$H$554,$K554)))</f>
        <v/>
      </c>
      <c r="H554" s="12" t="str">
        <f aca="false">IF($K554="","",IF(INDEX('Prospect Tracker'!$K$5:$K$554,$K554)="","",INDEX('Prospect Tracker'!$K$5:$K$554,$K554)))</f>
        <v/>
      </c>
      <c r="I554" s="11" t="str">
        <f aca="false">IF($K554="","",IF(INDEX('Prospect Tracker'!$T$5:$T$554,$K554)="","",INDEX('Prospect Tracker'!$T$5:$T$554,$K554)))</f>
        <v/>
      </c>
      <c r="J554" s="11" t="str">
        <f aca="false">IF($K554="","",IF(INDEX('Prospect Tracker'!$L$5:$L$554,$K554)="","",INDEX('Prospect Tracker'!$L$5:$L$554,$K554)))</f>
        <v/>
      </c>
      <c r="K554" s="1" t="n">
        <f aca="false">IFERROR(MATCH(SMALL('Prospect Tracker'!$X$5:$X$554,ROW()-4),'Prospect Tracker'!$X$5:$X$554,0),"")</f>
        <v>550</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32"/>
    <col collapsed="false" customWidth="true" hidden="false" outlineLevel="0" max="2" min="2" style="1" width="14"/>
  </cols>
  <sheetData>
    <row r="1" customFormat="false" ht="21" hidden="false" customHeight="true" outlineLevel="0" collapsed="false">
      <c r="A1" s="8" t="s">
        <v>45</v>
      </c>
      <c r="B1" s="8"/>
    </row>
    <row r="3" customFormat="false" ht="15.75" hidden="false" customHeight="true" outlineLevel="0" collapsed="false">
      <c r="A3" s="13" t="s">
        <v>46</v>
      </c>
      <c r="B3" s="13"/>
    </row>
    <row r="4" customFormat="false" ht="15" hidden="false" customHeight="true" outlineLevel="0" collapsed="false">
      <c r="A4" s="14" t="s">
        <v>47</v>
      </c>
      <c r="B4" s="15" t="n">
        <f aca="false">COUNTIF('Prospect Tracker'!$R$5:$R$554,"New Lead")</f>
        <v>0</v>
      </c>
    </row>
    <row r="5" customFormat="false" ht="15" hidden="false" customHeight="true" outlineLevel="0" collapsed="false">
      <c r="A5" s="14" t="s">
        <v>48</v>
      </c>
      <c r="B5" s="15" t="n">
        <f aca="false">COUNTIF('Prospect Tracker'!$R$5:$R$554,"Contacted")</f>
        <v>0</v>
      </c>
    </row>
    <row r="6" customFormat="false" ht="15" hidden="false" customHeight="true" outlineLevel="0" collapsed="false">
      <c r="A6" s="14" t="s">
        <v>49</v>
      </c>
      <c r="B6" s="15" t="n">
        <f aca="false">COUNTIF('Prospect Tracker'!$R$5:$R$554,"Presented")</f>
        <v>0</v>
      </c>
    </row>
    <row r="7" customFormat="false" ht="15" hidden="false" customHeight="true" outlineLevel="0" collapsed="false">
      <c r="A7" s="14" t="s">
        <v>50</v>
      </c>
      <c r="B7" s="15" t="n">
        <f aca="false">COUNTIF('Prospect Tracker'!$R$5:$R$554,"Follow-Up")</f>
        <v>0</v>
      </c>
    </row>
    <row r="8" customFormat="false" ht="15" hidden="false" customHeight="true" outlineLevel="0" collapsed="false">
      <c r="A8" s="14" t="s">
        <v>51</v>
      </c>
      <c r="B8" s="15" t="n">
        <f aca="false">COUNTIF('Prospect Tracker'!$R$5:$R$554,"Sponsored")</f>
        <v>0</v>
      </c>
    </row>
    <row r="9" customFormat="false" ht="15" hidden="false" customHeight="true" outlineLevel="0" collapsed="false">
      <c r="A9" s="14" t="s">
        <v>52</v>
      </c>
      <c r="B9" s="15" t="n">
        <f aca="false">COUNTIF('Prospect Tracker'!$R$5:$R$554,"Onboarded")</f>
        <v>0</v>
      </c>
    </row>
    <row r="11" customFormat="false" ht="15.75" hidden="false" customHeight="true" outlineLevel="0" collapsed="false">
      <c r="A11" s="13" t="s">
        <v>53</v>
      </c>
      <c r="B11" s="13"/>
    </row>
    <row r="12" customFormat="false" ht="15" hidden="false" customHeight="true" outlineLevel="0" collapsed="false">
      <c r="A12" s="14" t="s">
        <v>54</v>
      </c>
      <c r="B12" s="15" t="n">
        <f aca="false">SUMPRODUCT(--(TRIM('Prospect Tracker'!$A$5:$A$554)&lt;&gt;""))</f>
        <v>0</v>
      </c>
    </row>
    <row r="13" customFormat="false" ht="15" hidden="false" customHeight="true" outlineLevel="0" collapsed="false">
      <c r="A13" s="14" t="s">
        <v>55</v>
      </c>
      <c r="B13" s="15" t="n">
        <f aca="false">COUNTIF('Prospect Tracker'!$T$5:$T$554,"&gt;7")</f>
        <v>0</v>
      </c>
    </row>
    <row r="15" customFormat="false" ht="15.75" hidden="false" customHeight="true" outlineLevel="0" collapsed="false">
      <c r="A15" s="13" t="s">
        <v>56</v>
      </c>
      <c r="B15" s="13"/>
    </row>
    <row r="16" customFormat="false" ht="15" hidden="false" customHeight="true" outlineLevel="0" collapsed="false">
      <c r="A16" s="14" t="s">
        <v>57</v>
      </c>
      <c r="B16" s="15" t="n">
        <f aca="false">COUNTIF('Prospect Tracker'!$M$5:$M$554,"Member")</f>
        <v>0</v>
      </c>
    </row>
    <row r="17" customFormat="false" ht="15" hidden="false" customHeight="true" outlineLevel="0" collapsed="false">
      <c r="A17" s="14" t="s">
        <v>58</v>
      </c>
      <c r="B17" s="15" t="n">
        <f aca="false">COUNTIF('Prospect Tracker'!$M$5:$M$554,"Ambassador")</f>
        <v>0</v>
      </c>
    </row>
    <row r="18" customFormat="false" ht="15" hidden="false" customHeight="true" outlineLevel="0" collapsed="false">
      <c r="A18" s="14" t="s">
        <v>59</v>
      </c>
      <c r="B18" s="15" t="n">
        <f aca="false">COUNTIF('Prospect Tracker'!$M$5:$M$554,"Interested")</f>
        <v>0</v>
      </c>
    </row>
    <row r="20" customFormat="false" ht="15.75" hidden="false" customHeight="true" outlineLevel="0" collapsed="false">
      <c r="A20" s="13" t="s">
        <v>60</v>
      </c>
      <c r="B20" s="13"/>
    </row>
    <row r="21" customFormat="false" ht="15" hidden="false" customHeight="true" outlineLevel="0" collapsed="false">
      <c r="A21" s="14" t="s">
        <v>61</v>
      </c>
      <c r="B21" s="15" t="n">
        <f aca="false">COUNTIF('Prospect Tracker'!$O$5:$O$554,"Not Asked")</f>
        <v>0</v>
      </c>
    </row>
    <row r="22" customFormat="false" ht="15" hidden="false" customHeight="true" outlineLevel="0" collapsed="false">
      <c r="A22" s="14" t="s">
        <v>62</v>
      </c>
      <c r="B22" s="15" t="n">
        <f aca="false">COUNTIF('Prospect Tracker'!$O$5:$O$554,"Asked")</f>
        <v>0</v>
      </c>
    </row>
    <row r="23" customFormat="false" ht="15" hidden="false" customHeight="true" outlineLevel="0" collapsed="false">
      <c r="A23" s="14" t="s">
        <v>63</v>
      </c>
      <c r="B23" s="15" t="n">
        <f aca="false">COUNTIF('Prospect Tracker'!$O$5:$O$554,"Referrals Given")</f>
        <v>0</v>
      </c>
    </row>
  </sheetData>
  <mergeCells count="5">
    <mergeCell ref="A1:B1"/>
    <mergeCell ref="A3:B3"/>
    <mergeCell ref="A11:B11"/>
    <mergeCell ref="A15:B15"/>
    <mergeCell ref="A20: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4"/>
    <col collapsed="false" customWidth="true" hidden="false" outlineLevel="0" max="2" min="2" style="1" width="95"/>
  </cols>
  <sheetData>
    <row r="1" customFormat="false" ht="22.5" hidden="false" customHeight="true" outlineLevel="0" collapsed="false">
      <c r="A1" s="16" t="s">
        <v>64</v>
      </c>
      <c r="B1" s="16"/>
    </row>
    <row r="3" customFormat="false" ht="15.75" hidden="false" customHeight="true" outlineLevel="0" collapsed="false">
      <c r="B3" s="17" t="s">
        <v>65</v>
      </c>
    </row>
    <row r="4" customFormat="false" ht="30" hidden="false" customHeight="true" outlineLevel="0" collapsed="false">
      <c r="B4" s="18" t="s">
        <v>66</v>
      </c>
    </row>
    <row r="6" customFormat="false" ht="15.75" hidden="false" customHeight="true" outlineLevel="0" collapsed="false">
      <c r="B6" s="17" t="s">
        <v>67</v>
      </c>
    </row>
    <row r="7" customFormat="false" ht="15" hidden="false" customHeight="true" outlineLevel="0" collapsed="false">
      <c r="B7" s="18" t="s">
        <v>68</v>
      </c>
    </row>
    <row r="9" customFormat="false" ht="15.75" hidden="false" customHeight="true" outlineLevel="0" collapsed="false">
      <c r="B9" s="17" t="s">
        <v>6</v>
      </c>
    </row>
    <row r="10" customFormat="false" ht="15" hidden="false" customHeight="true" outlineLevel="0" collapsed="false">
      <c r="B10" s="18" t="s">
        <v>69</v>
      </c>
    </row>
    <row r="12" customFormat="false" ht="15.75" hidden="false" customHeight="true" outlineLevel="0" collapsed="false">
      <c r="B12" s="17" t="s">
        <v>7</v>
      </c>
    </row>
    <row r="13" customFormat="false" ht="15" hidden="false" customHeight="true" outlineLevel="0" collapsed="false">
      <c r="B13" s="18" t="s">
        <v>70</v>
      </c>
    </row>
    <row r="15" customFormat="false" ht="15.75" hidden="false" customHeight="true" outlineLevel="0" collapsed="false">
      <c r="B15" s="17" t="s">
        <v>8</v>
      </c>
    </row>
    <row r="16" customFormat="false" ht="15" hidden="false" customHeight="true" outlineLevel="0" collapsed="false">
      <c r="B16" s="18" t="s">
        <v>71</v>
      </c>
    </row>
    <row r="18" customFormat="false" ht="15.75" hidden="false" customHeight="true" outlineLevel="0" collapsed="false">
      <c r="B18" s="17" t="s">
        <v>9</v>
      </c>
    </row>
    <row r="19" customFormat="false" ht="15" hidden="false" customHeight="true" outlineLevel="0" collapsed="false">
      <c r="B19" s="18" t="s">
        <v>72</v>
      </c>
    </row>
    <row r="21" customFormat="false" ht="15.75" hidden="false" customHeight="true" outlineLevel="0" collapsed="false">
      <c r="B21" s="17" t="s">
        <v>73</v>
      </c>
    </row>
    <row r="22" customFormat="false" ht="15" hidden="false" customHeight="true" outlineLevel="0" collapsed="false">
      <c r="B22" s="18" t="s">
        <v>74</v>
      </c>
    </row>
    <row r="24" customFormat="false" ht="15.75" hidden="false" customHeight="true" outlineLevel="0" collapsed="false">
      <c r="B24" s="17" t="s">
        <v>75</v>
      </c>
    </row>
    <row r="25" customFormat="false" ht="15" hidden="false" customHeight="true" outlineLevel="0" collapsed="false">
      <c r="B25" s="18" t="s">
        <v>76</v>
      </c>
    </row>
    <row r="27" customFormat="false" ht="15.75" hidden="false" customHeight="true" outlineLevel="0" collapsed="false">
      <c r="B27" s="17" t="s">
        <v>14</v>
      </c>
    </row>
    <row r="28" customFormat="false" ht="15" hidden="false" customHeight="true" outlineLevel="0" collapsed="false">
      <c r="B28" s="18" t="s">
        <v>77</v>
      </c>
    </row>
    <row r="30" customFormat="false" ht="15.75" hidden="false" customHeight="true" outlineLevel="0" collapsed="false">
      <c r="B30" s="17" t="s">
        <v>15</v>
      </c>
    </row>
    <row r="31" customFormat="false" ht="15" hidden="false" customHeight="true" outlineLevel="0" collapsed="false">
      <c r="B31" s="18" t="s">
        <v>78</v>
      </c>
    </row>
    <row r="33" customFormat="false" ht="15.75" hidden="false" customHeight="true" outlineLevel="0" collapsed="false">
      <c r="B33" s="17" t="s">
        <v>16</v>
      </c>
    </row>
    <row r="34" customFormat="false" ht="15" hidden="false" customHeight="true" outlineLevel="0" collapsed="false">
      <c r="B34" s="18" t="s">
        <v>79</v>
      </c>
    </row>
    <row r="36" customFormat="false" ht="15.75" hidden="false" customHeight="true" outlineLevel="0" collapsed="false">
      <c r="B36" s="17" t="s">
        <v>80</v>
      </c>
    </row>
    <row r="37" customFormat="false" ht="15" hidden="false" customHeight="true" outlineLevel="0" collapsed="false">
      <c r="B37" s="18" t="s">
        <v>81</v>
      </c>
    </row>
    <row r="39" customFormat="false" ht="15.75" hidden="false" customHeight="true" outlineLevel="0" collapsed="false">
      <c r="B39" s="17" t="s">
        <v>19</v>
      </c>
    </row>
    <row r="40" customFormat="false" ht="15" hidden="false" customHeight="true" outlineLevel="0" collapsed="false">
      <c r="B40" s="18" t="s">
        <v>82</v>
      </c>
    </row>
    <row r="42" customFormat="false" ht="15.75" hidden="false" customHeight="true" outlineLevel="0" collapsed="false">
      <c r="B42" s="17" t="s">
        <v>20</v>
      </c>
    </row>
    <row r="43" customFormat="false" ht="15" hidden="false" customHeight="true" outlineLevel="0" collapsed="false">
      <c r="B43" s="18" t="s">
        <v>83</v>
      </c>
    </row>
    <row r="45" customFormat="false" ht="15.75" hidden="false" customHeight="true" outlineLevel="0" collapsed="false">
      <c r="B45" s="17" t="s">
        <v>21</v>
      </c>
    </row>
    <row r="46" customFormat="false" ht="15" hidden="false" customHeight="true" outlineLevel="0" collapsed="false">
      <c r="B46" s="18" t="s">
        <v>84</v>
      </c>
    </row>
    <row r="48" customFormat="false" ht="15.75" hidden="false" customHeight="true" outlineLevel="0" collapsed="false">
      <c r="B48" s="17" t="s">
        <v>85</v>
      </c>
    </row>
    <row r="49" customFormat="false" ht="15" hidden="false" customHeight="true" outlineLevel="0" collapsed="false">
      <c r="B49" s="18" t="s">
        <v>86</v>
      </c>
    </row>
    <row r="51" customFormat="false" ht="15.75" hidden="false" customHeight="true" outlineLevel="0" collapsed="false">
      <c r="B51" s="17" t="s">
        <v>87</v>
      </c>
    </row>
    <row r="52" customFormat="false" ht="30" hidden="false" customHeight="true" outlineLevel="0" collapsed="false">
      <c r="B52" s="18" t="s">
        <v>88</v>
      </c>
    </row>
    <row r="54" customFormat="false" ht="15.75" hidden="false" customHeight="true" outlineLevel="0" collapsed="false">
      <c r="B54" s="17" t="s">
        <v>89</v>
      </c>
    </row>
    <row r="55" customFormat="false" ht="30" hidden="false" customHeight="true" outlineLevel="0" collapsed="false">
      <c r="B55" s="18" t="s">
        <v>90</v>
      </c>
    </row>
    <row r="57" customFormat="false" ht="15.75" hidden="false" customHeight="true" outlineLevel="0" collapsed="false">
      <c r="B57" s="17" t="s">
        <v>91</v>
      </c>
    </row>
    <row r="58" customFormat="false" ht="60" hidden="false" customHeight="true" outlineLevel="0" collapsed="false">
      <c r="B58" s="18" t="s">
        <v>92</v>
      </c>
    </row>
    <row r="60" customFormat="false" ht="15.75" hidden="false" customHeight="true" outlineLevel="0" collapsed="false">
      <c r="B60" s="17" t="s">
        <v>93</v>
      </c>
    </row>
    <row r="61" customFormat="false" ht="23.25" hidden="false" customHeight="true" outlineLevel="0" collapsed="false">
      <c r="B61" s="18" t="s">
        <v>94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2026-08-28T16:45:38Z</dcterms:created>
  <dc:creator>openpyxl</dc:creator>
  <dc:description/>
  <dc:language>en-US</dc:language>
  <cp:lastModifiedBy>Bob Ferguson</cp:lastModifiedBy>
  <dcterms:modified xsi:type="dcterms:W3CDTF">2026-09-04T13:02:42Z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